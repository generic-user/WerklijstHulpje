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2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3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14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15.xml" ContentType="application/vnd.ms-excel.controlpropertie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frabel-my.sharepoint.com/personal/bjorn_cattoor_infrabel_be/Documents/administrative/excel/werklijsten en P30bis/werkmap aanpassingen 2021/"/>
    </mc:Choice>
  </mc:AlternateContent>
  <xr:revisionPtr revIDLastSave="8" documentId="8_{6C3B9DF9-7E01-4ADD-B577-7BE5F04DF301}" xr6:coauthVersionLast="46" xr6:coauthVersionMax="46" xr10:uidLastSave="{1336A9C7-94F2-4666-8462-E469551246CE}"/>
  <bookViews>
    <workbookView xWindow="-120" yWindow="-120" windowWidth="29040" windowHeight="15990" tabRatio="599" xr2:uid="{00000000-000D-0000-FFFF-FFFF00000000}"/>
  </bookViews>
  <sheets>
    <sheet name="januari" sheetId="13" r:id="rId1"/>
    <sheet name="februari" sheetId="28" r:id="rId2"/>
    <sheet name="maart" sheetId="29" r:id="rId3"/>
    <sheet name="april" sheetId="30" r:id="rId4"/>
    <sheet name="mei" sheetId="31" r:id="rId5"/>
    <sheet name="juni" sheetId="32" r:id="rId6"/>
    <sheet name="juli" sheetId="33" r:id="rId7"/>
    <sheet name="augustus" sheetId="34" r:id="rId8"/>
    <sheet name="september" sheetId="35" r:id="rId9"/>
    <sheet name="oktober" sheetId="36" r:id="rId10"/>
    <sheet name="november" sheetId="37" r:id="rId11"/>
    <sheet name="december" sheetId="38" r:id="rId12"/>
  </sheets>
  <externalReferences>
    <externalReference r:id="rId13"/>
    <externalReference r:id="rId14"/>
  </externalReferences>
  <definedNames>
    <definedName name="_xlnm.Print_Area" localSheetId="3">april!$A$1:$Y$46</definedName>
    <definedName name="_xlnm.Print_Area" localSheetId="7">augustus!$A$1:$Y$46</definedName>
    <definedName name="_xlnm.Print_Area" localSheetId="11">december!$A$1:$Y$46</definedName>
    <definedName name="_xlnm.Print_Area" localSheetId="1">februari!$A$1:$Y$46</definedName>
    <definedName name="_xlnm.Print_Area" localSheetId="0">januari!$A$1:$Y$47</definedName>
    <definedName name="_xlnm.Print_Area" localSheetId="6">juli!$A$1:$Y$46</definedName>
    <definedName name="_xlnm.Print_Area" localSheetId="5">juni!$A$1:$Y$46</definedName>
    <definedName name="_xlnm.Print_Area" localSheetId="2">maart!$A$1:$Y$46</definedName>
    <definedName name="_xlnm.Print_Area" localSheetId="4">mei!$A$1:$Y$46</definedName>
    <definedName name="_xlnm.Print_Area" localSheetId="10">november!$A$1:$Y$46</definedName>
    <definedName name="_xlnm.Print_Area" localSheetId="9">oktober!$A$1:$Y$46</definedName>
    <definedName name="_xlnm.Print_Area" localSheetId="8">september!$A$1:$Y$46</definedName>
    <definedName name="Arbeidsstelsel" comment="Gekozen arbeidsstalsel van combobox.">januari!$V$41</definedName>
    <definedName name="Start_Verlof">januari!$G$49</definedName>
    <definedName name="UserName">januari!$U$1</definedName>
    <definedName name="Werklijst_nr" comment="Werklijst keuze nummer, ES of niet.">januari!$V$44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29" l="1"/>
  <c r="H9" i="28"/>
  <c r="H12" i="13"/>
  <c r="I12" i="13" s="1"/>
  <c r="H11" i="13"/>
  <c r="I11" i="13" s="1"/>
  <c r="H8" i="28"/>
  <c r="H8" i="13"/>
  <c r="H9" i="13"/>
  <c r="I9" i="13" s="1"/>
  <c r="H10" i="13"/>
  <c r="I10" i="13" s="1"/>
  <c r="H13" i="13"/>
  <c r="I13" i="13" s="1"/>
  <c r="H14" i="13"/>
  <c r="I14" i="13"/>
  <c r="H15" i="13"/>
  <c r="I15" i="13" s="1"/>
  <c r="H16" i="13"/>
  <c r="I16" i="13" s="1"/>
  <c r="H17" i="13"/>
  <c r="I17" i="13" s="1"/>
  <c r="H18" i="13"/>
  <c r="I18" i="13" s="1"/>
  <c r="H19" i="13"/>
  <c r="I19" i="13" s="1"/>
  <c r="H20" i="13"/>
  <c r="I20" i="13"/>
  <c r="H21" i="13"/>
  <c r="I21" i="13" s="1"/>
  <c r="H22" i="13"/>
  <c r="I22" i="13" s="1"/>
  <c r="H23" i="13"/>
  <c r="I23" i="13" s="1"/>
  <c r="H24" i="13"/>
  <c r="I24" i="13" s="1"/>
  <c r="H25" i="13"/>
  <c r="I25" i="13" s="1"/>
  <c r="H26" i="13"/>
  <c r="I26" i="13"/>
  <c r="H27" i="13"/>
  <c r="I27" i="13" s="1"/>
  <c r="H28" i="13"/>
  <c r="I28" i="13" s="1"/>
  <c r="H29" i="13"/>
  <c r="I29" i="13" s="1"/>
  <c r="H30" i="13"/>
  <c r="I30" i="13" s="1"/>
  <c r="H31" i="13"/>
  <c r="I31" i="13" s="1"/>
  <c r="H32" i="13"/>
  <c r="I32" i="13"/>
  <c r="H33" i="13"/>
  <c r="I33" i="13" s="1"/>
  <c r="H34" i="13"/>
  <c r="I34" i="13" s="1"/>
  <c r="H35" i="13"/>
  <c r="I35" i="13" s="1"/>
  <c r="H36" i="13"/>
  <c r="I36" i="13" s="1"/>
  <c r="H37" i="13"/>
  <c r="I37" i="13" s="1"/>
  <c r="H38" i="13"/>
  <c r="I38" i="13"/>
  <c r="CR38" i="29"/>
  <c r="CQ38" i="29"/>
  <c r="CS38" i="29" s="1"/>
  <c r="CP38" i="29"/>
  <c r="CO38" i="29"/>
  <c r="CN38" i="29"/>
  <c r="CM38" i="29"/>
  <c r="CK38" i="29"/>
  <c r="CJ38" i="29"/>
  <c r="CL38" i="29" s="1"/>
  <c r="CH38" i="29"/>
  <c r="CG38" i="29"/>
  <c r="CR37" i="29"/>
  <c r="CQ37" i="29"/>
  <c r="CS37" i="29" s="1"/>
  <c r="CP37" i="29"/>
  <c r="CO37" i="29"/>
  <c r="CN37" i="29"/>
  <c r="CM37" i="29"/>
  <c r="CK37" i="29"/>
  <c r="CJ37" i="29"/>
  <c r="CL37" i="29" s="1"/>
  <c r="CH37" i="29"/>
  <c r="CG37" i="29"/>
  <c r="CR36" i="29"/>
  <c r="CQ36" i="29"/>
  <c r="CS36" i="29" s="1"/>
  <c r="CP36" i="29"/>
  <c r="CO36" i="29"/>
  <c r="CN36" i="29"/>
  <c r="CM36" i="29"/>
  <c r="CK36" i="29"/>
  <c r="CJ36" i="29"/>
  <c r="CL36" i="29" s="1"/>
  <c r="CH36" i="29"/>
  <c r="CG36" i="29"/>
  <c r="CS35" i="29"/>
  <c r="CR35" i="29"/>
  <c r="CQ35" i="29"/>
  <c r="CP35" i="29"/>
  <c r="CO35" i="29"/>
  <c r="CN35" i="29"/>
  <c r="CM35" i="29"/>
  <c r="CL35" i="29"/>
  <c r="CK35" i="29"/>
  <c r="CJ35" i="29"/>
  <c r="CH35" i="29"/>
  <c r="CG35" i="29"/>
  <c r="CS34" i="29"/>
  <c r="CR34" i="29"/>
  <c r="CQ34" i="29"/>
  <c r="CP34" i="29"/>
  <c r="CO34" i="29"/>
  <c r="CN34" i="29"/>
  <c r="CM34" i="29"/>
  <c r="CK34" i="29"/>
  <c r="CJ34" i="29"/>
  <c r="CL34" i="29" s="1"/>
  <c r="CH34" i="29"/>
  <c r="CG34" i="29"/>
  <c r="CR33" i="29"/>
  <c r="CQ33" i="29"/>
  <c r="CS33" i="29" s="1"/>
  <c r="CP33" i="29"/>
  <c r="CO33" i="29"/>
  <c r="CN33" i="29"/>
  <c r="CM33" i="29"/>
  <c r="CK33" i="29"/>
  <c r="CJ33" i="29"/>
  <c r="CL33" i="29" s="1"/>
  <c r="CH33" i="29"/>
  <c r="CG33" i="29"/>
  <c r="CR32" i="29"/>
  <c r="CQ32" i="29"/>
  <c r="CS32" i="29" s="1"/>
  <c r="CP32" i="29"/>
  <c r="CO32" i="29"/>
  <c r="CN32" i="29"/>
  <c r="CM32" i="29"/>
  <c r="CK32" i="29"/>
  <c r="CJ32" i="29"/>
  <c r="CL32" i="29" s="1"/>
  <c r="CH32" i="29"/>
  <c r="CG32" i="29"/>
  <c r="CS31" i="29"/>
  <c r="CR31" i="29"/>
  <c r="CQ31" i="29"/>
  <c r="CP31" i="29"/>
  <c r="CO31" i="29"/>
  <c r="CN31" i="29"/>
  <c r="CM31" i="29"/>
  <c r="CL31" i="29"/>
  <c r="CK31" i="29"/>
  <c r="CJ31" i="29"/>
  <c r="CH31" i="29"/>
  <c r="CG31" i="29"/>
  <c r="CR30" i="29"/>
  <c r="CQ30" i="29"/>
  <c r="CS30" i="29" s="1"/>
  <c r="CP30" i="29"/>
  <c r="CO30" i="29"/>
  <c r="CN30" i="29"/>
  <c r="CM30" i="29"/>
  <c r="CK30" i="29"/>
  <c r="CJ30" i="29"/>
  <c r="CL30" i="29" s="1"/>
  <c r="CH30" i="29"/>
  <c r="CG30" i="29"/>
  <c r="CS29" i="29"/>
  <c r="CR29" i="29"/>
  <c r="CQ29" i="29"/>
  <c r="CP29" i="29"/>
  <c r="CO29" i="29"/>
  <c r="CN29" i="29"/>
  <c r="CM29" i="29"/>
  <c r="CK29" i="29"/>
  <c r="CJ29" i="29"/>
  <c r="CL29" i="29" s="1"/>
  <c r="CH29" i="29"/>
  <c r="CG29" i="29"/>
  <c r="CR28" i="29"/>
  <c r="CQ28" i="29"/>
  <c r="CS28" i="29" s="1"/>
  <c r="CP28" i="29"/>
  <c r="CO28" i="29"/>
  <c r="CN28" i="29"/>
  <c r="CM28" i="29"/>
  <c r="CK28" i="29"/>
  <c r="CJ28" i="29"/>
  <c r="CL28" i="29" s="1"/>
  <c r="CH28" i="29"/>
  <c r="CG28" i="29"/>
  <c r="CS27" i="29"/>
  <c r="CR27" i="29"/>
  <c r="CQ27" i="29"/>
  <c r="CP27" i="29"/>
  <c r="CO27" i="29"/>
  <c r="CN27" i="29"/>
  <c r="CM27" i="29"/>
  <c r="CL27" i="29"/>
  <c r="CK27" i="29"/>
  <c r="CJ27" i="29"/>
  <c r="CH27" i="29"/>
  <c r="CG27" i="29"/>
  <c r="CS26" i="29"/>
  <c r="CR26" i="29"/>
  <c r="CQ26" i="29"/>
  <c r="CP26" i="29"/>
  <c r="CO26" i="29"/>
  <c r="CN26" i="29"/>
  <c r="CM26" i="29"/>
  <c r="CK26" i="29"/>
  <c r="CJ26" i="29"/>
  <c r="CL26" i="29" s="1"/>
  <c r="CH26" i="29"/>
  <c r="CG26" i="29"/>
  <c r="CS25" i="29"/>
  <c r="CR25" i="29"/>
  <c r="CQ25" i="29"/>
  <c r="CP25" i="29"/>
  <c r="CO25" i="29"/>
  <c r="CN25" i="29"/>
  <c r="CM25" i="29"/>
  <c r="CK25" i="29"/>
  <c r="CJ25" i="29"/>
  <c r="CL25" i="29" s="1"/>
  <c r="CH25" i="29"/>
  <c r="CG25" i="29"/>
  <c r="CR24" i="29"/>
  <c r="CQ24" i="29"/>
  <c r="CS24" i="29" s="1"/>
  <c r="CP24" i="29"/>
  <c r="CO24" i="29"/>
  <c r="CN24" i="29"/>
  <c r="CM24" i="29"/>
  <c r="CK24" i="29"/>
  <c r="CJ24" i="29"/>
  <c r="CL24" i="29" s="1"/>
  <c r="CH24" i="29"/>
  <c r="CG24" i="29"/>
  <c r="CS23" i="29"/>
  <c r="CR23" i="29"/>
  <c r="CQ23" i="29"/>
  <c r="CP23" i="29"/>
  <c r="CO23" i="29"/>
  <c r="CN23" i="29"/>
  <c r="CM23" i="29"/>
  <c r="CL23" i="29"/>
  <c r="CK23" i="29"/>
  <c r="CJ23" i="29"/>
  <c r="CH23" i="29"/>
  <c r="CG23" i="29"/>
  <c r="CS22" i="29"/>
  <c r="CR22" i="29"/>
  <c r="CQ22" i="29"/>
  <c r="CP22" i="29"/>
  <c r="CO22" i="29"/>
  <c r="CN22" i="29"/>
  <c r="CM22" i="29"/>
  <c r="CK22" i="29"/>
  <c r="CJ22" i="29"/>
  <c r="CL22" i="29" s="1"/>
  <c r="CH22" i="29"/>
  <c r="CG22" i="29"/>
  <c r="CS21" i="29"/>
  <c r="CR21" i="29"/>
  <c r="CQ21" i="29"/>
  <c r="CP21" i="29"/>
  <c r="CO21" i="29"/>
  <c r="CN21" i="29"/>
  <c r="CM21" i="29"/>
  <c r="CK21" i="29"/>
  <c r="CJ21" i="29"/>
  <c r="CL21" i="29" s="1"/>
  <c r="CH21" i="29"/>
  <c r="CG21" i="29"/>
  <c r="CR20" i="29"/>
  <c r="CQ20" i="29"/>
  <c r="CS20" i="29" s="1"/>
  <c r="CP20" i="29"/>
  <c r="CO20" i="29"/>
  <c r="CN20" i="29"/>
  <c r="CM20" i="29"/>
  <c r="CK20" i="29"/>
  <c r="CJ20" i="29"/>
  <c r="CL20" i="29" s="1"/>
  <c r="CH20" i="29"/>
  <c r="CG20" i="29"/>
  <c r="CS19" i="29"/>
  <c r="CR19" i="29"/>
  <c r="CQ19" i="29"/>
  <c r="CP19" i="29"/>
  <c r="CO19" i="29"/>
  <c r="CN19" i="29"/>
  <c r="CM19" i="29"/>
  <c r="CL19" i="29"/>
  <c r="CK19" i="29"/>
  <c r="CJ19" i="29"/>
  <c r="CH19" i="29"/>
  <c r="CG19" i="29"/>
  <c r="CS18" i="29"/>
  <c r="CR18" i="29"/>
  <c r="CQ18" i="29"/>
  <c r="CP18" i="29"/>
  <c r="CO18" i="29"/>
  <c r="CN18" i="29"/>
  <c r="CM18" i="29"/>
  <c r="CK18" i="29"/>
  <c r="CJ18" i="29"/>
  <c r="CL18" i="29" s="1"/>
  <c r="CH18" i="29"/>
  <c r="CG18" i="29"/>
  <c r="CS17" i="29"/>
  <c r="CR17" i="29"/>
  <c r="CQ17" i="29"/>
  <c r="CP17" i="29"/>
  <c r="CO17" i="29"/>
  <c r="CN17" i="29"/>
  <c r="CM17" i="29"/>
  <c r="CK17" i="29"/>
  <c r="CJ17" i="29"/>
  <c r="CL17" i="29" s="1"/>
  <c r="CH17" i="29"/>
  <c r="CG17" i="29"/>
  <c r="CR16" i="29"/>
  <c r="CQ16" i="29"/>
  <c r="CS16" i="29" s="1"/>
  <c r="CP16" i="29"/>
  <c r="CO16" i="29"/>
  <c r="CN16" i="29"/>
  <c r="CM16" i="29"/>
  <c r="CK16" i="29"/>
  <c r="CJ16" i="29"/>
  <c r="CL16" i="29" s="1"/>
  <c r="CH16" i="29"/>
  <c r="CG16" i="29"/>
  <c r="CS15" i="29"/>
  <c r="CR15" i="29"/>
  <c r="CQ15" i="29"/>
  <c r="CP15" i="29"/>
  <c r="CO15" i="29"/>
  <c r="CN15" i="29"/>
  <c r="CM15" i="29"/>
  <c r="CL15" i="29"/>
  <c r="CK15" i="29"/>
  <c r="CJ15" i="29"/>
  <c r="CH15" i="29"/>
  <c r="CG15" i="29"/>
  <c r="CS14" i="29"/>
  <c r="CR14" i="29"/>
  <c r="CQ14" i="29"/>
  <c r="CP14" i="29"/>
  <c r="CO14" i="29"/>
  <c r="CN14" i="29"/>
  <c r="CM14" i="29"/>
  <c r="CK14" i="29"/>
  <c r="CJ14" i="29"/>
  <c r="CL14" i="29" s="1"/>
  <c r="CH14" i="29"/>
  <c r="CG14" i="29"/>
  <c r="CS13" i="29"/>
  <c r="CR13" i="29"/>
  <c r="CQ13" i="29"/>
  <c r="CP13" i="29"/>
  <c r="CO13" i="29"/>
  <c r="CN13" i="29"/>
  <c r="CM13" i="29"/>
  <c r="CK13" i="29"/>
  <c r="CJ13" i="29"/>
  <c r="CL13" i="29" s="1"/>
  <c r="CH13" i="29"/>
  <c r="CG13" i="29"/>
  <c r="CS12" i="29"/>
  <c r="CR12" i="29"/>
  <c r="CQ12" i="29"/>
  <c r="CP12" i="29"/>
  <c r="CO12" i="29"/>
  <c r="CN12" i="29"/>
  <c r="CM12" i="29"/>
  <c r="CK12" i="29"/>
  <c r="CJ12" i="29"/>
  <c r="CL12" i="29" s="1"/>
  <c r="CH12" i="29"/>
  <c r="CG12" i="29"/>
  <c r="CS11" i="29"/>
  <c r="CR11" i="29"/>
  <c r="CQ11" i="29"/>
  <c r="CP11" i="29"/>
  <c r="CO11" i="29"/>
  <c r="CN11" i="29"/>
  <c r="CM11" i="29"/>
  <c r="CL11" i="29"/>
  <c r="CK11" i="29"/>
  <c r="CJ11" i="29"/>
  <c r="CH11" i="29"/>
  <c r="CG11" i="29"/>
  <c r="CS10" i="29"/>
  <c r="CR10" i="29"/>
  <c r="CQ10" i="29"/>
  <c r="CP10" i="29"/>
  <c r="CO10" i="29"/>
  <c r="CN10" i="29"/>
  <c r="CM10" i="29"/>
  <c r="CK10" i="29"/>
  <c r="CJ10" i="29"/>
  <c r="CL10" i="29" s="1"/>
  <c r="CH10" i="29"/>
  <c r="CG10" i="29"/>
  <c r="CS9" i="29"/>
  <c r="CR9" i="29"/>
  <c r="CQ9" i="29"/>
  <c r="CK9" i="29"/>
  <c r="CJ9" i="29"/>
  <c r="CL9" i="29" s="1"/>
  <c r="CH9" i="29"/>
  <c r="CG9" i="29"/>
  <c r="CS8" i="29"/>
  <c r="CR8" i="29"/>
  <c r="CQ8" i="29"/>
  <c r="CP8" i="29"/>
  <c r="CO8" i="29"/>
  <c r="CN8" i="29"/>
  <c r="CM8" i="29"/>
  <c r="CK8" i="29"/>
  <c r="CJ8" i="29"/>
  <c r="CL8" i="29" s="1"/>
  <c r="CH8" i="29"/>
  <c r="CG8" i="29"/>
  <c r="CS38" i="30"/>
  <c r="CR38" i="30"/>
  <c r="CQ38" i="30"/>
  <c r="CP38" i="30"/>
  <c r="CO38" i="30"/>
  <c r="CN38" i="30"/>
  <c r="CM38" i="30"/>
  <c r="CL38" i="30"/>
  <c r="CK38" i="30"/>
  <c r="CJ38" i="30"/>
  <c r="CH38" i="30"/>
  <c r="CG38" i="30"/>
  <c r="CS37" i="30"/>
  <c r="CR37" i="30"/>
  <c r="CQ37" i="30"/>
  <c r="CP37" i="30"/>
  <c r="CO37" i="30"/>
  <c r="CN37" i="30"/>
  <c r="CM37" i="30"/>
  <c r="CK37" i="30"/>
  <c r="CJ37" i="30"/>
  <c r="CL37" i="30" s="1"/>
  <c r="CH37" i="30"/>
  <c r="CG37" i="30"/>
  <c r="CS36" i="30"/>
  <c r="CR36" i="30"/>
  <c r="CQ36" i="30"/>
  <c r="CP36" i="30"/>
  <c r="CO36" i="30"/>
  <c r="CN36" i="30"/>
  <c r="CM36" i="30"/>
  <c r="CK36" i="30"/>
  <c r="CJ36" i="30"/>
  <c r="CL36" i="30" s="1"/>
  <c r="CH36" i="30"/>
  <c r="CG36" i="30"/>
  <c r="CS35" i="30"/>
  <c r="CR35" i="30"/>
  <c r="CQ35" i="30"/>
  <c r="CP35" i="30"/>
  <c r="CO35" i="30"/>
  <c r="CN35" i="30"/>
  <c r="CM35" i="30"/>
  <c r="CK35" i="30"/>
  <c r="CJ35" i="30"/>
  <c r="CL35" i="30" s="1"/>
  <c r="CH35" i="30"/>
  <c r="CG35" i="30"/>
  <c r="CS34" i="30"/>
  <c r="CR34" i="30"/>
  <c r="CQ34" i="30"/>
  <c r="CP34" i="30"/>
  <c r="CO34" i="30"/>
  <c r="CN34" i="30"/>
  <c r="CM34" i="30"/>
  <c r="CL34" i="30"/>
  <c r="CK34" i="30"/>
  <c r="CJ34" i="30"/>
  <c r="CH34" i="30"/>
  <c r="CG34" i="30"/>
  <c r="CS33" i="30"/>
  <c r="CR33" i="30"/>
  <c r="CQ33" i="30"/>
  <c r="CP33" i="30"/>
  <c r="CO33" i="30"/>
  <c r="CN33" i="30"/>
  <c r="CM33" i="30"/>
  <c r="CK33" i="30"/>
  <c r="CJ33" i="30"/>
  <c r="CL33" i="30" s="1"/>
  <c r="CH33" i="30"/>
  <c r="CG33" i="30"/>
  <c r="CS32" i="30"/>
  <c r="CR32" i="30"/>
  <c r="CQ32" i="30"/>
  <c r="CP32" i="30"/>
  <c r="CO32" i="30"/>
  <c r="CN32" i="30"/>
  <c r="CM32" i="30"/>
  <c r="CK32" i="30"/>
  <c r="CJ32" i="30"/>
  <c r="CL32" i="30" s="1"/>
  <c r="CH32" i="30"/>
  <c r="CG32" i="30"/>
  <c r="CS31" i="30"/>
  <c r="CR31" i="30"/>
  <c r="CQ31" i="30"/>
  <c r="CP31" i="30"/>
  <c r="CO31" i="30"/>
  <c r="CN31" i="30"/>
  <c r="CM31" i="30"/>
  <c r="CK31" i="30"/>
  <c r="CJ31" i="30"/>
  <c r="CL31" i="30" s="1"/>
  <c r="CH31" i="30"/>
  <c r="CG31" i="30"/>
  <c r="CS30" i="30"/>
  <c r="CR30" i="30"/>
  <c r="CQ30" i="30"/>
  <c r="CP30" i="30"/>
  <c r="CO30" i="30"/>
  <c r="CN30" i="30"/>
  <c r="CM30" i="30"/>
  <c r="CK30" i="30"/>
  <c r="CJ30" i="30"/>
  <c r="CL30" i="30" s="1"/>
  <c r="CH30" i="30"/>
  <c r="CG30" i="30"/>
  <c r="CS29" i="30"/>
  <c r="CR29" i="30"/>
  <c r="CQ29" i="30"/>
  <c r="CP29" i="30"/>
  <c r="CO29" i="30"/>
  <c r="CN29" i="30"/>
  <c r="CM29" i="30"/>
  <c r="CK29" i="30"/>
  <c r="CJ29" i="30"/>
  <c r="CL29" i="30" s="1"/>
  <c r="CH29" i="30"/>
  <c r="CG29" i="30"/>
  <c r="CS28" i="30"/>
  <c r="CR28" i="30"/>
  <c r="CQ28" i="30"/>
  <c r="CP28" i="30"/>
  <c r="CO28" i="30"/>
  <c r="CN28" i="30"/>
  <c r="CM28" i="30"/>
  <c r="CK28" i="30"/>
  <c r="CJ28" i="30"/>
  <c r="CL28" i="30" s="1"/>
  <c r="CH28" i="30"/>
  <c r="CG28" i="30"/>
  <c r="CS27" i="30"/>
  <c r="CR27" i="30"/>
  <c r="CQ27" i="30"/>
  <c r="CP27" i="30"/>
  <c r="CO27" i="30"/>
  <c r="CN27" i="30"/>
  <c r="CM27" i="30"/>
  <c r="CK27" i="30"/>
  <c r="CJ27" i="30"/>
  <c r="CL27" i="30" s="1"/>
  <c r="CH27" i="30"/>
  <c r="CG27" i="30"/>
  <c r="CS26" i="30"/>
  <c r="CR26" i="30"/>
  <c r="CQ26" i="30"/>
  <c r="CP26" i="30"/>
  <c r="CO26" i="30"/>
  <c r="CN26" i="30"/>
  <c r="CM26" i="30"/>
  <c r="CK26" i="30"/>
  <c r="CJ26" i="30"/>
  <c r="CL26" i="30" s="1"/>
  <c r="CH26" i="30"/>
  <c r="CG26" i="30"/>
  <c r="CS25" i="30"/>
  <c r="CR25" i="30"/>
  <c r="CQ25" i="30"/>
  <c r="CP25" i="30"/>
  <c r="CO25" i="30"/>
  <c r="CN25" i="30"/>
  <c r="CM25" i="30"/>
  <c r="CK25" i="30"/>
  <c r="CJ25" i="30"/>
  <c r="CL25" i="30" s="1"/>
  <c r="CH25" i="30"/>
  <c r="CG25" i="30"/>
  <c r="CS24" i="30"/>
  <c r="CR24" i="30"/>
  <c r="CQ24" i="30"/>
  <c r="CP24" i="30"/>
  <c r="CO24" i="30"/>
  <c r="CN24" i="30"/>
  <c r="CM24" i="30"/>
  <c r="CK24" i="30"/>
  <c r="CJ24" i="30"/>
  <c r="CL24" i="30" s="1"/>
  <c r="CH24" i="30"/>
  <c r="CG24" i="30"/>
  <c r="CS23" i="30"/>
  <c r="CR23" i="30"/>
  <c r="CQ23" i="30"/>
  <c r="CP23" i="30"/>
  <c r="CO23" i="30"/>
  <c r="CN23" i="30"/>
  <c r="CM23" i="30"/>
  <c r="CK23" i="30"/>
  <c r="CJ23" i="30"/>
  <c r="CL23" i="30" s="1"/>
  <c r="CH23" i="30"/>
  <c r="CG23" i="30"/>
  <c r="CS22" i="30"/>
  <c r="CR22" i="30"/>
  <c r="CQ22" i="30"/>
  <c r="CP22" i="30"/>
  <c r="CO22" i="30"/>
  <c r="CN22" i="30"/>
  <c r="CM22" i="30"/>
  <c r="CK22" i="30"/>
  <c r="CJ22" i="30"/>
  <c r="CL22" i="30" s="1"/>
  <c r="CH22" i="30"/>
  <c r="CG22" i="30"/>
  <c r="CS21" i="30"/>
  <c r="CR21" i="30"/>
  <c r="CQ21" i="30"/>
  <c r="CP21" i="30"/>
  <c r="CO21" i="30"/>
  <c r="CN21" i="30"/>
  <c r="CM21" i="30"/>
  <c r="CK21" i="30"/>
  <c r="CJ21" i="30"/>
  <c r="CL21" i="30" s="1"/>
  <c r="CH21" i="30"/>
  <c r="CG21" i="30"/>
  <c r="CS20" i="30"/>
  <c r="CR20" i="30"/>
  <c r="CQ20" i="30"/>
  <c r="CP20" i="30"/>
  <c r="CO20" i="30"/>
  <c r="CN20" i="30"/>
  <c r="CM20" i="30"/>
  <c r="CK20" i="30"/>
  <c r="CJ20" i="30"/>
  <c r="CL20" i="30" s="1"/>
  <c r="CH20" i="30"/>
  <c r="CG20" i="30"/>
  <c r="CS19" i="30"/>
  <c r="CR19" i="30"/>
  <c r="CQ19" i="30"/>
  <c r="CP19" i="30"/>
  <c r="CO19" i="30"/>
  <c r="CN19" i="30"/>
  <c r="CM19" i="30"/>
  <c r="CK19" i="30"/>
  <c r="CJ19" i="30"/>
  <c r="CL19" i="30" s="1"/>
  <c r="CH19" i="30"/>
  <c r="CG19" i="30"/>
  <c r="CS18" i="30"/>
  <c r="CR18" i="30"/>
  <c r="CQ18" i="30"/>
  <c r="CP18" i="30"/>
  <c r="CO18" i="30"/>
  <c r="CN18" i="30"/>
  <c r="CM18" i="30"/>
  <c r="CK18" i="30"/>
  <c r="CJ18" i="30"/>
  <c r="CL18" i="30" s="1"/>
  <c r="CH18" i="30"/>
  <c r="CG18" i="30"/>
  <c r="CS17" i="30"/>
  <c r="CR17" i="30"/>
  <c r="CQ17" i="30"/>
  <c r="CP17" i="30"/>
  <c r="CO17" i="30"/>
  <c r="CN17" i="30"/>
  <c r="CM17" i="30"/>
  <c r="CK17" i="30"/>
  <c r="CJ17" i="30"/>
  <c r="CL17" i="30" s="1"/>
  <c r="CH17" i="30"/>
  <c r="CG17" i="30"/>
  <c r="CS16" i="30"/>
  <c r="CR16" i="30"/>
  <c r="CQ16" i="30"/>
  <c r="CP16" i="30"/>
  <c r="CO16" i="30"/>
  <c r="CN16" i="30"/>
  <c r="CM16" i="30"/>
  <c r="CK16" i="30"/>
  <c r="CJ16" i="30"/>
  <c r="CL16" i="30" s="1"/>
  <c r="CH16" i="30"/>
  <c r="CG16" i="30"/>
  <c r="CS15" i="30"/>
  <c r="CR15" i="30"/>
  <c r="CQ15" i="30"/>
  <c r="CP15" i="30"/>
  <c r="CO15" i="30"/>
  <c r="CN15" i="30"/>
  <c r="CM15" i="30"/>
  <c r="CK15" i="30"/>
  <c r="CJ15" i="30"/>
  <c r="CL15" i="30" s="1"/>
  <c r="CH15" i="30"/>
  <c r="CG15" i="30"/>
  <c r="CS14" i="30"/>
  <c r="CR14" i="30"/>
  <c r="CQ14" i="30"/>
  <c r="CP14" i="30"/>
  <c r="CO14" i="30"/>
  <c r="CN14" i="30"/>
  <c r="CM14" i="30"/>
  <c r="CK14" i="30"/>
  <c r="CJ14" i="30"/>
  <c r="CL14" i="30" s="1"/>
  <c r="CH14" i="30"/>
  <c r="CG14" i="30"/>
  <c r="CS13" i="30"/>
  <c r="CR13" i="30"/>
  <c r="CQ13" i="30"/>
  <c r="CP13" i="30"/>
  <c r="CO13" i="30"/>
  <c r="CN13" i="30"/>
  <c r="CM13" i="30"/>
  <c r="CK13" i="30"/>
  <c r="CJ13" i="30"/>
  <c r="CL13" i="30" s="1"/>
  <c r="CH13" i="30"/>
  <c r="CG13" i="30"/>
  <c r="CS12" i="30"/>
  <c r="CR12" i="30"/>
  <c r="CQ12" i="30"/>
  <c r="CP12" i="30"/>
  <c r="CO12" i="30"/>
  <c r="CN12" i="30"/>
  <c r="CM12" i="30"/>
  <c r="CK12" i="30"/>
  <c r="CJ12" i="30"/>
  <c r="CL12" i="30" s="1"/>
  <c r="CH12" i="30"/>
  <c r="CG12" i="30"/>
  <c r="CS11" i="30"/>
  <c r="CR11" i="30"/>
  <c r="CQ11" i="30"/>
  <c r="CP11" i="30"/>
  <c r="CO11" i="30"/>
  <c r="CN11" i="30"/>
  <c r="CM11" i="30"/>
  <c r="CK11" i="30"/>
  <c r="CJ11" i="30"/>
  <c r="CL11" i="30" s="1"/>
  <c r="CH11" i="30"/>
  <c r="CG11" i="30"/>
  <c r="CS10" i="30"/>
  <c r="CR10" i="30"/>
  <c r="CQ10" i="30"/>
  <c r="CP10" i="30"/>
  <c r="CO10" i="30"/>
  <c r="CN10" i="30"/>
  <c r="CM10" i="30"/>
  <c r="CK10" i="30"/>
  <c r="CJ10" i="30"/>
  <c r="CL10" i="30" s="1"/>
  <c r="CH10" i="30"/>
  <c r="CG10" i="30"/>
  <c r="CS9" i="30"/>
  <c r="CR9" i="30"/>
  <c r="CQ9" i="30"/>
  <c r="CP9" i="30"/>
  <c r="CO9" i="30"/>
  <c r="CN9" i="30"/>
  <c r="CM9" i="30"/>
  <c r="CK9" i="30"/>
  <c r="CJ9" i="30"/>
  <c r="CL9" i="30" s="1"/>
  <c r="CH9" i="30"/>
  <c r="CG9" i="30"/>
  <c r="CS8" i="30"/>
  <c r="CR8" i="30"/>
  <c r="CQ8" i="30"/>
  <c r="CP8" i="30"/>
  <c r="CO8" i="30"/>
  <c r="CN8" i="30"/>
  <c r="CM8" i="30"/>
  <c r="CK8" i="30"/>
  <c r="CJ8" i="30"/>
  <c r="CL8" i="30" s="1"/>
  <c r="CH8" i="30"/>
  <c r="CG8" i="30"/>
  <c r="CS38" i="31"/>
  <c r="CR38" i="31"/>
  <c r="CQ38" i="31"/>
  <c r="CP38" i="31"/>
  <c r="CO38" i="31"/>
  <c r="CN38" i="31"/>
  <c r="CM38" i="31"/>
  <c r="CK38" i="31"/>
  <c r="CJ38" i="31"/>
  <c r="CL38" i="31" s="1"/>
  <c r="CH38" i="31"/>
  <c r="CG38" i="31"/>
  <c r="CS37" i="31"/>
  <c r="CR37" i="31"/>
  <c r="CQ37" i="31"/>
  <c r="CP37" i="31"/>
  <c r="CO37" i="31"/>
  <c r="CN37" i="31"/>
  <c r="CM37" i="31"/>
  <c r="CK37" i="31"/>
  <c r="CJ37" i="31"/>
  <c r="CL37" i="31" s="1"/>
  <c r="CH37" i="31"/>
  <c r="CG37" i="31"/>
  <c r="CS36" i="31"/>
  <c r="CR36" i="31"/>
  <c r="CQ36" i="31"/>
  <c r="CP36" i="31"/>
  <c r="CO36" i="31"/>
  <c r="CN36" i="31"/>
  <c r="CM36" i="31"/>
  <c r="CK36" i="31"/>
  <c r="CJ36" i="31"/>
  <c r="CL36" i="31" s="1"/>
  <c r="CH36" i="31"/>
  <c r="CG36" i="31"/>
  <c r="CS35" i="31"/>
  <c r="CR35" i="31"/>
  <c r="CQ35" i="31"/>
  <c r="CP35" i="31"/>
  <c r="CO35" i="31"/>
  <c r="CN35" i="31"/>
  <c r="CM35" i="31"/>
  <c r="CK35" i="31"/>
  <c r="CJ35" i="31"/>
  <c r="CL35" i="31" s="1"/>
  <c r="CH35" i="31"/>
  <c r="CG35" i="31"/>
  <c r="CS34" i="31"/>
  <c r="CR34" i="31"/>
  <c r="CQ34" i="31"/>
  <c r="CP34" i="31"/>
  <c r="CO34" i="31"/>
  <c r="CN34" i="31"/>
  <c r="CM34" i="31"/>
  <c r="CK34" i="31"/>
  <c r="CJ34" i="31"/>
  <c r="CL34" i="31" s="1"/>
  <c r="CH34" i="31"/>
  <c r="CG34" i="31"/>
  <c r="CS33" i="31"/>
  <c r="CR33" i="31"/>
  <c r="CQ33" i="31"/>
  <c r="CP33" i="31"/>
  <c r="CO33" i="31"/>
  <c r="CN33" i="31"/>
  <c r="CM33" i="31"/>
  <c r="CK33" i="31"/>
  <c r="CJ33" i="31"/>
  <c r="CL33" i="31" s="1"/>
  <c r="CH33" i="31"/>
  <c r="CG33" i="31"/>
  <c r="CS32" i="31"/>
  <c r="CR32" i="31"/>
  <c r="CQ32" i="31"/>
  <c r="CP32" i="31"/>
  <c r="CO32" i="31"/>
  <c r="CN32" i="31"/>
  <c r="CM32" i="31"/>
  <c r="CK32" i="31"/>
  <c r="CJ32" i="31"/>
  <c r="CL32" i="31" s="1"/>
  <c r="CH32" i="31"/>
  <c r="CG32" i="31"/>
  <c r="CS31" i="31"/>
  <c r="CR31" i="31"/>
  <c r="CQ31" i="31"/>
  <c r="CP31" i="31"/>
  <c r="CO31" i="31"/>
  <c r="CN31" i="31"/>
  <c r="CM31" i="31"/>
  <c r="CK31" i="31"/>
  <c r="CJ31" i="31"/>
  <c r="CL31" i="31" s="1"/>
  <c r="CH31" i="31"/>
  <c r="CG31" i="31"/>
  <c r="CS30" i="31"/>
  <c r="CR30" i="31"/>
  <c r="CQ30" i="31"/>
  <c r="CP30" i="31"/>
  <c r="CO30" i="31"/>
  <c r="CN30" i="31"/>
  <c r="CM30" i="31"/>
  <c r="CK30" i="31"/>
  <c r="CJ30" i="31"/>
  <c r="CL30" i="31" s="1"/>
  <c r="CH30" i="31"/>
  <c r="CG30" i="31"/>
  <c r="CS29" i="31"/>
  <c r="CR29" i="31"/>
  <c r="CQ29" i="31"/>
  <c r="CP29" i="31"/>
  <c r="CO29" i="31"/>
  <c r="CN29" i="31"/>
  <c r="CM29" i="31"/>
  <c r="CK29" i="31"/>
  <c r="CJ29" i="31"/>
  <c r="CL29" i="31" s="1"/>
  <c r="CH29" i="31"/>
  <c r="CG29" i="31"/>
  <c r="CS28" i="31"/>
  <c r="CR28" i="31"/>
  <c r="CQ28" i="31"/>
  <c r="CP28" i="31"/>
  <c r="CO28" i="31"/>
  <c r="CN28" i="31"/>
  <c r="CM28" i="31"/>
  <c r="CK28" i="31"/>
  <c r="CJ28" i="31"/>
  <c r="CL28" i="31" s="1"/>
  <c r="CH28" i="31"/>
  <c r="CG28" i="31"/>
  <c r="CS27" i="31"/>
  <c r="CR27" i="31"/>
  <c r="CQ27" i="31"/>
  <c r="CP27" i="31"/>
  <c r="CO27" i="31"/>
  <c r="CN27" i="31"/>
  <c r="CM27" i="31"/>
  <c r="CK27" i="31"/>
  <c r="CJ27" i="31"/>
  <c r="CL27" i="31" s="1"/>
  <c r="CH27" i="31"/>
  <c r="CG27" i="31"/>
  <c r="CS26" i="31"/>
  <c r="CR26" i="31"/>
  <c r="CQ26" i="31"/>
  <c r="CP26" i="31"/>
  <c r="CO26" i="31"/>
  <c r="CN26" i="31"/>
  <c r="CM26" i="31"/>
  <c r="CK26" i="31"/>
  <c r="CJ26" i="31"/>
  <c r="CL26" i="31" s="1"/>
  <c r="CH26" i="31"/>
  <c r="CG26" i="31"/>
  <c r="CS25" i="31"/>
  <c r="CR25" i="31"/>
  <c r="CQ25" i="31"/>
  <c r="CP25" i="31"/>
  <c r="CO25" i="31"/>
  <c r="CN25" i="31"/>
  <c r="CM25" i="31"/>
  <c r="CK25" i="31"/>
  <c r="CJ25" i="31"/>
  <c r="CL25" i="31" s="1"/>
  <c r="CH25" i="31"/>
  <c r="CG25" i="31"/>
  <c r="CS24" i="31"/>
  <c r="CR24" i="31"/>
  <c r="CQ24" i="31"/>
  <c r="CP24" i="31"/>
  <c r="CO24" i="31"/>
  <c r="CN24" i="31"/>
  <c r="CM24" i="31"/>
  <c r="CK24" i="31"/>
  <c r="CJ24" i="31"/>
  <c r="CL24" i="31" s="1"/>
  <c r="CH24" i="31"/>
  <c r="CG24" i="31"/>
  <c r="CS23" i="31"/>
  <c r="CR23" i="31"/>
  <c r="CQ23" i="31"/>
  <c r="CP23" i="31"/>
  <c r="CO23" i="31"/>
  <c r="CN23" i="31"/>
  <c r="CM23" i="31"/>
  <c r="CK23" i="31"/>
  <c r="CJ23" i="31"/>
  <c r="CL23" i="31" s="1"/>
  <c r="CH23" i="31"/>
  <c r="CG23" i="31"/>
  <c r="CS22" i="31"/>
  <c r="CR22" i="31"/>
  <c r="CQ22" i="31"/>
  <c r="CP22" i="31"/>
  <c r="CO22" i="31"/>
  <c r="CN22" i="31"/>
  <c r="CM22" i="31"/>
  <c r="CK22" i="31"/>
  <c r="CJ22" i="31"/>
  <c r="CL22" i="31" s="1"/>
  <c r="CH22" i="31"/>
  <c r="CG22" i="31"/>
  <c r="CS21" i="31"/>
  <c r="CR21" i="31"/>
  <c r="CQ21" i="31"/>
  <c r="CP21" i="31"/>
  <c r="CO21" i="31"/>
  <c r="CN21" i="31"/>
  <c r="CM21" i="31"/>
  <c r="CK21" i="31"/>
  <c r="CJ21" i="31"/>
  <c r="CL21" i="31" s="1"/>
  <c r="CH21" i="31"/>
  <c r="CG21" i="31"/>
  <c r="CS20" i="31"/>
  <c r="CR20" i="31"/>
  <c r="CQ20" i="31"/>
  <c r="CP20" i="31"/>
  <c r="CO20" i="31"/>
  <c r="CN20" i="31"/>
  <c r="CM20" i="31"/>
  <c r="CK20" i="31"/>
  <c r="CJ20" i="31"/>
  <c r="CL20" i="31" s="1"/>
  <c r="CH20" i="31"/>
  <c r="CG20" i="31"/>
  <c r="CS19" i="31"/>
  <c r="CR19" i="31"/>
  <c r="CQ19" i="31"/>
  <c r="CP19" i="31"/>
  <c r="CO19" i="31"/>
  <c r="CN19" i="31"/>
  <c r="CM19" i="31"/>
  <c r="CK19" i="31"/>
  <c r="CJ19" i="31"/>
  <c r="CL19" i="31" s="1"/>
  <c r="CH19" i="31"/>
  <c r="CG19" i="31"/>
  <c r="CS18" i="31"/>
  <c r="CR18" i="31"/>
  <c r="CQ18" i="31"/>
  <c r="CP18" i="31"/>
  <c r="CO18" i="31"/>
  <c r="CN18" i="31"/>
  <c r="CM18" i="31"/>
  <c r="CK18" i="31"/>
  <c r="CJ18" i="31"/>
  <c r="CL18" i="31" s="1"/>
  <c r="CH18" i="31"/>
  <c r="CG18" i="31"/>
  <c r="CS17" i="31"/>
  <c r="CR17" i="31"/>
  <c r="CQ17" i="31"/>
  <c r="CP17" i="31"/>
  <c r="CO17" i="31"/>
  <c r="CN17" i="31"/>
  <c r="CM17" i="31"/>
  <c r="CK17" i="31"/>
  <c r="CJ17" i="31"/>
  <c r="CL17" i="31" s="1"/>
  <c r="CH17" i="31"/>
  <c r="CG17" i="31"/>
  <c r="CS16" i="31"/>
  <c r="CR16" i="31"/>
  <c r="CQ16" i="31"/>
  <c r="CP16" i="31"/>
  <c r="CO16" i="31"/>
  <c r="CN16" i="31"/>
  <c r="CM16" i="31"/>
  <c r="CK16" i="31"/>
  <c r="CJ16" i="31"/>
  <c r="CL16" i="31" s="1"/>
  <c r="CH16" i="31"/>
  <c r="CG16" i="31"/>
  <c r="CS15" i="31"/>
  <c r="CR15" i="31"/>
  <c r="CQ15" i="31"/>
  <c r="CP15" i="31"/>
  <c r="CO15" i="31"/>
  <c r="CN15" i="31"/>
  <c r="CM15" i="31"/>
  <c r="CK15" i="31"/>
  <c r="CJ15" i="31"/>
  <c r="CL15" i="31" s="1"/>
  <c r="CH15" i="31"/>
  <c r="CG15" i="31"/>
  <c r="CS14" i="31"/>
  <c r="CR14" i="31"/>
  <c r="CQ14" i="31"/>
  <c r="CP14" i="31"/>
  <c r="CO14" i="31"/>
  <c r="CN14" i="31"/>
  <c r="CM14" i="31"/>
  <c r="CK14" i="31"/>
  <c r="CJ14" i="31"/>
  <c r="CL14" i="31" s="1"/>
  <c r="CH14" i="31"/>
  <c r="CG14" i="31"/>
  <c r="CS13" i="31"/>
  <c r="CR13" i="31"/>
  <c r="CQ13" i="31"/>
  <c r="CP13" i="31"/>
  <c r="CO13" i="31"/>
  <c r="CN13" i="31"/>
  <c r="CM13" i="31"/>
  <c r="CK13" i="31"/>
  <c r="CJ13" i="31"/>
  <c r="CL13" i="31" s="1"/>
  <c r="CH13" i="31"/>
  <c r="CG13" i="31"/>
  <c r="CS12" i="31"/>
  <c r="CR12" i="31"/>
  <c r="CQ12" i="31"/>
  <c r="CP12" i="31"/>
  <c r="CO12" i="31"/>
  <c r="CN12" i="31"/>
  <c r="CM12" i="31"/>
  <c r="CK12" i="31"/>
  <c r="CJ12" i="31"/>
  <c r="CL12" i="31" s="1"/>
  <c r="CH12" i="31"/>
  <c r="CG12" i="31"/>
  <c r="CS11" i="31"/>
  <c r="CR11" i="31"/>
  <c r="CQ11" i="31"/>
  <c r="CP11" i="31"/>
  <c r="CO11" i="31"/>
  <c r="CN11" i="31"/>
  <c r="CM11" i="31"/>
  <c r="CK11" i="31"/>
  <c r="CJ11" i="31"/>
  <c r="CL11" i="31" s="1"/>
  <c r="CH11" i="31"/>
  <c r="CG11" i="31"/>
  <c r="CS10" i="31"/>
  <c r="CR10" i="31"/>
  <c r="CQ10" i="31"/>
  <c r="CP10" i="31"/>
  <c r="CO10" i="31"/>
  <c r="CN10" i="31"/>
  <c r="CM10" i="31"/>
  <c r="CK10" i="31"/>
  <c r="CJ10" i="31"/>
  <c r="CL10" i="31" s="1"/>
  <c r="CH10" i="31"/>
  <c r="CG10" i="31"/>
  <c r="CS9" i="31"/>
  <c r="CR9" i="31"/>
  <c r="CQ9" i="31"/>
  <c r="CP9" i="31"/>
  <c r="CO9" i="31"/>
  <c r="CN9" i="31"/>
  <c r="CM9" i="31"/>
  <c r="CK9" i="31"/>
  <c r="CJ9" i="31"/>
  <c r="CL9" i="31" s="1"/>
  <c r="CH9" i="31"/>
  <c r="CG9" i="31"/>
  <c r="CS8" i="31"/>
  <c r="CR8" i="31"/>
  <c r="CQ8" i="31"/>
  <c r="CP8" i="31"/>
  <c r="CO8" i="31"/>
  <c r="CN8" i="31"/>
  <c r="CM8" i="31"/>
  <c r="CK8" i="31"/>
  <c r="CJ8" i="31"/>
  <c r="CL8" i="31" s="1"/>
  <c r="CH8" i="31"/>
  <c r="CG8" i="31"/>
  <c r="CS38" i="32"/>
  <c r="CR38" i="32"/>
  <c r="CQ38" i="32"/>
  <c r="CP38" i="32"/>
  <c r="CO38" i="32"/>
  <c r="CN38" i="32"/>
  <c r="CM38" i="32"/>
  <c r="CK38" i="32"/>
  <c r="CJ38" i="32"/>
  <c r="CL38" i="32" s="1"/>
  <c r="CH38" i="32"/>
  <c r="CG38" i="32"/>
  <c r="CS37" i="32"/>
  <c r="CR37" i="32"/>
  <c r="CQ37" i="32"/>
  <c r="CP37" i="32"/>
  <c r="CO37" i="32"/>
  <c r="CN37" i="32"/>
  <c r="CM37" i="32"/>
  <c r="CK37" i="32"/>
  <c r="CJ37" i="32"/>
  <c r="CL37" i="32" s="1"/>
  <c r="CH37" i="32"/>
  <c r="CG37" i="32"/>
  <c r="CS36" i="32"/>
  <c r="CR36" i="32"/>
  <c r="CQ36" i="32"/>
  <c r="CP36" i="32"/>
  <c r="CO36" i="32"/>
  <c r="CN36" i="32"/>
  <c r="CM36" i="32"/>
  <c r="CK36" i="32"/>
  <c r="CJ36" i="32"/>
  <c r="CL36" i="32" s="1"/>
  <c r="CH36" i="32"/>
  <c r="CG36" i="32"/>
  <c r="CS35" i="32"/>
  <c r="CR35" i="32"/>
  <c r="CQ35" i="32"/>
  <c r="CP35" i="32"/>
  <c r="CO35" i="32"/>
  <c r="CN35" i="32"/>
  <c r="CM35" i="32"/>
  <c r="CK35" i="32"/>
  <c r="CJ35" i="32"/>
  <c r="CL35" i="32" s="1"/>
  <c r="CH35" i="32"/>
  <c r="CG35" i="32"/>
  <c r="CS34" i="32"/>
  <c r="CR34" i="32"/>
  <c r="CQ34" i="32"/>
  <c r="CP34" i="32"/>
  <c r="CO34" i="32"/>
  <c r="CN34" i="32"/>
  <c r="CM34" i="32"/>
  <c r="CK34" i="32"/>
  <c r="CJ34" i="32"/>
  <c r="CL34" i="32" s="1"/>
  <c r="CH34" i="32"/>
  <c r="CG34" i="32"/>
  <c r="CS33" i="32"/>
  <c r="CR33" i="32"/>
  <c r="CQ33" i="32"/>
  <c r="CP33" i="32"/>
  <c r="CO33" i="32"/>
  <c r="CN33" i="32"/>
  <c r="CM33" i="32"/>
  <c r="CK33" i="32"/>
  <c r="CJ33" i="32"/>
  <c r="CL33" i="32" s="1"/>
  <c r="CH33" i="32"/>
  <c r="CG33" i="32"/>
  <c r="CS32" i="32"/>
  <c r="CR32" i="32"/>
  <c r="CQ32" i="32"/>
  <c r="CP32" i="32"/>
  <c r="CO32" i="32"/>
  <c r="CN32" i="32"/>
  <c r="CM32" i="32"/>
  <c r="CK32" i="32"/>
  <c r="CJ32" i="32"/>
  <c r="CL32" i="32" s="1"/>
  <c r="CH32" i="32"/>
  <c r="CG32" i="32"/>
  <c r="CS31" i="32"/>
  <c r="CR31" i="32"/>
  <c r="CQ31" i="32"/>
  <c r="CP31" i="32"/>
  <c r="CO31" i="32"/>
  <c r="CN31" i="32"/>
  <c r="CM31" i="32"/>
  <c r="CK31" i="32"/>
  <c r="CJ31" i="32"/>
  <c r="CL31" i="32" s="1"/>
  <c r="CH31" i="32"/>
  <c r="CG31" i="32"/>
  <c r="CS30" i="32"/>
  <c r="CR30" i="32"/>
  <c r="CQ30" i="32"/>
  <c r="CP30" i="32"/>
  <c r="CO30" i="32"/>
  <c r="CN30" i="32"/>
  <c r="CM30" i="32"/>
  <c r="CK30" i="32"/>
  <c r="CJ30" i="32"/>
  <c r="CL30" i="32" s="1"/>
  <c r="CH30" i="32"/>
  <c r="CG30" i="32"/>
  <c r="CS29" i="32"/>
  <c r="CR29" i="32"/>
  <c r="CQ29" i="32"/>
  <c r="CP29" i="32"/>
  <c r="CO29" i="32"/>
  <c r="CN29" i="32"/>
  <c r="CM29" i="32"/>
  <c r="CK29" i="32"/>
  <c r="CJ29" i="32"/>
  <c r="CL29" i="32" s="1"/>
  <c r="CH29" i="32"/>
  <c r="CG29" i="32"/>
  <c r="CS28" i="32"/>
  <c r="CR28" i="32"/>
  <c r="CQ28" i="32"/>
  <c r="CP28" i="32"/>
  <c r="CO28" i="32"/>
  <c r="CN28" i="32"/>
  <c r="CM28" i="32"/>
  <c r="CK28" i="32"/>
  <c r="CJ28" i="32"/>
  <c r="CL28" i="32" s="1"/>
  <c r="CH28" i="32"/>
  <c r="CG28" i="32"/>
  <c r="CS27" i="32"/>
  <c r="CR27" i="32"/>
  <c r="CQ27" i="32"/>
  <c r="CP27" i="32"/>
  <c r="CO27" i="32"/>
  <c r="CN27" i="32"/>
  <c r="CM27" i="32"/>
  <c r="CK27" i="32"/>
  <c r="CJ27" i="32"/>
  <c r="CL27" i="32" s="1"/>
  <c r="CH27" i="32"/>
  <c r="CG27" i="32"/>
  <c r="CS26" i="32"/>
  <c r="CR26" i="32"/>
  <c r="CQ26" i="32"/>
  <c r="CP26" i="32"/>
  <c r="CO26" i="32"/>
  <c r="CN26" i="32"/>
  <c r="CM26" i="32"/>
  <c r="CK26" i="32"/>
  <c r="CJ26" i="32"/>
  <c r="CL26" i="32" s="1"/>
  <c r="CH26" i="32"/>
  <c r="CG26" i="32"/>
  <c r="CS25" i="32"/>
  <c r="CR25" i="32"/>
  <c r="CQ25" i="32"/>
  <c r="CP25" i="32"/>
  <c r="CO25" i="32"/>
  <c r="CN25" i="32"/>
  <c r="CM25" i="32"/>
  <c r="CK25" i="32"/>
  <c r="CJ25" i="32"/>
  <c r="CL25" i="32" s="1"/>
  <c r="CH25" i="32"/>
  <c r="CG25" i="32"/>
  <c r="CS24" i="32"/>
  <c r="CR24" i="32"/>
  <c r="CQ24" i="32"/>
  <c r="CP24" i="32"/>
  <c r="CO24" i="32"/>
  <c r="CN24" i="32"/>
  <c r="CM24" i="32"/>
  <c r="CK24" i="32"/>
  <c r="CJ24" i="32"/>
  <c r="CL24" i="32" s="1"/>
  <c r="CH24" i="32"/>
  <c r="CG24" i="32"/>
  <c r="CR23" i="32"/>
  <c r="CQ23" i="32"/>
  <c r="CS23" i="32" s="1"/>
  <c r="CP23" i="32"/>
  <c r="CO23" i="32"/>
  <c r="CN23" i="32"/>
  <c r="CM23" i="32"/>
  <c r="CK23" i="32"/>
  <c r="CJ23" i="32"/>
  <c r="CL23" i="32" s="1"/>
  <c r="CH23" i="32"/>
  <c r="CG23" i="32"/>
  <c r="CS22" i="32"/>
  <c r="CR22" i="32"/>
  <c r="CQ22" i="32"/>
  <c r="CP22" i="32"/>
  <c r="CO22" i="32"/>
  <c r="CN22" i="32"/>
  <c r="CM22" i="32"/>
  <c r="CK22" i="32"/>
  <c r="CJ22" i="32"/>
  <c r="CL22" i="32" s="1"/>
  <c r="CH22" i="32"/>
  <c r="CG22" i="32"/>
  <c r="CS21" i="32"/>
  <c r="CR21" i="32"/>
  <c r="CQ21" i="32"/>
  <c r="CP21" i="32"/>
  <c r="CO21" i="32"/>
  <c r="CN21" i="32"/>
  <c r="CM21" i="32"/>
  <c r="CK21" i="32"/>
  <c r="CJ21" i="32"/>
  <c r="CH21" i="32"/>
  <c r="CG21" i="32"/>
  <c r="CS20" i="32"/>
  <c r="CR20" i="32"/>
  <c r="CQ20" i="32"/>
  <c r="CP20" i="32"/>
  <c r="CO20" i="32"/>
  <c r="CN20" i="32"/>
  <c r="CM20" i="32"/>
  <c r="CK20" i="32"/>
  <c r="CJ20" i="32"/>
  <c r="CL20" i="32" s="1"/>
  <c r="CH20" i="32"/>
  <c r="CG20" i="32"/>
  <c r="CS19" i="32"/>
  <c r="CR19" i="32"/>
  <c r="CQ19" i="32"/>
  <c r="CP19" i="32"/>
  <c r="CO19" i="32"/>
  <c r="CN19" i="32"/>
  <c r="CM19" i="32"/>
  <c r="CK19" i="32"/>
  <c r="CJ19" i="32"/>
  <c r="CL19" i="32" s="1"/>
  <c r="CH19" i="32"/>
  <c r="CG19" i="32"/>
  <c r="CS18" i="32"/>
  <c r="CR18" i="32"/>
  <c r="CQ18" i="32"/>
  <c r="CP18" i="32"/>
  <c r="CO18" i="32"/>
  <c r="CN18" i="32"/>
  <c r="CM18" i="32"/>
  <c r="CK18" i="32"/>
  <c r="CJ18" i="32"/>
  <c r="CL18" i="32" s="1"/>
  <c r="CH18" i="32"/>
  <c r="CG18" i="32"/>
  <c r="CS17" i="32"/>
  <c r="CR17" i="32"/>
  <c r="CQ17" i="32"/>
  <c r="CP17" i="32"/>
  <c r="CO17" i="32"/>
  <c r="CN17" i="32"/>
  <c r="CM17" i="32"/>
  <c r="CK17" i="32"/>
  <c r="CJ17" i="32"/>
  <c r="CH17" i="32"/>
  <c r="CG17" i="32"/>
  <c r="CS16" i="32"/>
  <c r="CR16" i="32"/>
  <c r="CQ16" i="32"/>
  <c r="CP16" i="32"/>
  <c r="CO16" i="32"/>
  <c r="CN16" i="32"/>
  <c r="CM16" i="32"/>
  <c r="CK16" i="32"/>
  <c r="CJ16" i="32"/>
  <c r="CL16" i="32" s="1"/>
  <c r="CH16" i="32"/>
  <c r="CG16" i="32"/>
  <c r="CR15" i="32"/>
  <c r="CQ15" i="32"/>
  <c r="CS15" i="32" s="1"/>
  <c r="CP15" i="32"/>
  <c r="CO15" i="32"/>
  <c r="CN15" i="32"/>
  <c r="CM15" i="32"/>
  <c r="CK15" i="32"/>
  <c r="CJ15" i="32"/>
  <c r="CL15" i="32" s="1"/>
  <c r="CH15" i="32"/>
  <c r="CG15" i="32"/>
  <c r="CS14" i="32"/>
  <c r="CR14" i="32"/>
  <c r="CQ14" i="32"/>
  <c r="CP14" i="32"/>
  <c r="CO14" i="32"/>
  <c r="CN14" i="32"/>
  <c r="CM14" i="32"/>
  <c r="CK14" i="32"/>
  <c r="CJ14" i="32"/>
  <c r="CL14" i="32" s="1"/>
  <c r="CH14" i="32"/>
  <c r="CG14" i="32"/>
  <c r="CS13" i="32"/>
  <c r="CR13" i="32"/>
  <c r="CQ13" i="32"/>
  <c r="CP13" i="32"/>
  <c r="CO13" i="32"/>
  <c r="CN13" i="32"/>
  <c r="CM13" i="32"/>
  <c r="CK13" i="32"/>
  <c r="CJ13" i="32"/>
  <c r="CH13" i="32"/>
  <c r="CG13" i="32"/>
  <c r="CS12" i="32"/>
  <c r="CR12" i="32"/>
  <c r="CQ12" i="32"/>
  <c r="CP12" i="32"/>
  <c r="CO12" i="32"/>
  <c r="CN12" i="32"/>
  <c r="CM12" i="32"/>
  <c r="CK12" i="32"/>
  <c r="CJ12" i="32"/>
  <c r="CL12" i="32" s="1"/>
  <c r="CH12" i="32"/>
  <c r="CG12" i="32"/>
  <c r="CR11" i="32"/>
  <c r="CQ11" i="32"/>
  <c r="CS11" i="32" s="1"/>
  <c r="CP11" i="32"/>
  <c r="CO11" i="32"/>
  <c r="CN11" i="32"/>
  <c r="CM11" i="32"/>
  <c r="CK11" i="32"/>
  <c r="CJ11" i="32"/>
  <c r="CL11" i="32" s="1"/>
  <c r="CH11" i="32"/>
  <c r="CG11" i="32"/>
  <c r="CR10" i="32"/>
  <c r="CQ10" i="32"/>
  <c r="CS10" i="32" s="1"/>
  <c r="CP10" i="32"/>
  <c r="CO10" i="32"/>
  <c r="CN10" i="32"/>
  <c r="CM10" i="32"/>
  <c r="CK10" i="32"/>
  <c r="CJ10" i="32"/>
  <c r="CL10" i="32" s="1"/>
  <c r="CH10" i="32"/>
  <c r="CG10" i="32"/>
  <c r="CR9" i="32"/>
  <c r="CQ9" i="32"/>
  <c r="CS9" i="32" s="1"/>
  <c r="CP9" i="32"/>
  <c r="CO9" i="32"/>
  <c r="CN9" i="32"/>
  <c r="CM9" i="32"/>
  <c r="CK9" i="32"/>
  <c r="CJ9" i="32"/>
  <c r="CL9" i="32" s="1"/>
  <c r="CH9" i="32"/>
  <c r="CG9" i="32"/>
  <c r="CR8" i="32"/>
  <c r="CQ8" i="32"/>
  <c r="CS8" i="32" s="1"/>
  <c r="CP8" i="32"/>
  <c r="CO8" i="32"/>
  <c r="CN8" i="32"/>
  <c r="CM8" i="32"/>
  <c r="CK8" i="32"/>
  <c r="CJ8" i="32"/>
  <c r="CL8" i="32" s="1"/>
  <c r="CH8" i="32"/>
  <c r="CG8" i="32"/>
  <c r="CS38" i="33"/>
  <c r="CR38" i="33"/>
  <c r="CQ38" i="33"/>
  <c r="CP38" i="33"/>
  <c r="CO38" i="33"/>
  <c r="CN38" i="33"/>
  <c r="CM38" i="33"/>
  <c r="CL38" i="33"/>
  <c r="CK38" i="33"/>
  <c r="CJ38" i="33"/>
  <c r="CH38" i="33"/>
  <c r="CG38" i="33"/>
  <c r="CS37" i="33"/>
  <c r="CR37" i="33"/>
  <c r="CQ37" i="33"/>
  <c r="CP37" i="33"/>
  <c r="CO37" i="33"/>
  <c r="CN37" i="33"/>
  <c r="CM37" i="33"/>
  <c r="CK37" i="33"/>
  <c r="CJ37" i="33"/>
  <c r="CH37" i="33"/>
  <c r="CG37" i="33"/>
  <c r="CR36" i="33"/>
  <c r="CQ36" i="33"/>
  <c r="CS36" i="33" s="1"/>
  <c r="CP36" i="33"/>
  <c r="CO36" i="33"/>
  <c r="CN36" i="33"/>
  <c r="CM36" i="33"/>
  <c r="CL36" i="33"/>
  <c r="CK36" i="33"/>
  <c r="CJ36" i="33"/>
  <c r="CH36" i="33"/>
  <c r="CG36" i="33"/>
  <c r="CS35" i="33"/>
  <c r="CR35" i="33"/>
  <c r="CQ35" i="33"/>
  <c r="CP35" i="33"/>
  <c r="CO35" i="33"/>
  <c r="CN35" i="33"/>
  <c r="CM35" i="33"/>
  <c r="CK35" i="33"/>
  <c r="CL35" i="33" s="1"/>
  <c r="CJ35" i="33"/>
  <c r="CH35" i="33"/>
  <c r="CG35" i="33"/>
  <c r="CR34" i="33"/>
  <c r="CQ34" i="33"/>
  <c r="CS34" i="33" s="1"/>
  <c r="CP34" i="33"/>
  <c r="CO34" i="33"/>
  <c r="CN34" i="33"/>
  <c r="CM34" i="33"/>
  <c r="CK34" i="33"/>
  <c r="CJ34" i="33"/>
  <c r="CL34" i="33" s="1"/>
  <c r="CH34" i="33"/>
  <c r="CG34" i="33"/>
  <c r="CR33" i="33"/>
  <c r="CQ33" i="33"/>
  <c r="CS33" i="33" s="1"/>
  <c r="CP33" i="33"/>
  <c r="CO33" i="33"/>
  <c r="CN33" i="33"/>
  <c r="CM33" i="33"/>
  <c r="CL33" i="33"/>
  <c r="CK33" i="33"/>
  <c r="CJ33" i="33"/>
  <c r="CH33" i="33"/>
  <c r="CG33" i="33"/>
  <c r="CR32" i="33"/>
  <c r="CQ32" i="33"/>
  <c r="CS32" i="33" s="1"/>
  <c r="CP32" i="33"/>
  <c r="CO32" i="33"/>
  <c r="CN32" i="33"/>
  <c r="CM32" i="33"/>
  <c r="CL32" i="33"/>
  <c r="CK32" i="33"/>
  <c r="CJ32" i="33"/>
  <c r="CH32" i="33"/>
  <c r="CG32" i="33"/>
  <c r="CS31" i="33"/>
  <c r="CR31" i="33"/>
  <c r="CQ31" i="33"/>
  <c r="CP31" i="33"/>
  <c r="CO31" i="33"/>
  <c r="CN31" i="33"/>
  <c r="CM31" i="33"/>
  <c r="CK31" i="33"/>
  <c r="CL31" i="33" s="1"/>
  <c r="CJ31" i="33"/>
  <c r="CH31" i="33"/>
  <c r="CG31" i="33"/>
  <c r="CR30" i="33"/>
  <c r="CQ30" i="33"/>
  <c r="CS30" i="33" s="1"/>
  <c r="CP30" i="33"/>
  <c r="CO30" i="33"/>
  <c r="CN30" i="33"/>
  <c r="CM30" i="33"/>
  <c r="CK30" i="33"/>
  <c r="CJ30" i="33"/>
  <c r="CL30" i="33" s="1"/>
  <c r="CH30" i="33"/>
  <c r="CG30" i="33"/>
  <c r="CR29" i="33"/>
  <c r="CQ29" i="33"/>
  <c r="CS29" i="33" s="1"/>
  <c r="CP29" i="33"/>
  <c r="CO29" i="33"/>
  <c r="CN29" i="33"/>
  <c r="CM29" i="33"/>
  <c r="CL29" i="33"/>
  <c r="CK29" i="33"/>
  <c r="CJ29" i="33"/>
  <c r="CH29" i="33"/>
  <c r="CG29" i="33"/>
  <c r="CR28" i="33"/>
  <c r="CQ28" i="33"/>
  <c r="CS28" i="33" s="1"/>
  <c r="CP28" i="33"/>
  <c r="CO28" i="33"/>
  <c r="CN28" i="33"/>
  <c r="CM28" i="33"/>
  <c r="CL28" i="33"/>
  <c r="CK28" i="33"/>
  <c r="CJ28" i="33"/>
  <c r="CH28" i="33"/>
  <c r="CG28" i="33"/>
  <c r="CS27" i="33"/>
  <c r="CR27" i="33"/>
  <c r="CQ27" i="33"/>
  <c r="CP27" i="33"/>
  <c r="CO27" i="33"/>
  <c r="CN27" i="33"/>
  <c r="CM27" i="33"/>
  <c r="CK27" i="33"/>
  <c r="CL27" i="33" s="1"/>
  <c r="CJ27" i="33"/>
  <c r="CH27" i="33"/>
  <c r="CG27" i="33"/>
  <c r="CR26" i="33"/>
  <c r="CQ26" i="33"/>
  <c r="CS26" i="33" s="1"/>
  <c r="CP26" i="33"/>
  <c r="CO26" i="33"/>
  <c r="CN26" i="33"/>
  <c r="CM26" i="33"/>
  <c r="CK26" i="33"/>
  <c r="CJ26" i="33"/>
  <c r="CL26" i="33" s="1"/>
  <c r="CH26" i="33"/>
  <c r="CG26" i="33"/>
  <c r="CR25" i="33"/>
  <c r="CQ25" i="33"/>
  <c r="CS25" i="33" s="1"/>
  <c r="CP25" i="33"/>
  <c r="CO25" i="33"/>
  <c r="CN25" i="33"/>
  <c r="CM25" i="33"/>
  <c r="CL25" i="33"/>
  <c r="CK25" i="33"/>
  <c r="CJ25" i="33"/>
  <c r="CH25" i="33"/>
  <c r="CG25" i="33"/>
  <c r="CR24" i="33"/>
  <c r="CQ24" i="33"/>
  <c r="CS24" i="33" s="1"/>
  <c r="CP24" i="33"/>
  <c r="CO24" i="33"/>
  <c r="CN24" i="33"/>
  <c r="CM24" i="33"/>
  <c r="CK24" i="33"/>
  <c r="CJ24" i="33"/>
  <c r="CL24" i="33" s="1"/>
  <c r="CH24" i="33"/>
  <c r="CG24" i="33"/>
  <c r="CS23" i="33"/>
  <c r="CR23" i="33"/>
  <c r="CQ23" i="33"/>
  <c r="CP23" i="33"/>
  <c r="CO23" i="33"/>
  <c r="CN23" i="33"/>
  <c r="CM23" i="33"/>
  <c r="CK23" i="33"/>
  <c r="CL23" i="33" s="1"/>
  <c r="CJ23" i="33"/>
  <c r="CH23" i="33"/>
  <c r="CG23" i="33"/>
  <c r="CR22" i="33"/>
  <c r="CQ22" i="33"/>
  <c r="CS22" i="33" s="1"/>
  <c r="CP22" i="33"/>
  <c r="CO22" i="33"/>
  <c r="CN22" i="33"/>
  <c r="CM22" i="33"/>
  <c r="CK22" i="33"/>
  <c r="CJ22" i="33"/>
  <c r="CH22" i="33"/>
  <c r="CG22" i="33"/>
  <c r="CR21" i="33"/>
  <c r="CQ21" i="33"/>
  <c r="CS21" i="33" s="1"/>
  <c r="CP21" i="33"/>
  <c r="CO21" i="33"/>
  <c r="CN21" i="33"/>
  <c r="CM21" i="33"/>
  <c r="CL21" i="33"/>
  <c r="CK21" i="33"/>
  <c r="CJ21" i="33"/>
  <c r="CH21" i="33"/>
  <c r="CG21" i="33"/>
  <c r="CR20" i="33"/>
  <c r="CQ20" i="33"/>
  <c r="CS20" i="33" s="1"/>
  <c r="CP20" i="33"/>
  <c r="CO20" i="33"/>
  <c r="CN20" i="33"/>
  <c r="CM20" i="33"/>
  <c r="CK20" i="33"/>
  <c r="CJ20" i="33"/>
  <c r="CL20" i="33" s="1"/>
  <c r="CH20" i="33"/>
  <c r="CG20" i="33"/>
  <c r="CS19" i="33"/>
  <c r="CR19" i="33"/>
  <c r="CQ19" i="33"/>
  <c r="CP19" i="33"/>
  <c r="CO19" i="33"/>
  <c r="CN19" i="33"/>
  <c r="CM19" i="33"/>
  <c r="CK19" i="33"/>
  <c r="CL19" i="33" s="1"/>
  <c r="CJ19" i="33"/>
  <c r="CH19" i="33"/>
  <c r="CG19" i="33"/>
  <c r="CR18" i="33"/>
  <c r="CQ18" i="33"/>
  <c r="CS18" i="33" s="1"/>
  <c r="CP18" i="33"/>
  <c r="CO18" i="33"/>
  <c r="CN18" i="33"/>
  <c r="CM18" i="33"/>
  <c r="CK18" i="33"/>
  <c r="CJ18" i="33"/>
  <c r="CL18" i="33" s="1"/>
  <c r="CH18" i="33"/>
  <c r="CG18" i="33"/>
  <c r="CR17" i="33"/>
  <c r="CQ17" i="33"/>
  <c r="CS17" i="33" s="1"/>
  <c r="CP17" i="33"/>
  <c r="CO17" i="33"/>
  <c r="CN17" i="33"/>
  <c r="CM17" i="33"/>
  <c r="CL17" i="33"/>
  <c r="CK17" i="33"/>
  <c r="CJ17" i="33"/>
  <c r="CH17" i="33"/>
  <c r="CG17" i="33"/>
  <c r="CR16" i="33"/>
  <c r="CQ16" i="33"/>
  <c r="CS16" i="33" s="1"/>
  <c r="CP16" i="33"/>
  <c r="CO16" i="33"/>
  <c r="CN16" i="33"/>
  <c r="CM16" i="33"/>
  <c r="CK16" i="33"/>
  <c r="CJ16" i="33"/>
  <c r="CL16" i="33" s="1"/>
  <c r="CH16" i="33"/>
  <c r="CG16" i="33"/>
  <c r="CS15" i="33"/>
  <c r="CR15" i="33"/>
  <c r="CQ15" i="33"/>
  <c r="CP15" i="33"/>
  <c r="CO15" i="33"/>
  <c r="CN15" i="33"/>
  <c r="CM15" i="33"/>
  <c r="CK15" i="33"/>
  <c r="CL15" i="33" s="1"/>
  <c r="CJ15" i="33"/>
  <c r="CH15" i="33"/>
  <c r="CG15" i="33"/>
  <c r="CR14" i="33"/>
  <c r="CQ14" i="33"/>
  <c r="CS14" i="33" s="1"/>
  <c r="CP14" i="33"/>
  <c r="CO14" i="33"/>
  <c r="CN14" i="33"/>
  <c r="CM14" i="33"/>
  <c r="CK14" i="33"/>
  <c r="CJ14" i="33"/>
  <c r="CH14" i="33"/>
  <c r="CG14" i="33"/>
  <c r="CR13" i="33"/>
  <c r="CQ13" i="33"/>
  <c r="CS13" i="33" s="1"/>
  <c r="CP13" i="33"/>
  <c r="CO13" i="33"/>
  <c r="CN13" i="33"/>
  <c r="CM13" i="33"/>
  <c r="CL13" i="33"/>
  <c r="CK13" i="33"/>
  <c r="CJ13" i="33"/>
  <c r="CH13" i="33"/>
  <c r="CG13" i="33"/>
  <c r="CR12" i="33"/>
  <c r="CQ12" i="33"/>
  <c r="CS12" i="33" s="1"/>
  <c r="CP12" i="33"/>
  <c r="CO12" i="33"/>
  <c r="CN12" i="33"/>
  <c r="CM12" i="33"/>
  <c r="CK12" i="33"/>
  <c r="CJ12" i="33"/>
  <c r="CL12" i="33" s="1"/>
  <c r="CH12" i="33"/>
  <c r="CG12" i="33"/>
  <c r="CS11" i="33"/>
  <c r="CR11" i="33"/>
  <c r="CQ11" i="33"/>
  <c r="CP11" i="33"/>
  <c r="CO11" i="33"/>
  <c r="CN11" i="33"/>
  <c r="CM11" i="33"/>
  <c r="CK11" i="33"/>
  <c r="CL11" i="33" s="1"/>
  <c r="CJ11" i="33"/>
  <c r="CH11" i="33"/>
  <c r="CG11" i="33"/>
  <c r="CR10" i="33"/>
  <c r="CQ10" i="33"/>
  <c r="CS10" i="33" s="1"/>
  <c r="CP10" i="33"/>
  <c r="CO10" i="33"/>
  <c r="CN10" i="33"/>
  <c r="CM10" i="33"/>
  <c r="CK10" i="33"/>
  <c r="CJ10" i="33"/>
  <c r="CL10" i="33" s="1"/>
  <c r="CH10" i="33"/>
  <c r="CG10" i="33"/>
  <c r="CR9" i="33"/>
  <c r="CQ9" i="33"/>
  <c r="CS9" i="33" s="1"/>
  <c r="CP9" i="33"/>
  <c r="CO9" i="33"/>
  <c r="CN9" i="33"/>
  <c r="CM9" i="33"/>
  <c r="CL9" i="33"/>
  <c r="CK9" i="33"/>
  <c r="CJ9" i="33"/>
  <c r="CH9" i="33"/>
  <c r="CG9" i="33"/>
  <c r="CR8" i="33"/>
  <c r="CQ8" i="33"/>
  <c r="CS8" i="33" s="1"/>
  <c r="CP8" i="33"/>
  <c r="CO8" i="33"/>
  <c r="CN8" i="33"/>
  <c r="CM8" i="33"/>
  <c r="CK8" i="33"/>
  <c r="CJ8" i="33"/>
  <c r="CL8" i="33" s="1"/>
  <c r="CH8" i="33"/>
  <c r="CG8" i="33"/>
  <c r="CS38" i="34"/>
  <c r="CR38" i="34"/>
  <c r="CQ38" i="34"/>
  <c r="CP38" i="34"/>
  <c r="CO38" i="34"/>
  <c r="CN38" i="34"/>
  <c r="CM38" i="34"/>
  <c r="CK38" i="34"/>
  <c r="CL38" i="34" s="1"/>
  <c r="CJ38" i="34"/>
  <c r="CH38" i="34"/>
  <c r="CG38" i="34"/>
  <c r="CR37" i="34"/>
  <c r="CQ37" i="34"/>
  <c r="CS37" i="34" s="1"/>
  <c r="CP37" i="34"/>
  <c r="CO37" i="34"/>
  <c r="CN37" i="34"/>
  <c r="CM37" i="34"/>
  <c r="CK37" i="34"/>
  <c r="CJ37" i="34"/>
  <c r="CH37" i="34"/>
  <c r="CG37" i="34"/>
  <c r="CR36" i="34"/>
  <c r="CQ36" i="34"/>
  <c r="CS36" i="34" s="1"/>
  <c r="CP36" i="34"/>
  <c r="CO36" i="34"/>
  <c r="CN36" i="34"/>
  <c r="CM36" i="34"/>
  <c r="CL36" i="34"/>
  <c r="CK36" i="34"/>
  <c r="CJ36" i="34"/>
  <c r="CH36" i="34"/>
  <c r="CG36" i="34"/>
  <c r="CR35" i="34"/>
  <c r="CQ35" i="34"/>
  <c r="CS35" i="34" s="1"/>
  <c r="CP35" i="34"/>
  <c r="CO35" i="34"/>
  <c r="CN35" i="34"/>
  <c r="CM35" i="34"/>
  <c r="CK35" i="34"/>
  <c r="CJ35" i="34"/>
  <c r="CL35" i="34" s="1"/>
  <c r="CH35" i="34"/>
  <c r="CG35" i="34"/>
  <c r="CS34" i="34"/>
  <c r="CR34" i="34"/>
  <c r="CQ34" i="34"/>
  <c r="CP34" i="34"/>
  <c r="CO34" i="34"/>
  <c r="CN34" i="34"/>
  <c r="CM34" i="34"/>
  <c r="CK34" i="34"/>
  <c r="CL34" i="34" s="1"/>
  <c r="CJ34" i="34"/>
  <c r="CH34" i="34"/>
  <c r="CG34" i="34"/>
  <c r="CR33" i="34"/>
  <c r="CQ33" i="34"/>
  <c r="CS33" i="34" s="1"/>
  <c r="CP33" i="34"/>
  <c r="CO33" i="34"/>
  <c r="CN33" i="34"/>
  <c r="CM33" i="34"/>
  <c r="CK33" i="34"/>
  <c r="CJ33" i="34"/>
  <c r="CL33" i="34" s="1"/>
  <c r="CH33" i="34"/>
  <c r="CG33" i="34"/>
  <c r="CR32" i="34"/>
  <c r="CQ32" i="34"/>
  <c r="CS32" i="34" s="1"/>
  <c r="CP32" i="34"/>
  <c r="CO32" i="34"/>
  <c r="CN32" i="34"/>
  <c r="CM32" i="34"/>
  <c r="CL32" i="34"/>
  <c r="CK32" i="34"/>
  <c r="CJ32" i="34"/>
  <c r="CH32" i="34"/>
  <c r="CG32" i="34"/>
  <c r="CR31" i="34"/>
  <c r="CQ31" i="34"/>
  <c r="CS31" i="34" s="1"/>
  <c r="CP31" i="34"/>
  <c r="CO31" i="34"/>
  <c r="CN31" i="34"/>
  <c r="CM31" i="34"/>
  <c r="CK31" i="34"/>
  <c r="CJ31" i="34"/>
  <c r="CL31" i="34" s="1"/>
  <c r="CH31" i="34"/>
  <c r="CG31" i="34"/>
  <c r="CS30" i="34"/>
  <c r="CR30" i="34"/>
  <c r="CQ30" i="34"/>
  <c r="CP30" i="34"/>
  <c r="CO30" i="34"/>
  <c r="CN30" i="34"/>
  <c r="CM30" i="34"/>
  <c r="CK30" i="34"/>
  <c r="CL30" i="34" s="1"/>
  <c r="CJ30" i="34"/>
  <c r="CH30" i="34"/>
  <c r="CG30" i="34"/>
  <c r="CR29" i="34"/>
  <c r="CQ29" i="34"/>
  <c r="CS29" i="34" s="1"/>
  <c r="CP29" i="34"/>
  <c r="CO29" i="34"/>
  <c r="CN29" i="34"/>
  <c r="CM29" i="34"/>
  <c r="CK29" i="34"/>
  <c r="CJ29" i="34"/>
  <c r="CH29" i="34"/>
  <c r="CG29" i="34"/>
  <c r="CR28" i="34"/>
  <c r="CQ28" i="34"/>
  <c r="CS28" i="34" s="1"/>
  <c r="CP28" i="34"/>
  <c r="CO28" i="34"/>
  <c r="CN28" i="34"/>
  <c r="CM28" i="34"/>
  <c r="CL28" i="34"/>
  <c r="CK28" i="34"/>
  <c r="CJ28" i="34"/>
  <c r="CH28" i="34"/>
  <c r="CG28" i="34"/>
  <c r="CR27" i="34"/>
  <c r="CQ27" i="34"/>
  <c r="CS27" i="34" s="1"/>
  <c r="CP27" i="34"/>
  <c r="CO27" i="34"/>
  <c r="CN27" i="34"/>
  <c r="CM27" i="34"/>
  <c r="CK27" i="34"/>
  <c r="CJ27" i="34"/>
  <c r="CL27" i="34" s="1"/>
  <c r="CH27" i="34"/>
  <c r="CG27" i="34"/>
  <c r="CS26" i="34"/>
  <c r="CR26" i="34"/>
  <c r="CQ26" i="34"/>
  <c r="CP26" i="34"/>
  <c r="CO26" i="34"/>
  <c r="CN26" i="34"/>
  <c r="CM26" i="34"/>
  <c r="CK26" i="34"/>
  <c r="CL26" i="34" s="1"/>
  <c r="CJ26" i="34"/>
  <c r="CH26" i="34"/>
  <c r="CG26" i="34"/>
  <c r="CR25" i="34"/>
  <c r="CQ25" i="34"/>
  <c r="CS25" i="34" s="1"/>
  <c r="CP25" i="34"/>
  <c r="CO25" i="34"/>
  <c r="CN25" i="34"/>
  <c r="CM25" i="34"/>
  <c r="CK25" i="34"/>
  <c r="CJ25" i="34"/>
  <c r="CH25" i="34"/>
  <c r="CG25" i="34"/>
  <c r="CR24" i="34"/>
  <c r="CQ24" i="34"/>
  <c r="CS24" i="34" s="1"/>
  <c r="CP24" i="34"/>
  <c r="CO24" i="34"/>
  <c r="CN24" i="34"/>
  <c r="CM24" i="34"/>
  <c r="CL24" i="34"/>
  <c r="CK24" i="34"/>
  <c r="CJ24" i="34"/>
  <c r="CH24" i="34"/>
  <c r="CG24" i="34"/>
  <c r="CR23" i="34"/>
  <c r="CQ23" i="34"/>
  <c r="CS23" i="34" s="1"/>
  <c r="CP23" i="34"/>
  <c r="CO23" i="34"/>
  <c r="CN23" i="34"/>
  <c r="CM23" i="34"/>
  <c r="CK23" i="34"/>
  <c r="CJ23" i="34"/>
  <c r="CL23" i="34" s="1"/>
  <c r="CH23" i="34"/>
  <c r="CG23" i="34"/>
  <c r="CS22" i="34"/>
  <c r="CR22" i="34"/>
  <c r="CQ22" i="34"/>
  <c r="CP22" i="34"/>
  <c r="CO22" i="34"/>
  <c r="CN22" i="34"/>
  <c r="CM22" i="34"/>
  <c r="CK22" i="34"/>
  <c r="CL22" i="34" s="1"/>
  <c r="CJ22" i="34"/>
  <c r="CH22" i="34"/>
  <c r="CG22" i="34"/>
  <c r="CR21" i="34"/>
  <c r="CQ21" i="34"/>
  <c r="CS21" i="34" s="1"/>
  <c r="CP21" i="34"/>
  <c r="CO21" i="34"/>
  <c r="CN21" i="34"/>
  <c r="CM21" i="34"/>
  <c r="CK21" i="34"/>
  <c r="CJ21" i="34"/>
  <c r="CH21" i="34"/>
  <c r="CG21" i="34"/>
  <c r="CR20" i="34"/>
  <c r="CQ20" i="34"/>
  <c r="CS20" i="34" s="1"/>
  <c r="CP20" i="34"/>
  <c r="CO20" i="34"/>
  <c r="CN20" i="34"/>
  <c r="CM20" i="34"/>
  <c r="CL20" i="34"/>
  <c r="CK20" i="34"/>
  <c r="CJ20" i="34"/>
  <c r="CH20" i="34"/>
  <c r="CG20" i="34"/>
  <c r="CR19" i="34"/>
  <c r="CQ19" i="34"/>
  <c r="CS19" i="34" s="1"/>
  <c r="CP19" i="34"/>
  <c r="CO19" i="34"/>
  <c r="CN19" i="34"/>
  <c r="CM19" i="34"/>
  <c r="CK19" i="34"/>
  <c r="CJ19" i="34"/>
  <c r="CL19" i="34" s="1"/>
  <c r="CH19" i="34"/>
  <c r="CG19" i="34"/>
  <c r="CS18" i="34"/>
  <c r="CR18" i="34"/>
  <c r="CQ18" i="34"/>
  <c r="CP18" i="34"/>
  <c r="CO18" i="34"/>
  <c r="CN18" i="34"/>
  <c r="CM18" i="34"/>
  <c r="CK18" i="34"/>
  <c r="CL18" i="34" s="1"/>
  <c r="CJ18" i="34"/>
  <c r="CH18" i="34"/>
  <c r="CG18" i="34"/>
  <c r="CR17" i="34"/>
  <c r="CQ17" i="34"/>
  <c r="CS17" i="34" s="1"/>
  <c r="CP17" i="34"/>
  <c r="CO17" i="34"/>
  <c r="CN17" i="34"/>
  <c r="CM17" i="34"/>
  <c r="CK17" i="34"/>
  <c r="CJ17" i="34"/>
  <c r="CL17" i="34" s="1"/>
  <c r="CH17" i="34"/>
  <c r="CG17" i="34"/>
  <c r="CR16" i="34"/>
  <c r="CQ16" i="34"/>
  <c r="CS16" i="34" s="1"/>
  <c r="CP16" i="34"/>
  <c r="CO16" i="34"/>
  <c r="CN16" i="34"/>
  <c r="CM16" i="34"/>
  <c r="CL16" i="34"/>
  <c r="CK16" i="34"/>
  <c r="CJ16" i="34"/>
  <c r="CH16" i="34"/>
  <c r="CG16" i="34"/>
  <c r="CR15" i="34"/>
  <c r="CQ15" i="34"/>
  <c r="CS15" i="34" s="1"/>
  <c r="CP15" i="34"/>
  <c r="CO15" i="34"/>
  <c r="CN15" i="34"/>
  <c r="CM15" i="34"/>
  <c r="CK15" i="34"/>
  <c r="CJ15" i="34"/>
  <c r="CL15" i="34" s="1"/>
  <c r="CH15" i="34"/>
  <c r="CG15" i="34"/>
  <c r="CS14" i="34"/>
  <c r="CR14" i="34"/>
  <c r="CQ14" i="34"/>
  <c r="CP14" i="34"/>
  <c r="CO14" i="34"/>
  <c r="CN14" i="34"/>
  <c r="CM14" i="34"/>
  <c r="CK14" i="34"/>
  <c r="CL14" i="34" s="1"/>
  <c r="CJ14" i="34"/>
  <c r="CH14" i="34"/>
  <c r="CG14" i="34"/>
  <c r="CR13" i="34"/>
  <c r="CQ13" i="34"/>
  <c r="CS13" i="34" s="1"/>
  <c r="CP13" i="34"/>
  <c r="CO13" i="34"/>
  <c r="CN13" i="34"/>
  <c r="CM13" i="34"/>
  <c r="CK13" i="34"/>
  <c r="CJ13" i="34"/>
  <c r="CH13" i="34"/>
  <c r="CG13" i="34"/>
  <c r="CR12" i="34"/>
  <c r="CQ12" i="34"/>
  <c r="CS12" i="34" s="1"/>
  <c r="CP12" i="34"/>
  <c r="CO12" i="34"/>
  <c r="CN12" i="34"/>
  <c r="CM12" i="34"/>
  <c r="CL12" i="34"/>
  <c r="CK12" i="34"/>
  <c r="CJ12" i="34"/>
  <c r="CH12" i="34"/>
  <c r="CG12" i="34"/>
  <c r="CR11" i="34"/>
  <c r="CQ11" i="34"/>
  <c r="CS11" i="34" s="1"/>
  <c r="CP11" i="34"/>
  <c r="CO11" i="34"/>
  <c r="CN11" i="34"/>
  <c r="CM11" i="34"/>
  <c r="CK11" i="34"/>
  <c r="CJ11" i="34"/>
  <c r="CL11" i="34" s="1"/>
  <c r="CH11" i="34"/>
  <c r="CG11" i="34"/>
  <c r="CS10" i="34"/>
  <c r="CR10" i="34"/>
  <c r="CQ10" i="34"/>
  <c r="CP10" i="34"/>
  <c r="CO10" i="34"/>
  <c r="CN10" i="34"/>
  <c r="CM10" i="34"/>
  <c r="CK10" i="34"/>
  <c r="CL10" i="34" s="1"/>
  <c r="CJ10" i="34"/>
  <c r="CH10" i="34"/>
  <c r="CG10" i="34"/>
  <c r="CR9" i="34"/>
  <c r="CQ9" i="34"/>
  <c r="CS9" i="34" s="1"/>
  <c r="CP9" i="34"/>
  <c r="CO9" i="34"/>
  <c r="CN9" i="34"/>
  <c r="CM9" i="34"/>
  <c r="CK9" i="34"/>
  <c r="CJ9" i="34"/>
  <c r="CL9" i="34" s="1"/>
  <c r="CH9" i="34"/>
  <c r="CG9" i="34"/>
  <c r="CR8" i="34"/>
  <c r="CQ8" i="34"/>
  <c r="CS8" i="34" s="1"/>
  <c r="CP8" i="34"/>
  <c r="CO8" i="34"/>
  <c r="CN8" i="34"/>
  <c r="CM8" i="34"/>
  <c r="CL8" i="34"/>
  <c r="CK8" i="34"/>
  <c r="CJ8" i="34"/>
  <c r="CH8" i="34"/>
  <c r="CG8" i="34"/>
  <c r="CR38" i="35"/>
  <c r="CQ38" i="35"/>
  <c r="CS38" i="35" s="1"/>
  <c r="CP38" i="35"/>
  <c r="CO38" i="35"/>
  <c r="CN38" i="35"/>
  <c r="CM38" i="35"/>
  <c r="CK38" i="35"/>
  <c r="CJ38" i="35"/>
  <c r="CL38" i="35" s="1"/>
  <c r="CH38" i="35"/>
  <c r="CG38" i="35"/>
  <c r="CS37" i="35"/>
  <c r="CR37" i="35"/>
  <c r="CQ37" i="35"/>
  <c r="CP37" i="35"/>
  <c r="CO37" i="35"/>
  <c r="CN37" i="35"/>
  <c r="CM37" i="35"/>
  <c r="CL37" i="35"/>
  <c r="CK37" i="35"/>
  <c r="CJ37" i="35"/>
  <c r="CH37" i="35"/>
  <c r="CG37" i="35"/>
  <c r="CR36" i="35"/>
  <c r="CQ36" i="35"/>
  <c r="CS36" i="35" s="1"/>
  <c r="CP36" i="35"/>
  <c r="CO36" i="35"/>
  <c r="CN36" i="35"/>
  <c r="CM36" i="35"/>
  <c r="CK36" i="35"/>
  <c r="CJ36" i="35"/>
  <c r="CL36" i="35" s="1"/>
  <c r="CH36" i="35"/>
  <c r="CG36" i="35"/>
  <c r="CR35" i="35"/>
  <c r="CQ35" i="35"/>
  <c r="CS35" i="35" s="1"/>
  <c r="CP35" i="35"/>
  <c r="CO35" i="35"/>
  <c r="CN35" i="35"/>
  <c r="CM35" i="35"/>
  <c r="CL35" i="35"/>
  <c r="CK35" i="35"/>
  <c r="CJ35" i="35"/>
  <c r="CH35" i="35"/>
  <c r="CG35" i="35"/>
  <c r="CR34" i="35"/>
  <c r="CQ34" i="35"/>
  <c r="CS34" i="35" s="1"/>
  <c r="CP34" i="35"/>
  <c r="CO34" i="35"/>
  <c r="CN34" i="35"/>
  <c r="CM34" i="35"/>
  <c r="CK34" i="35"/>
  <c r="CJ34" i="35"/>
  <c r="CL34" i="35" s="1"/>
  <c r="CH34" i="35"/>
  <c r="CG34" i="35"/>
  <c r="CS33" i="35"/>
  <c r="CR33" i="35"/>
  <c r="CQ33" i="35"/>
  <c r="CP33" i="35"/>
  <c r="CO33" i="35"/>
  <c r="CN33" i="35"/>
  <c r="CM33" i="35"/>
  <c r="CL33" i="35"/>
  <c r="CK33" i="35"/>
  <c r="CJ33" i="35"/>
  <c r="CH33" i="35"/>
  <c r="CG33" i="35"/>
  <c r="CR32" i="35"/>
  <c r="CQ32" i="35"/>
  <c r="CS32" i="35" s="1"/>
  <c r="CP32" i="35"/>
  <c r="CO32" i="35"/>
  <c r="CN32" i="35"/>
  <c r="CM32" i="35"/>
  <c r="CK32" i="35"/>
  <c r="CJ32" i="35"/>
  <c r="CH32" i="35"/>
  <c r="CG32" i="35"/>
  <c r="CR31" i="35"/>
  <c r="CQ31" i="35"/>
  <c r="CS31" i="35" s="1"/>
  <c r="CP31" i="35"/>
  <c r="CO31" i="35"/>
  <c r="CN31" i="35"/>
  <c r="CM31" i="35"/>
  <c r="CL31" i="35"/>
  <c r="CK31" i="35"/>
  <c r="CJ31" i="35"/>
  <c r="CH31" i="35"/>
  <c r="CG31" i="35"/>
  <c r="CR30" i="35"/>
  <c r="CQ30" i="35"/>
  <c r="CS30" i="35" s="1"/>
  <c r="CP30" i="35"/>
  <c r="CO30" i="35"/>
  <c r="CN30" i="35"/>
  <c r="CM30" i="35"/>
  <c r="CK30" i="35"/>
  <c r="CJ30" i="35"/>
  <c r="CL30" i="35" s="1"/>
  <c r="CH30" i="35"/>
  <c r="CG30" i="35"/>
  <c r="CS29" i="35"/>
  <c r="CR29" i="35"/>
  <c r="CQ29" i="35"/>
  <c r="CP29" i="35"/>
  <c r="CO29" i="35"/>
  <c r="CN29" i="35"/>
  <c r="CM29" i="35"/>
  <c r="CL29" i="35"/>
  <c r="CK29" i="35"/>
  <c r="CJ29" i="35"/>
  <c r="CH29" i="35"/>
  <c r="CG29" i="35"/>
  <c r="CR28" i="35"/>
  <c r="CQ28" i="35"/>
  <c r="CS28" i="35" s="1"/>
  <c r="CP28" i="35"/>
  <c r="CO28" i="35"/>
  <c r="CN28" i="35"/>
  <c r="CM28" i="35"/>
  <c r="CK28" i="35"/>
  <c r="CJ28" i="35"/>
  <c r="CL28" i="35" s="1"/>
  <c r="CH28" i="35"/>
  <c r="CG28" i="35"/>
  <c r="CR27" i="35"/>
  <c r="CQ27" i="35"/>
  <c r="CS27" i="35" s="1"/>
  <c r="CP27" i="35"/>
  <c r="CO27" i="35"/>
  <c r="CN27" i="35"/>
  <c r="CM27" i="35"/>
  <c r="CL27" i="35"/>
  <c r="CK27" i="35"/>
  <c r="CJ27" i="35"/>
  <c r="CH27" i="35"/>
  <c r="CG27" i="35"/>
  <c r="CR26" i="35"/>
  <c r="CQ26" i="35"/>
  <c r="CS26" i="35" s="1"/>
  <c r="CP26" i="35"/>
  <c r="CO26" i="35"/>
  <c r="CN26" i="35"/>
  <c r="CM26" i="35"/>
  <c r="CK26" i="35"/>
  <c r="CJ26" i="35"/>
  <c r="CL26" i="35" s="1"/>
  <c r="CH26" i="35"/>
  <c r="CG26" i="35"/>
  <c r="CS25" i="35"/>
  <c r="CR25" i="35"/>
  <c r="CQ25" i="35"/>
  <c r="CP25" i="35"/>
  <c r="CO25" i="35"/>
  <c r="CN25" i="35"/>
  <c r="CM25" i="35"/>
  <c r="CL25" i="35"/>
  <c r="CK25" i="35"/>
  <c r="CJ25" i="35"/>
  <c r="CH25" i="35"/>
  <c r="CG25" i="35"/>
  <c r="CR24" i="35"/>
  <c r="CQ24" i="35"/>
  <c r="CS24" i="35" s="1"/>
  <c r="CP24" i="35"/>
  <c r="CO24" i="35"/>
  <c r="CN24" i="35"/>
  <c r="CM24" i="35"/>
  <c r="CK24" i="35"/>
  <c r="CJ24" i="35"/>
  <c r="CL24" i="35" s="1"/>
  <c r="CH24" i="35"/>
  <c r="CG24" i="35"/>
  <c r="CR23" i="35"/>
  <c r="CQ23" i="35"/>
  <c r="CS23" i="35" s="1"/>
  <c r="CP23" i="35"/>
  <c r="CO23" i="35"/>
  <c r="CN23" i="35"/>
  <c r="CM23" i="35"/>
  <c r="CL23" i="35"/>
  <c r="CK23" i="35"/>
  <c r="CJ23" i="35"/>
  <c r="CH23" i="35"/>
  <c r="CG23" i="35"/>
  <c r="CR22" i="35"/>
  <c r="CQ22" i="35"/>
  <c r="CS22" i="35" s="1"/>
  <c r="CP22" i="35"/>
  <c r="CO22" i="35"/>
  <c r="CN22" i="35"/>
  <c r="CM22" i="35"/>
  <c r="CK22" i="35"/>
  <c r="CJ22" i="35"/>
  <c r="CL22" i="35" s="1"/>
  <c r="CH22" i="35"/>
  <c r="CG22" i="35"/>
  <c r="CS21" i="35"/>
  <c r="CR21" i="35"/>
  <c r="CQ21" i="35"/>
  <c r="CP21" i="35"/>
  <c r="CO21" i="35"/>
  <c r="CN21" i="35"/>
  <c r="CM21" i="35"/>
  <c r="CL21" i="35"/>
  <c r="CK21" i="35"/>
  <c r="CJ21" i="35"/>
  <c r="CH21" i="35"/>
  <c r="CG21" i="35"/>
  <c r="CR20" i="35"/>
  <c r="CQ20" i="35"/>
  <c r="CS20" i="35" s="1"/>
  <c r="CP20" i="35"/>
  <c r="CO20" i="35"/>
  <c r="CN20" i="35"/>
  <c r="CM20" i="35"/>
  <c r="CK20" i="35"/>
  <c r="CJ20" i="35"/>
  <c r="CH20" i="35"/>
  <c r="CG20" i="35"/>
  <c r="CR19" i="35"/>
  <c r="CQ19" i="35"/>
  <c r="CS19" i="35" s="1"/>
  <c r="CP19" i="35"/>
  <c r="CO19" i="35"/>
  <c r="CN19" i="35"/>
  <c r="CM19" i="35"/>
  <c r="CL19" i="35"/>
  <c r="CK19" i="35"/>
  <c r="CJ19" i="35"/>
  <c r="CH19" i="35"/>
  <c r="CG19" i="35"/>
  <c r="CR18" i="35"/>
  <c r="CQ18" i="35"/>
  <c r="CS18" i="35" s="1"/>
  <c r="CP18" i="35"/>
  <c r="CO18" i="35"/>
  <c r="CN18" i="35"/>
  <c r="CM18" i="35"/>
  <c r="CK18" i="35"/>
  <c r="CJ18" i="35"/>
  <c r="CL18" i="35" s="1"/>
  <c r="CH18" i="35"/>
  <c r="CG18" i="35"/>
  <c r="CS17" i="35"/>
  <c r="CR17" i="35"/>
  <c r="CQ17" i="35"/>
  <c r="CP17" i="35"/>
  <c r="CO17" i="35"/>
  <c r="CN17" i="35"/>
  <c r="CM17" i="35"/>
  <c r="CL17" i="35"/>
  <c r="CK17" i="35"/>
  <c r="CJ17" i="35"/>
  <c r="CH17" i="35"/>
  <c r="CG17" i="35"/>
  <c r="CR16" i="35"/>
  <c r="CQ16" i="35"/>
  <c r="CS16" i="35" s="1"/>
  <c r="CP16" i="35"/>
  <c r="CO16" i="35"/>
  <c r="CN16" i="35"/>
  <c r="CM16" i="35"/>
  <c r="CK16" i="35"/>
  <c r="CJ16" i="35"/>
  <c r="CH16" i="35"/>
  <c r="CG16" i="35"/>
  <c r="CR15" i="35"/>
  <c r="CQ15" i="35"/>
  <c r="CS15" i="35" s="1"/>
  <c r="CP15" i="35"/>
  <c r="CO15" i="35"/>
  <c r="CN15" i="35"/>
  <c r="CM15" i="35"/>
  <c r="CL15" i="35"/>
  <c r="CK15" i="35"/>
  <c r="CJ15" i="35"/>
  <c r="CH15" i="35"/>
  <c r="CG15" i="35"/>
  <c r="CR14" i="35"/>
  <c r="CQ14" i="35"/>
  <c r="CS14" i="35" s="1"/>
  <c r="CP14" i="35"/>
  <c r="CO14" i="35"/>
  <c r="CN14" i="35"/>
  <c r="CM14" i="35"/>
  <c r="CK14" i="35"/>
  <c r="CJ14" i="35"/>
  <c r="CL14" i="35" s="1"/>
  <c r="CH14" i="35"/>
  <c r="CG14" i="35"/>
  <c r="CS13" i="35"/>
  <c r="CR13" i="35"/>
  <c r="CQ13" i="35"/>
  <c r="CP13" i="35"/>
  <c r="CO13" i="35"/>
  <c r="CN13" i="35"/>
  <c r="CM13" i="35"/>
  <c r="CL13" i="35"/>
  <c r="CK13" i="35"/>
  <c r="CJ13" i="35"/>
  <c r="CH13" i="35"/>
  <c r="CG13" i="35"/>
  <c r="CR12" i="35"/>
  <c r="CQ12" i="35"/>
  <c r="CS12" i="35" s="1"/>
  <c r="CP12" i="35"/>
  <c r="CO12" i="35"/>
  <c r="CN12" i="35"/>
  <c r="CM12" i="35"/>
  <c r="CK12" i="35"/>
  <c r="CJ12" i="35"/>
  <c r="CH12" i="35"/>
  <c r="CG12" i="35"/>
  <c r="CR11" i="35"/>
  <c r="CQ11" i="35"/>
  <c r="CS11" i="35" s="1"/>
  <c r="CP11" i="35"/>
  <c r="CO11" i="35"/>
  <c r="CN11" i="35"/>
  <c r="CM11" i="35"/>
  <c r="CL11" i="35"/>
  <c r="CK11" i="35"/>
  <c r="CJ11" i="35"/>
  <c r="CH11" i="35"/>
  <c r="CG11" i="35"/>
  <c r="CR10" i="35"/>
  <c r="CQ10" i="35"/>
  <c r="CS10" i="35" s="1"/>
  <c r="CP10" i="35"/>
  <c r="CO10" i="35"/>
  <c r="CN10" i="35"/>
  <c r="CM10" i="35"/>
  <c r="CK10" i="35"/>
  <c r="CJ10" i="35"/>
  <c r="CL10" i="35" s="1"/>
  <c r="CH10" i="35"/>
  <c r="CG10" i="35"/>
  <c r="CS9" i="35"/>
  <c r="CR9" i="35"/>
  <c r="CQ9" i="35"/>
  <c r="CP9" i="35"/>
  <c r="CO9" i="35"/>
  <c r="CN9" i="35"/>
  <c r="CM9" i="35"/>
  <c r="CL9" i="35"/>
  <c r="CK9" i="35"/>
  <c r="CJ9" i="35"/>
  <c r="CH9" i="35"/>
  <c r="CG9" i="35"/>
  <c r="CR8" i="35"/>
  <c r="CQ8" i="35"/>
  <c r="CS8" i="35" s="1"/>
  <c r="CP8" i="35"/>
  <c r="CO8" i="35"/>
  <c r="CN8" i="35"/>
  <c r="CM8" i="35"/>
  <c r="CK8" i="35"/>
  <c r="CJ8" i="35"/>
  <c r="CH8" i="35"/>
  <c r="CG8" i="35"/>
  <c r="CS38" i="36"/>
  <c r="CR38" i="36"/>
  <c r="CQ38" i="36"/>
  <c r="CP38" i="36"/>
  <c r="CO38" i="36"/>
  <c r="CN38" i="36"/>
  <c r="CM38" i="36"/>
  <c r="CK38" i="36"/>
  <c r="CJ38" i="36"/>
  <c r="CL38" i="36" s="1"/>
  <c r="CH38" i="36"/>
  <c r="CG38" i="36"/>
  <c r="CR37" i="36"/>
  <c r="CQ37" i="36"/>
  <c r="CS37" i="36" s="1"/>
  <c r="CP37" i="36"/>
  <c r="CO37" i="36"/>
  <c r="CN37" i="36"/>
  <c r="CM37" i="36"/>
  <c r="CK37" i="36"/>
  <c r="CJ37" i="36"/>
  <c r="CL37" i="36" s="1"/>
  <c r="CH37" i="36"/>
  <c r="CG37" i="36"/>
  <c r="CS36" i="36"/>
  <c r="CR36" i="36"/>
  <c r="CQ36" i="36"/>
  <c r="CP36" i="36"/>
  <c r="CO36" i="36"/>
  <c r="CN36" i="36"/>
  <c r="CM36" i="36"/>
  <c r="CL36" i="36"/>
  <c r="CK36" i="36"/>
  <c r="CJ36" i="36"/>
  <c r="CH36" i="36"/>
  <c r="CG36" i="36"/>
  <c r="CR35" i="36"/>
  <c r="CQ35" i="36"/>
  <c r="CS35" i="36" s="1"/>
  <c r="CP35" i="36"/>
  <c r="CO35" i="36"/>
  <c r="CN35" i="36"/>
  <c r="CM35" i="36"/>
  <c r="CK35" i="36"/>
  <c r="CJ35" i="36"/>
  <c r="CL35" i="36" s="1"/>
  <c r="CH35" i="36"/>
  <c r="CG35" i="36"/>
  <c r="CS34" i="36"/>
  <c r="CR34" i="36"/>
  <c r="CQ34" i="36"/>
  <c r="CP34" i="36"/>
  <c r="CO34" i="36"/>
  <c r="CN34" i="36"/>
  <c r="CM34" i="36"/>
  <c r="CK34" i="36"/>
  <c r="CJ34" i="36"/>
  <c r="CL34" i="36" s="1"/>
  <c r="CH34" i="36"/>
  <c r="CG34" i="36"/>
  <c r="CR33" i="36"/>
  <c r="CQ33" i="36"/>
  <c r="CS33" i="36" s="1"/>
  <c r="CP33" i="36"/>
  <c r="CO33" i="36"/>
  <c r="CN33" i="36"/>
  <c r="CM33" i="36"/>
  <c r="CK33" i="36"/>
  <c r="CJ33" i="36"/>
  <c r="CL33" i="36" s="1"/>
  <c r="CH33" i="36"/>
  <c r="CG33" i="36"/>
  <c r="CS32" i="36"/>
  <c r="CR32" i="36"/>
  <c r="CQ32" i="36"/>
  <c r="CP32" i="36"/>
  <c r="CO32" i="36"/>
  <c r="CN32" i="36"/>
  <c r="CM32" i="36"/>
  <c r="CL32" i="36"/>
  <c r="CK32" i="36"/>
  <c r="CJ32" i="36"/>
  <c r="CH32" i="36"/>
  <c r="CG32" i="36"/>
  <c r="CR31" i="36"/>
  <c r="CQ31" i="36"/>
  <c r="CS31" i="36" s="1"/>
  <c r="CP31" i="36"/>
  <c r="CO31" i="36"/>
  <c r="CN31" i="36"/>
  <c r="CM31" i="36"/>
  <c r="CK31" i="36"/>
  <c r="CJ31" i="36"/>
  <c r="CL31" i="36" s="1"/>
  <c r="CH31" i="36"/>
  <c r="CG31" i="36"/>
  <c r="CS30" i="36"/>
  <c r="CR30" i="36"/>
  <c r="CQ30" i="36"/>
  <c r="CP30" i="36"/>
  <c r="CO30" i="36"/>
  <c r="CN30" i="36"/>
  <c r="CM30" i="36"/>
  <c r="CK30" i="36"/>
  <c r="CJ30" i="36"/>
  <c r="CL30" i="36" s="1"/>
  <c r="CH30" i="36"/>
  <c r="CG30" i="36"/>
  <c r="CR29" i="36"/>
  <c r="CQ29" i="36"/>
  <c r="CS29" i="36" s="1"/>
  <c r="CP29" i="36"/>
  <c r="CO29" i="36"/>
  <c r="CN29" i="36"/>
  <c r="CM29" i="36"/>
  <c r="CK29" i="36"/>
  <c r="CJ29" i="36"/>
  <c r="CL29" i="36" s="1"/>
  <c r="CH29" i="36"/>
  <c r="CG29" i="36"/>
  <c r="CS28" i="36"/>
  <c r="CR28" i="36"/>
  <c r="CQ28" i="36"/>
  <c r="CP28" i="36"/>
  <c r="CO28" i="36"/>
  <c r="CN28" i="36"/>
  <c r="CM28" i="36"/>
  <c r="CL28" i="36"/>
  <c r="CK28" i="36"/>
  <c r="CJ28" i="36"/>
  <c r="CH28" i="36"/>
  <c r="CG28" i="36"/>
  <c r="CR27" i="36"/>
  <c r="CQ27" i="36"/>
  <c r="CS27" i="36" s="1"/>
  <c r="CP27" i="36"/>
  <c r="CO27" i="36"/>
  <c r="CN27" i="36"/>
  <c r="CM27" i="36"/>
  <c r="CK27" i="36"/>
  <c r="CJ27" i="36"/>
  <c r="CL27" i="36" s="1"/>
  <c r="CH27" i="36"/>
  <c r="CG27" i="36"/>
  <c r="CS26" i="36"/>
  <c r="CR26" i="36"/>
  <c r="CQ26" i="36"/>
  <c r="CP26" i="36"/>
  <c r="CO26" i="36"/>
  <c r="CN26" i="36"/>
  <c r="CM26" i="36"/>
  <c r="CK26" i="36"/>
  <c r="CJ26" i="36"/>
  <c r="CL26" i="36" s="1"/>
  <c r="CH26" i="36"/>
  <c r="CG26" i="36"/>
  <c r="CR25" i="36"/>
  <c r="CQ25" i="36"/>
  <c r="CS25" i="36" s="1"/>
  <c r="CP25" i="36"/>
  <c r="CO25" i="36"/>
  <c r="CN25" i="36"/>
  <c r="CM25" i="36"/>
  <c r="CK25" i="36"/>
  <c r="CJ25" i="36"/>
  <c r="CL25" i="36" s="1"/>
  <c r="CH25" i="36"/>
  <c r="CG25" i="36"/>
  <c r="CS24" i="36"/>
  <c r="CR24" i="36"/>
  <c r="CQ24" i="36"/>
  <c r="CP24" i="36"/>
  <c r="CO24" i="36"/>
  <c r="CN24" i="36"/>
  <c r="CM24" i="36"/>
  <c r="CL24" i="36"/>
  <c r="CK24" i="36"/>
  <c r="CJ24" i="36"/>
  <c r="CH24" i="36"/>
  <c r="CG24" i="36"/>
  <c r="CR23" i="36"/>
  <c r="CQ23" i="36"/>
  <c r="CS23" i="36" s="1"/>
  <c r="CP23" i="36"/>
  <c r="CO23" i="36"/>
  <c r="CN23" i="36"/>
  <c r="CM23" i="36"/>
  <c r="CK23" i="36"/>
  <c r="CL23" i="36" s="1"/>
  <c r="CJ23" i="36"/>
  <c r="CH23" i="36"/>
  <c r="CG23" i="36"/>
  <c r="CS22" i="36"/>
  <c r="CR22" i="36"/>
  <c r="CQ22" i="36"/>
  <c r="CP22" i="36"/>
  <c r="CO22" i="36"/>
  <c r="CN22" i="36"/>
  <c r="CM22" i="36"/>
  <c r="CK22" i="36"/>
  <c r="CJ22" i="36"/>
  <c r="CL22" i="36" s="1"/>
  <c r="CH22" i="36"/>
  <c r="CG22" i="36"/>
  <c r="CR21" i="36"/>
  <c r="CQ21" i="36"/>
  <c r="CS21" i="36" s="1"/>
  <c r="CP21" i="36"/>
  <c r="CO21" i="36"/>
  <c r="CN21" i="36"/>
  <c r="CM21" i="36"/>
  <c r="CK21" i="36"/>
  <c r="CJ21" i="36"/>
  <c r="CH21" i="36"/>
  <c r="CG21" i="36"/>
  <c r="CS20" i="36"/>
  <c r="CR20" i="36"/>
  <c r="CQ20" i="36"/>
  <c r="CP20" i="36"/>
  <c r="CO20" i="36"/>
  <c r="CN20" i="36"/>
  <c r="CM20" i="36"/>
  <c r="CK20" i="36"/>
  <c r="CL20" i="36" s="1"/>
  <c r="CJ20" i="36"/>
  <c r="CH20" i="36"/>
  <c r="CG20" i="36"/>
  <c r="CR19" i="36"/>
  <c r="CQ19" i="36"/>
  <c r="CS19" i="36" s="1"/>
  <c r="CP19" i="36"/>
  <c r="CO19" i="36"/>
  <c r="CN19" i="36"/>
  <c r="CM19" i="36"/>
  <c r="CK19" i="36"/>
  <c r="CJ19" i="36"/>
  <c r="CL19" i="36" s="1"/>
  <c r="CH19" i="36"/>
  <c r="CG19" i="36"/>
  <c r="CR18" i="36"/>
  <c r="CQ18" i="36"/>
  <c r="CS18" i="36" s="1"/>
  <c r="CP18" i="36"/>
  <c r="CO18" i="36"/>
  <c r="CN18" i="36"/>
  <c r="CM18" i="36"/>
  <c r="CK18" i="36"/>
  <c r="CJ18" i="36"/>
  <c r="CL18" i="36" s="1"/>
  <c r="CH18" i="36"/>
  <c r="CG18" i="36"/>
  <c r="CR17" i="36"/>
  <c r="CQ17" i="36"/>
  <c r="CS17" i="36" s="1"/>
  <c r="CP17" i="36"/>
  <c r="CO17" i="36"/>
  <c r="CN17" i="36"/>
  <c r="CM17" i="36"/>
  <c r="CK17" i="36"/>
  <c r="CJ17" i="36"/>
  <c r="CH17" i="36"/>
  <c r="CG17" i="36"/>
  <c r="CS16" i="36"/>
  <c r="CR16" i="36"/>
  <c r="CQ16" i="36"/>
  <c r="CP16" i="36"/>
  <c r="CO16" i="36"/>
  <c r="CN16" i="36"/>
  <c r="CM16" i="36"/>
  <c r="CK16" i="36"/>
  <c r="CJ16" i="36"/>
  <c r="CL16" i="36" s="1"/>
  <c r="CH16" i="36"/>
  <c r="CG16" i="36"/>
  <c r="CR15" i="36"/>
  <c r="CQ15" i="36"/>
  <c r="CS15" i="36" s="1"/>
  <c r="CP15" i="36"/>
  <c r="CO15" i="36"/>
  <c r="CN15" i="36"/>
  <c r="CM15" i="36"/>
  <c r="CK15" i="36"/>
  <c r="CJ15" i="36"/>
  <c r="CL15" i="36" s="1"/>
  <c r="CH15" i="36"/>
  <c r="CG15" i="36"/>
  <c r="CS14" i="36"/>
  <c r="CR14" i="36"/>
  <c r="CQ14" i="36"/>
  <c r="CP14" i="36"/>
  <c r="CO14" i="36"/>
  <c r="CN14" i="36"/>
  <c r="CM14" i="36"/>
  <c r="CK14" i="36"/>
  <c r="CJ14" i="36"/>
  <c r="CL14" i="36" s="1"/>
  <c r="CH14" i="36"/>
  <c r="CG14" i="36"/>
  <c r="CS13" i="36"/>
  <c r="CR13" i="36"/>
  <c r="CQ13" i="36"/>
  <c r="CP13" i="36"/>
  <c r="CO13" i="36"/>
  <c r="CN13" i="36"/>
  <c r="CM13" i="36"/>
  <c r="CK13" i="36"/>
  <c r="CJ13" i="36"/>
  <c r="CH13" i="36"/>
  <c r="CG13" i="36"/>
  <c r="CS12" i="36"/>
  <c r="CR12" i="36"/>
  <c r="CQ12" i="36"/>
  <c r="CP12" i="36"/>
  <c r="CO12" i="36"/>
  <c r="CN12" i="36"/>
  <c r="CM12" i="36"/>
  <c r="CK12" i="36"/>
  <c r="CJ12" i="36"/>
  <c r="CL12" i="36" s="1"/>
  <c r="CH12" i="36"/>
  <c r="CG12" i="36"/>
  <c r="CS11" i="36"/>
  <c r="CR11" i="36"/>
  <c r="CQ11" i="36"/>
  <c r="CP11" i="36"/>
  <c r="CO11" i="36"/>
  <c r="CN11" i="36"/>
  <c r="CM11" i="36"/>
  <c r="CK11" i="36"/>
  <c r="CL11" i="36" s="1"/>
  <c r="CJ11" i="36"/>
  <c r="CH11" i="36"/>
  <c r="CG11" i="36"/>
  <c r="CR10" i="36"/>
  <c r="CQ10" i="36"/>
  <c r="CS10" i="36" s="1"/>
  <c r="CP10" i="36"/>
  <c r="CO10" i="36"/>
  <c r="CN10" i="36"/>
  <c r="CM10" i="36"/>
  <c r="CK10" i="36"/>
  <c r="CJ10" i="36"/>
  <c r="CL10" i="36" s="1"/>
  <c r="CH10" i="36"/>
  <c r="CG10" i="36"/>
  <c r="CS9" i="36"/>
  <c r="CR9" i="36"/>
  <c r="CQ9" i="36"/>
  <c r="CP9" i="36"/>
  <c r="CO9" i="36"/>
  <c r="CN9" i="36"/>
  <c r="CM9" i="36"/>
  <c r="CK9" i="36"/>
  <c r="CJ9" i="36"/>
  <c r="CL9" i="36" s="1"/>
  <c r="CH9" i="36"/>
  <c r="CG9" i="36"/>
  <c r="CS8" i="36"/>
  <c r="CR8" i="36"/>
  <c r="CQ8" i="36"/>
  <c r="CP8" i="36"/>
  <c r="CO8" i="36"/>
  <c r="CN8" i="36"/>
  <c r="CM8" i="36"/>
  <c r="CL8" i="36"/>
  <c r="CK8" i="36"/>
  <c r="CJ8" i="36"/>
  <c r="CH8" i="36"/>
  <c r="CG8" i="36"/>
  <c r="CR38" i="37"/>
  <c r="CQ38" i="37"/>
  <c r="CS38" i="37" s="1"/>
  <c r="CP38" i="37"/>
  <c r="CO38" i="37"/>
  <c r="CN38" i="37"/>
  <c r="CM38" i="37"/>
  <c r="CK38" i="37"/>
  <c r="CJ38" i="37"/>
  <c r="CL38" i="37" s="1"/>
  <c r="CH38" i="37"/>
  <c r="CG38" i="37"/>
  <c r="CS37" i="37"/>
  <c r="CR37" i="37"/>
  <c r="CQ37" i="37"/>
  <c r="CP37" i="37"/>
  <c r="CO37" i="37"/>
  <c r="CN37" i="37"/>
  <c r="CM37" i="37"/>
  <c r="CK37" i="37"/>
  <c r="CJ37" i="37"/>
  <c r="CL37" i="37" s="1"/>
  <c r="CH37" i="37"/>
  <c r="CG37" i="37"/>
  <c r="CS36" i="37"/>
  <c r="CR36" i="37"/>
  <c r="CQ36" i="37"/>
  <c r="CP36" i="37"/>
  <c r="CO36" i="37"/>
  <c r="CN36" i="37"/>
  <c r="CM36" i="37"/>
  <c r="CK36" i="37"/>
  <c r="CJ36" i="37"/>
  <c r="CH36" i="37"/>
  <c r="CG36" i="37"/>
  <c r="CS35" i="37"/>
  <c r="CR35" i="37"/>
  <c r="CQ35" i="37"/>
  <c r="CP35" i="37"/>
  <c r="CO35" i="37"/>
  <c r="CN35" i="37"/>
  <c r="CM35" i="37"/>
  <c r="CK35" i="37"/>
  <c r="CJ35" i="37"/>
  <c r="CL35" i="37" s="1"/>
  <c r="CH35" i="37"/>
  <c r="CG35" i="37"/>
  <c r="CS34" i="37"/>
  <c r="CR34" i="37"/>
  <c r="CQ34" i="37"/>
  <c r="CP34" i="37"/>
  <c r="CO34" i="37"/>
  <c r="CN34" i="37"/>
  <c r="CM34" i="37"/>
  <c r="CK34" i="37"/>
  <c r="CJ34" i="37"/>
  <c r="CL34" i="37" s="1"/>
  <c r="CH34" i="37"/>
  <c r="CG34" i="37"/>
  <c r="CR33" i="37"/>
  <c r="CQ33" i="37"/>
  <c r="CS33" i="37" s="1"/>
  <c r="CP33" i="37"/>
  <c r="CO33" i="37"/>
  <c r="CN33" i="37"/>
  <c r="CM33" i="37"/>
  <c r="CL33" i="37"/>
  <c r="CK33" i="37"/>
  <c r="CJ33" i="37"/>
  <c r="CH33" i="37"/>
  <c r="CG33" i="37"/>
  <c r="CS32" i="37"/>
  <c r="CR32" i="37"/>
  <c r="CQ32" i="37"/>
  <c r="CP32" i="37"/>
  <c r="CO32" i="37"/>
  <c r="CN32" i="37"/>
  <c r="CM32" i="37"/>
  <c r="CK32" i="37"/>
  <c r="CJ32" i="37"/>
  <c r="CL32" i="37" s="1"/>
  <c r="CH32" i="37"/>
  <c r="CG32" i="37"/>
  <c r="CS31" i="37"/>
  <c r="CR31" i="37"/>
  <c r="CQ31" i="37"/>
  <c r="CP31" i="37"/>
  <c r="CO31" i="37"/>
  <c r="CN31" i="37"/>
  <c r="CM31" i="37"/>
  <c r="CL31" i="37"/>
  <c r="CK31" i="37"/>
  <c r="CJ31" i="37"/>
  <c r="CH31" i="37"/>
  <c r="CG31" i="37"/>
  <c r="CS30" i="37"/>
  <c r="CR30" i="37"/>
  <c r="CQ30" i="37"/>
  <c r="CP30" i="37"/>
  <c r="CO30" i="37"/>
  <c r="CN30" i="37"/>
  <c r="CM30" i="37"/>
  <c r="CK30" i="37"/>
  <c r="CJ30" i="37"/>
  <c r="CL30" i="37" s="1"/>
  <c r="CH30" i="37"/>
  <c r="CG30" i="37"/>
  <c r="CS29" i="37"/>
  <c r="CR29" i="37"/>
  <c r="CQ29" i="37"/>
  <c r="CP29" i="37"/>
  <c r="CO29" i="37"/>
  <c r="CN29" i="37"/>
  <c r="CM29" i="37"/>
  <c r="CK29" i="37"/>
  <c r="CJ29" i="37"/>
  <c r="CL29" i="37" s="1"/>
  <c r="CH29" i="37"/>
  <c r="CG29" i="37"/>
  <c r="CS28" i="37"/>
  <c r="CR28" i="37"/>
  <c r="CQ28" i="37"/>
  <c r="CP28" i="37"/>
  <c r="CO28" i="37"/>
  <c r="CN28" i="37"/>
  <c r="CM28" i="37"/>
  <c r="CK28" i="37"/>
  <c r="CJ28" i="37"/>
  <c r="CL28" i="37" s="1"/>
  <c r="CH28" i="37"/>
  <c r="CG28" i="37"/>
  <c r="CR27" i="37"/>
  <c r="CQ27" i="37"/>
  <c r="CS27" i="37" s="1"/>
  <c r="CP27" i="37"/>
  <c r="CO27" i="37"/>
  <c r="CN27" i="37"/>
  <c r="CM27" i="37"/>
  <c r="CL27" i="37"/>
  <c r="CK27" i="37"/>
  <c r="CJ27" i="37"/>
  <c r="CH27" i="37"/>
  <c r="CG27" i="37"/>
  <c r="CR26" i="37"/>
  <c r="CQ26" i="37"/>
  <c r="CS26" i="37" s="1"/>
  <c r="CP26" i="37"/>
  <c r="CO26" i="37"/>
  <c r="CN26" i="37"/>
  <c r="CM26" i="37"/>
  <c r="CL26" i="37"/>
  <c r="CK26" i="37"/>
  <c r="CJ26" i="37"/>
  <c r="CH26" i="37"/>
  <c r="CG26" i="37"/>
  <c r="CS25" i="37"/>
  <c r="CR25" i="37"/>
  <c r="CQ25" i="37"/>
  <c r="CP25" i="37"/>
  <c r="CO25" i="37"/>
  <c r="CN25" i="37"/>
  <c r="CM25" i="37"/>
  <c r="CL25" i="37"/>
  <c r="CK25" i="37"/>
  <c r="CJ25" i="37"/>
  <c r="CH25" i="37"/>
  <c r="CG25" i="37"/>
  <c r="CS24" i="37"/>
  <c r="CR24" i="37"/>
  <c r="CQ24" i="37"/>
  <c r="CP24" i="37"/>
  <c r="CO24" i="37"/>
  <c r="CN24" i="37"/>
  <c r="CM24" i="37"/>
  <c r="CK24" i="37"/>
  <c r="CJ24" i="37"/>
  <c r="CL24" i="37" s="1"/>
  <c r="CH24" i="37"/>
  <c r="CG24" i="37"/>
  <c r="CR23" i="37"/>
  <c r="CQ23" i="37"/>
  <c r="CS23" i="37" s="1"/>
  <c r="CP23" i="37"/>
  <c r="CO23" i="37"/>
  <c r="CN23" i="37"/>
  <c r="CM23" i="37"/>
  <c r="CL23" i="37"/>
  <c r="CK23" i="37"/>
  <c r="CJ23" i="37"/>
  <c r="CH23" i="37"/>
  <c r="CG23" i="37"/>
  <c r="CR22" i="37"/>
  <c r="CQ22" i="37"/>
  <c r="CS22" i="37" s="1"/>
  <c r="CP22" i="37"/>
  <c r="CO22" i="37"/>
  <c r="CN22" i="37"/>
  <c r="CM22" i="37"/>
  <c r="CL22" i="37"/>
  <c r="CK22" i="37"/>
  <c r="CJ22" i="37"/>
  <c r="CH22" i="37"/>
  <c r="CG22" i="37"/>
  <c r="CS21" i="37"/>
  <c r="CR21" i="37"/>
  <c r="CQ21" i="37"/>
  <c r="CP21" i="37"/>
  <c r="CO21" i="37"/>
  <c r="CN21" i="37"/>
  <c r="CM21" i="37"/>
  <c r="CL21" i="37"/>
  <c r="CK21" i="37"/>
  <c r="CJ21" i="37"/>
  <c r="CH21" i="37"/>
  <c r="CG21" i="37"/>
  <c r="CS20" i="37"/>
  <c r="CR20" i="37"/>
  <c r="CQ20" i="37"/>
  <c r="CP20" i="37"/>
  <c r="CO20" i="37"/>
  <c r="CN20" i="37"/>
  <c r="CM20" i="37"/>
  <c r="CK20" i="37"/>
  <c r="CJ20" i="37"/>
  <c r="CL20" i="37" s="1"/>
  <c r="CH20" i="37"/>
  <c r="CG20" i="37"/>
  <c r="CS19" i="37"/>
  <c r="CR19" i="37"/>
  <c r="CQ19" i="37"/>
  <c r="CP19" i="37"/>
  <c r="CO19" i="37"/>
  <c r="CN19" i="37"/>
  <c r="CM19" i="37"/>
  <c r="CL19" i="37"/>
  <c r="CK19" i="37"/>
  <c r="CJ19" i="37"/>
  <c r="CH19" i="37"/>
  <c r="CG19" i="37"/>
  <c r="CR18" i="37"/>
  <c r="CQ18" i="37"/>
  <c r="CS18" i="37" s="1"/>
  <c r="CP18" i="37"/>
  <c r="CO18" i="37"/>
  <c r="CN18" i="37"/>
  <c r="CM18" i="37"/>
  <c r="CL18" i="37"/>
  <c r="CK18" i="37"/>
  <c r="CJ18" i="37"/>
  <c r="CH18" i="37"/>
  <c r="CG18" i="37"/>
  <c r="CS17" i="37"/>
  <c r="CR17" i="37"/>
  <c r="CQ17" i="37"/>
  <c r="CP17" i="37"/>
  <c r="CO17" i="37"/>
  <c r="CN17" i="37"/>
  <c r="CM17" i="37"/>
  <c r="CL17" i="37"/>
  <c r="CK17" i="37"/>
  <c r="CJ17" i="37"/>
  <c r="CH17" i="37"/>
  <c r="CG17" i="37"/>
  <c r="CS16" i="37"/>
  <c r="CR16" i="37"/>
  <c r="CQ16" i="37"/>
  <c r="CP16" i="37"/>
  <c r="CO16" i="37"/>
  <c r="CN16" i="37"/>
  <c r="CM16" i="37"/>
  <c r="CK16" i="37"/>
  <c r="CJ16" i="37"/>
  <c r="CL16" i="37" s="1"/>
  <c r="CH16" i="37"/>
  <c r="CG16" i="37"/>
  <c r="CS15" i="37"/>
  <c r="CR15" i="37"/>
  <c r="CQ15" i="37"/>
  <c r="CP15" i="37"/>
  <c r="CO15" i="37"/>
  <c r="CN15" i="37"/>
  <c r="CM15" i="37"/>
  <c r="CL15" i="37"/>
  <c r="CK15" i="37"/>
  <c r="CJ15" i="37"/>
  <c r="CH15" i="37"/>
  <c r="CG15" i="37"/>
  <c r="CR14" i="37"/>
  <c r="CQ14" i="37"/>
  <c r="CS14" i="37" s="1"/>
  <c r="CP14" i="37"/>
  <c r="CO14" i="37"/>
  <c r="CN14" i="37"/>
  <c r="CM14" i="37"/>
  <c r="CL14" i="37"/>
  <c r="CK14" i="37"/>
  <c r="CJ14" i="37"/>
  <c r="CH14" i="37"/>
  <c r="CG14" i="37"/>
  <c r="CS13" i="37"/>
  <c r="CR13" i="37"/>
  <c r="CQ13" i="37"/>
  <c r="CP13" i="37"/>
  <c r="CO13" i="37"/>
  <c r="CN13" i="37"/>
  <c r="CM13" i="37"/>
  <c r="CL13" i="37"/>
  <c r="CK13" i="37"/>
  <c r="CJ13" i="37"/>
  <c r="CH13" i="37"/>
  <c r="CG13" i="37"/>
  <c r="CS12" i="37"/>
  <c r="CR12" i="37"/>
  <c r="CQ12" i="37"/>
  <c r="CP12" i="37"/>
  <c r="CO12" i="37"/>
  <c r="CN12" i="37"/>
  <c r="CM12" i="37"/>
  <c r="CK12" i="37"/>
  <c r="CJ12" i="37"/>
  <c r="CL12" i="37" s="1"/>
  <c r="CH12" i="37"/>
  <c r="CG12" i="37"/>
  <c r="CS11" i="37"/>
  <c r="CR11" i="37"/>
  <c r="CQ11" i="37"/>
  <c r="CP11" i="37"/>
  <c r="CO11" i="37"/>
  <c r="CN11" i="37"/>
  <c r="CM11" i="37"/>
  <c r="CL11" i="37"/>
  <c r="CK11" i="37"/>
  <c r="CJ11" i="37"/>
  <c r="CH11" i="37"/>
  <c r="CG11" i="37"/>
  <c r="CR10" i="37"/>
  <c r="CQ10" i="37"/>
  <c r="CS10" i="37" s="1"/>
  <c r="CP10" i="37"/>
  <c r="CO10" i="37"/>
  <c r="CN10" i="37"/>
  <c r="CM10" i="37"/>
  <c r="CK10" i="37"/>
  <c r="CL10" i="37" s="1"/>
  <c r="CJ10" i="37"/>
  <c r="CH10" i="37"/>
  <c r="CG10" i="37"/>
  <c r="CS9" i="37"/>
  <c r="CR9" i="37"/>
  <c r="CQ9" i="37"/>
  <c r="CP9" i="37"/>
  <c r="CO9" i="37"/>
  <c r="CN9" i="37"/>
  <c r="CM9" i="37"/>
  <c r="CL9" i="37"/>
  <c r="CK9" i="37"/>
  <c r="CJ9" i="37"/>
  <c r="CH9" i="37"/>
  <c r="CG9" i="37"/>
  <c r="CR8" i="37"/>
  <c r="CQ8" i="37"/>
  <c r="CS8" i="37" s="1"/>
  <c r="CP8" i="37"/>
  <c r="CO8" i="37"/>
  <c r="CN8" i="37"/>
  <c r="CM8" i="37"/>
  <c r="CK8" i="37"/>
  <c r="CJ8" i="37"/>
  <c r="CL8" i="37" s="1"/>
  <c r="CH8" i="37"/>
  <c r="CG8" i="37"/>
  <c r="CS38" i="38"/>
  <c r="CR38" i="38"/>
  <c r="CQ38" i="38"/>
  <c r="CP38" i="38"/>
  <c r="CO38" i="38"/>
  <c r="CN38" i="38"/>
  <c r="CM38" i="38"/>
  <c r="CL38" i="38"/>
  <c r="CK38" i="38"/>
  <c r="CJ38" i="38"/>
  <c r="CH38" i="38"/>
  <c r="CG38" i="38"/>
  <c r="CR37" i="38"/>
  <c r="CQ37" i="38"/>
  <c r="CS37" i="38" s="1"/>
  <c r="CP37" i="38"/>
  <c r="CO37" i="38"/>
  <c r="CN37" i="38"/>
  <c r="CM37" i="38"/>
  <c r="CK37" i="38"/>
  <c r="CL37" i="38" s="1"/>
  <c r="CJ37" i="38"/>
  <c r="CH37" i="38"/>
  <c r="CG37" i="38"/>
  <c r="CS36" i="38"/>
  <c r="CR36" i="38"/>
  <c r="CQ36" i="38"/>
  <c r="CP36" i="38"/>
  <c r="CO36" i="38"/>
  <c r="CN36" i="38"/>
  <c r="CM36" i="38"/>
  <c r="CL36" i="38"/>
  <c r="CK36" i="38"/>
  <c r="CJ36" i="38"/>
  <c r="CH36" i="38"/>
  <c r="CG36" i="38"/>
  <c r="CR35" i="38"/>
  <c r="CQ35" i="38"/>
  <c r="CS35" i="38" s="1"/>
  <c r="CP35" i="38"/>
  <c r="CO35" i="38"/>
  <c r="CN35" i="38"/>
  <c r="CM35" i="38"/>
  <c r="CK35" i="38"/>
  <c r="CJ35" i="38"/>
  <c r="CL35" i="38" s="1"/>
  <c r="CH35" i="38"/>
  <c r="CG35" i="38"/>
  <c r="CS34" i="38"/>
  <c r="CR34" i="38"/>
  <c r="CQ34" i="38"/>
  <c r="CP34" i="38"/>
  <c r="CO34" i="38"/>
  <c r="CN34" i="38"/>
  <c r="CM34" i="38"/>
  <c r="CL34" i="38"/>
  <c r="CK34" i="38"/>
  <c r="CJ34" i="38"/>
  <c r="CH34" i="38"/>
  <c r="CG34" i="38"/>
  <c r="CR33" i="38"/>
  <c r="CQ33" i="38"/>
  <c r="CS33" i="38" s="1"/>
  <c r="CP33" i="38"/>
  <c r="CO33" i="38"/>
  <c r="CN33" i="38"/>
  <c r="CM33" i="38"/>
  <c r="CK33" i="38"/>
  <c r="CL33" i="38" s="1"/>
  <c r="CJ33" i="38"/>
  <c r="CH33" i="38"/>
  <c r="CG33" i="38"/>
  <c r="CS32" i="38"/>
  <c r="CR32" i="38"/>
  <c r="CQ32" i="38"/>
  <c r="CP32" i="38"/>
  <c r="CO32" i="38"/>
  <c r="CN32" i="38"/>
  <c r="CM32" i="38"/>
  <c r="CL32" i="38"/>
  <c r="CK32" i="38"/>
  <c r="CJ32" i="38"/>
  <c r="CH32" i="38"/>
  <c r="CG32" i="38"/>
  <c r="CR31" i="38"/>
  <c r="CQ31" i="38"/>
  <c r="CS31" i="38" s="1"/>
  <c r="CP31" i="38"/>
  <c r="CO31" i="38"/>
  <c r="CN31" i="38"/>
  <c r="CM31" i="38"/>
  <c r="CK31" i="38"/>
  <c r="CJ31" i="38"/>
  <c r="CL31" i="38" s="1"/>
  <c r="CH31" i="38"/>
  <c r="CG31" i="38"/>
  <c r="CS30" i="38"/>
  <c r="CR30" i="38"/>
  <c r="CQ30" i="38"/>
  <c r="CP30" i="38"/>
  <c r="CO30" i="38"/>
  <c r="CN30" i="38"/>
  <c r="CM30" i="38"/>
  <c r="CL30" i="38"/>
  <c r="CK30" i="38"/>
  <c r="CJ30" i="38"/>
  <c r="CH30" i="38"/>
  <c r="CG30" i="38"/>
  <c r="CR29" i="38"/>
  <c r="CQ29" i="38"/>
  <c r="CS29" i="38" s="1"/>
  <c r="CP29" i="38"/>
  <c r="CO29" i="38"/>
  <c r="CN29" i="38"/>
  <c r="CM29" i="38"/>
  <c r="CK29" i="38"/>
  <c r="CL29" i="38" s="1"/>
  <c r="CJ29" i="38"/>
  <c r="CH29" i="38"/>
  <c r="CG29" i="38"/>
  <c r="CS28" i="38"/>
  <c r="CR28" i="38"/>
  <c r="CQ28" i="38"/>
  <c r="CP28" i="38"/>
  <c r="CO28" i="38"/>
  <c r="CN28" i="38"/>
  <c r="CM28" i="38"/>
  <c r="CL28" i="38"/>
  <c r="CK28" i="38"/>
  <c r="CJ28" i="38"/>
  <c r="CH28" i="38"/>
  <c r="CG28" i="38"/>
  <c r="CR27" i="38"/>
  <c r="CQ27" i="38"/>
  <c r="CS27" i="38" s="1"/>
  <c r="CP27" i="38"/>
  <c r="CO27" i="38"/>
  <c r="CN27" i="38"/>
  <c r="CM27" i="38"/>
  <c r="CK27" i="38"/>
  <c r="CJ27" i="38"/>
  <c r="CL27" i="38" s="1"/>
  <c r="CH27" i="38"/>
  <c r="CG27" i="38"/>
  <c r="CS26" i="38"/>
  <c r="CR26" i="38"/>
  <c r="CQ26" i="38"/>
  <c r="CP26" i="38"/>
  <c r="CO26" i="38"/>
  <c r="CN26" i="38"/>
  <c r="CM26" i="38"/>
  <c r="CL26" i="38"/>
  <c r="CK26" i="38"/>
  <c r="CJ26" i="38"/>
  <c r="CH26" i="38"/>
  <c r="CG26" i="38"/>
  <c r="CR25" i="38"/>
  <c r="CQ25" i="38"/>
  <c r="CS25" i="38" s="1"/>
  <c r="CP25" i="38"/>
  <c r="CO25" i="38"/>
  <c r="CN25" i="38"/>
  <c r="CM25" i="38"/>
  <c r="CK25" i="38"/>
  <c r="CL25" i="38" s="1"/>
  <c r="CJ25" i="38"/>
  <c r="CH25" i="38"/>
  <c r="CG25" i="38"/>
  <c r="CS24" i="38"/>
  <c r="CR24" i="38"/>
  <c r="CQ24" i="38"/>
  <c r="CP24" i="38"/>
  <c r="CO24" i="38"/>
  <c r="CN24" i="38"/>
  <c r="CM24" i="38"/>
  <c r="CL24" i="38"/>
  <c r="CK24" i="38"/>
  <c r="CJ24" i="38"/>
  <c r="CH24" i="38"/>
  <c r="CG24" i="38"/>
  <c r="CR23" i="38"/>
  <c r="CQ23" i="38"/>
  <c r="CS23" i="38" s="1"/>
  <c r="CP23" i="38"/>
  <c r="CO23" i="38"/>
  <c r="CN23" i="38"/>
  <c r="CM23" i="38"/>
  <c r="CK23" i="38"/>
  <c r="CJ23" i="38"/>
  <c r="CL23" i="38" s="1"/>
  <c r="CH23" i="38"/>
  <c r="CG23" i="38"/>
  <c r="CS22" i="38"/>
  <c r="CR22" i="38"/>
  <c r="CQ22" i="38"/>
  <c r="CP22" i="38"/>
  <c r="CO22" i="38"/>
  <c r="CN22" i="38"/>
  <c r="CM22" i="38"/>
  <c r="CL22" i="38"/>
  <c r="CK22" i="38"/>
  <c r="CJ22" i="38"/>
  <c r="CH22" i="38"/>
  <c r="CG22" i="38"/>
  <c r="CR21" i="38"/>
  <c r="CQ21" i="38"/>
  <c r="CS21" i="38" s="1"/>
  <c r="CP21" i="38"/>
  <c r="CO21" i="38"/>
  <c r="CN21" i="38"/>
  <c r="CM21" i="38"/>
  <c r="CK21" i="38"/>
  <c r="CL21" i="38" s="1"/>
  <c r="CJ21" i="38"/>
  <c r="CH21" i="38"/>
  <c r="CG21" i="38"/>
  <c r="CS20" i="38"/>
  <c r="CR20" i="38"/>
  <c r="CQ20" i="38"/>
  <c r="CP20" i="38"/>
  <c r="CO20" i="38"/>
  <c r="CN20" i="38"/>
  <c r="CM20" i="38"/>
  <c r="CL20" i="38"/>
  <c r="CK20" i="38"/>
  <c r="CJ20" i="38"/>
  <c r="CH20" i="38"/>
  <c r="CG20" i="38"/>
  <c r="CR19" i="38"/>
  <c r="CQ19" i="38"/>
  <c r="CS19" i="38" s="1"/>
  <c r="CP19" i="38"/>
  <c r="CO19" i="38"/>
  <c r="CN19" i="38"/>
  <c r="CM19" i="38"/>
  <c r="CK19" i="38"/>
  <c r="CJ19" i="38"/>
  <c r="CL19" i="38" s="1"/>
  <c r="CH19" i="38"/>
  <c r="CG19" i="38"/>
  <c r="CS18" i="38"/>
  <c r="CR18" i="38"/>
  <c r="CQ18" i="38"/>
  <c r="CP18" i="38"/>
  <c r="CO18" i="38"/>
  <c r="CN18" i="38"/>
  <c r="CM18" i="38"/>
  <c r="CL18" i="38"/>
  <c r="CK18" i="38"/>
  <c r="CJ18" i="38"/>
  <c r="CH18" i="38"/>
  <c r="CG18" i="38"/>
  <c r="CR17" i="38"/>
  <c r="CQ17" i="38"/>
  <c r="CS17" i="38" s="1"/>
  <c r="CP17" i="38"/>
  <c r="CO17" i="38"/>
  <c r="CN17" i="38"/>
  <c r="CM17" i="38"/>
  <c r="CK17" i="38"/>
  <c r="CL17" i="38" s="1"/>
  <c r="CJ17" i="38"/>
  <c r="CH17" i="38"/>
  <c r="CG17" i="38"/>
  <c r="CS16" i="38"/>
  <c r="CR16" i="38"/>
  <c r="CQ16" i="38"/>
  <c r="CP16" i="38"/>
  <c r="CO16" i="38"/>
  <c r="CN16" i="38"/>
  <c r="CM16" i="38"/>
  <c r="CL16" i="38"/>
  <c r="CK16" i="38"/>
  <c r="CJ16" i="38"/>
  <c r="CH16" i="38"/>
  <c r="CG16" i="38"/>
  <c r="CR15" i="38"/>
  <c r="CQ15" i="38"/>
  <c r="CS15" i="38" s="1"/>
  <c r="CP15" i="38"/>
  <c r="CO15" i="38"/>
  <c r="CN15" i="38"/>
  <c r="CM15" i="38"/>
  <c r="CK15" i="38"/>
  <c r="CJ15" i="38"/>
  <c r="CL15" i="38" s="1"/>
  <c r="CH15" i="38"/>
  <c r="CG15" i="38"/>
  <c r="CS14" i="38"/>
  <c r="CR14" i="38"/>
  <c r="CQ14" i="38"/>
  <c r="CP14" i="38"/>
  <c r="CO14" i="38"/>
  <c r="CN14" i="38"/>
  <c r="CM14" i="38"/>
  <c r="CL14" i="38"/>
  <c r="CK14" i="38"/>
  <c r="CJ14" i="38"/>
  <c r="CH14" i="38"/>
  <c r="CG14" i="38"/>
  <c r="CR13" i="38"/>
  <c r="CQ13" i="38"/>
  <c r="CS13" i="38" s="1"/>
  <c r="CP13" i="38"/>
  <c r="CO13" i="38"/>
  <c r="CN13" i="38"/>
  <c r="CM13" i="38"/>
  <c r="CK13" i="38"/>
  <c r="CL13" i="38" s="1"/>
  <c r="CJ13" i="38"/>
  <c r="CH13" i="38"/>
  <c r="CG13" i="38"/>
  <c r="CR12" i="38"/>
  <c r="CQ12" i="38"/>
  <c r="CS12" i="38" s="1"/>
  <c r="CP12" i="38"/>
  <c r="CO12" i="38"/>
  <c r="CN12" i="38"/>
  <c r="CM12" i="38"/>
  <c r="CL12" i="38"/>
  <c r="CK12" i="38"/>
  <c r="CJ12" i="38"/>
  <c r="CH12" i="38"/>
  <c r="CG12" i="38"/>
  <c r="CR11" i="38"/>
  <c r="CQ11" i="38"/>
  <c r="CS11" i="38" s="1"/>
  <c r="CP11" i="38"/>
  <c r="CO11" i="38"/>
  <c r="CN11" i="38"/>
  <c r="CM11" i="38"/>
  <c r="CK11" i="38"/>
  <c r="CJ11" i="38"/>
  <c r="CL11" i="38" s="1"/>
  <c r="CH11" i="38"/>
  <c r="CG11" i="38"/>
  <c r="CS10" i="38"/>
  <c r="CR10" i="38"/>
  <c r="CQ10" i="38"/>
  <c r="CP10" i="38"/>
  <c r="CO10" i="38"/>
  <c r="CN10" i="38"/>
  <c r="CM10" i="38"/>
  <c r="CK10" i="38"/>
  <c r="CL10" i="38" s="1"/>
  <c r="CJ10" i="38"/>
  <c r="CH10" i="38"/>
  <c r="CG10" i="38"/>
  <c r="CR9" i="38"/>
  <c r="CQ9" i="38"/>
  <c r="CS9" i="38" s="1"/>
  <c r="CP9" i="38"/>
  <c r="CO9" i="38"/>
  <c r="CN9" i="38"/>
  <c r="CM9" i="38"/>
  <c r="CK9" i="38"/>
  <c r="CL9" i="38" s="1"/>
  <c r="CJ9" i="38"/>
  <c r="CH9" i="38"/>
  <c r="CG9" i="38"/>
  <c r="CR8" i="38"/>
  <c r="CQ8" i="38"/>
  <c r="CS8" i="38" s="1"/>
  <c r="CP8" i="38"/>
  <c r="CO8" i="38"/>
  <c r="CN8" i="38"/>
  <c r="CM8" i="38"/>
  <c r="CL8" i="38"/>
  <c r="CK8" i="38"/>
  <c r="CJ8" i="38"/>
  <c r="CH8" i="38"/>
  <c r="CG8" i="38"/>
  <c r="CR38" i="28"/>
  <c r="CQ38" i="28"/>
  <c r="CS38" i="28" s="1"/>
  <c r="CP38" i="28"/>
  <c r="CO38" i="28"/>
  <c r="CN38" i="28"/>
  <c r="CM38" i="28"/>
  <c r="CK38" i="28"/>
  <c r="CJ38" i="28"/>
  <c r="CL38" i="28" s="1"/>
  <c r="CH38" i="28"/>
  <c r="CG38" i="28"/>
  <c r="CS37" i="28"/>
  <c r="CR37" i="28"/>
  <c r="CQ37" i="28"/>
  <c r="CP37" i="28"/>
  <c r="CO37" i="28"/>
  <c r="CN37" i="28"/>
  <c r="CM37" i="28"/>
  <c r="CK37" i="28"/>
  <c r="CL37" i="28" s="1"/>
  <c r="CJ37" i="28"/>
  <c r="CH37" i="28"/>
  <c r="CG37" i="28"/>
  <c r="CR36" i="28"/>
  <c r="CQ36" i="28"/>
  <c r="CS36" i="28" s="1"/>
  <c r="CP36" i="28"/>
  <c r="CO36" i="28"/>
  <c r="CN36" i="28"/>
  <c r="CM36" i="28"/>
  <c r="CK36" i="28"/>
  <c r="CL36" i="28" s="1"/>
  <c r="CJ36" i="28"/>
  <c r="CH36" i="28"/>
  <c r="CG36" i="28"/>
  <c r="CR35" i="28"/>
  <c r="CQ35" i="28"/>
  <c r="CS35" i="28" s="1"/>
  <c r="CP35" i="28"/>
  <c r="CO35" i="28"/>
  <c r="CN35" i="28"/>
  <c r="CM35" i="28"/>
  <c r="CL35" i="28"/>
  <c r="CK35" i="28"/>
  <c r="CJ35" i="28"/>
  <c r="CH35" i="28"/>
  <c r="CG35" i="28"/>
  <c r="CR34" i="28"/>
  <c r="CQ34" i="28"/>
  <c r="CS34" i="28" s="1"/>
  <c r="CP34" i="28"/>
  <c r="CO34" i="28"/>
  <c r="CN34" i="28"/>
  <c r="CM34" i="28"/>
  <c r="CK34" i="28"/>
  <c r="CJ34" i="28"/>
  <c r="CL34" i="28" s="1"/>
  <c r="CH34" i="28"/>
  <c r="CG34" i="28"/>
  <c r="CS33" i="28"/>
  <c r="CR33" i="28"/>
  <c r="CQ33" i="28"/>
  <c r="CP33" i="28"/>
  <c r="CO33" i="28"/>
  <c r="CN33" i="28"/>
  <c r="CM33" i="28"/>
  <c r="CK33" i="28"/>
  <c r="CL33" i="28" s="1"/>
  <c r="CJ33" i="28"/>
  <c r="CH33" i="28"/>
  <c r="CG33" i="28"/>
  <c r="CR32" i="28"/>
  <c r="CQ32" i="28"/>
  <c r="CS32" i="28" s="1"/>
  <c r="CP32" i="28"/>
  <c r="CO32" i="28"/>
  <c r="CN32" i="28"/>
  <c r="CM32" i="28"/>
  <c r="CK32" i="28"/>
  <c r="CL32" i="28" s="1"/>
  <c r="CJ32" i="28"/>
  <c r="CH32" i="28"/>
  <c r="CG32" i="28"/>
  <c r="CR31" i="28"/>
  <c r="CQ31" i="28"/>
  <c r="CS31" i="28" s="1"/>
  <c r="CP31" i="28"/>
  <c r="CO31" i="28"/>
  <c r="CN31" i="28"/>
  <c r="CM31" i="28"/>
  <c r="CL31" i="28"/>
  <c r="CK31" i="28"/>
  <c r="CJ31" i="28"/>
  <c r="CH31" i="28"/>
  <c r="CG31" i="28"/>
  <c r="CR30" i="28"/>
  <c r="CQ30" i="28"/>
  <c r="CS30" i="28" s="1"/>
  <c r="CP30" i="28"/>
  <c r="CO30" i="28"/>
  <c r="CN30" i="28"/>
  <c r="CM30" i="28"/>
  <c r="CK30" i="28"/>
  <c r="CJ30" i="28"/>
  <c r="CL30" i="28" s="1"/>
  <c r="CH30" i="28"/>
  <c r="CG30" i="28"/>
  <c r="CS29" i="28"/>
  <c r="CR29" i="28"/>
  <c r="CQ29" i="28"/>
  <c r="CP29" i="28"/>
  <c r="CO29" i="28"/>
  <c r="CN29" i="28"/>
  <c r="CM29" i="28"/>
  <c r="CK29" i="28"/>
  <c r="CL29" i="28" s="1"/>
  <c r="CJ29" i="28"/>
  <c r="CH29" i="28"/>
  <c r="CG29" i="28"/>
  <c r="CR28" i="28"/>
  <c r="CQ28" i="28"/>
  <c r="CS28" i="28" s="1"/>
  <c r="CP28" i="28"/>
  <c r="CO28" i="28"/>
  <c r="CN28" i="28"/>
  <c r="CM28" i="28"/>
  <c r="CK28" i="28"/>
  <c r="CL28" i="28" s="1"/>
  <c r="CJ28" i="28"/>
  <c r="CH28" i="28"/>
  <c r="CG28" i="28"/>
  <c r="CR27" i="28"/>
  <c r="CQ27" i="28"/>
  <c r="CS27" i="28" s="1"/>
  <c r="CP27" i="28"/>
  <c r="CO27" i="28"/>
  <c r="CN27" i="28"/>
  <c r="CM27" i="28"/>
  <c r="CL27" i="28"/>
  <c r="CK27" i="28"/>
  <c r="CJ27" i="28"/>
  <c r="CH27" i="28"/>
  <c r="CG27" i="28"/>
  <c r="CR26" i="28"/>
  <c r="CQ26" i="28"/>
  <c r="CS26" i="28" s="1"/>
  <c r="CP26" i="28"/>
  <c r="CO26" i="28"/>
  <c r="CN26" i="28"/>
  <c r="CM26" i="28"/>
  <c r="CK26" i="28"/>
  <c r="CJ26" i="28"/>
  <c r="CL26" i="28" s="1"/>
  <c r="CH26" i="28"/>
  <c r="CG26" i="28"/>
  <c r="CS25" i="28"/>
  <c r="CR25" i="28"/>
  <c r="CQ25" i="28"/>
  <c r="CP25" i="28"/>
  <c r="CO25" i="28"/>
  <c r="CN25" i="28"/>
  <c r="CM25" i="28"/>
  <c r="CK25" i="28"/>
  <c r="CL25" i="28" s="1"/>
  <c r="CJ25" i="28"/>
  <c r="CH25" i="28"/>
  <c r="CG25" i="28"/>
  <c r="CR24" i="28"/>
  <c r="CQ24" i="28"/>
  <c r="CS24" i="28" s="1"/>
  <c r="CP24" i="28"/>
  <c r="CO24" i="28"/>
  <c r="CN24" i="28"/>
  <c r="CM24" i="28"/>
  <c r="CK24" i="28"/>
  <c r="CL24" i="28" s="1"/>
  <c r="CJ24" i="28"/>
  <c r="CH24" i="28"/>
  <c r="CG24" i="28"/>
  <c r="CR23" i="28"/>
  <c r="CQ23" i="28"/>
  <c r="CS23" i="28" s="1"/>
  <c r="CP23" i="28"/>
  <c r="CO23" i="28"/>
  <c r="CN23" i="28"/>
  <c r="CM23" i="28"/>
  <c r="CL23" i="28"/>
  <c r="CK23" i="28"/>
  <c r="CJ23" i="28"/>
  <c r="CH23" i="28"/>
  <c r="CG23" i="28"/>
  <c r="CR22" i="28"/>
  <c r="CQ22" i="28"/>
  <c r="CS22" i="28" s="1"/>
  <c r="CP22" i="28"/>
  <c r="CO22" i="28"/>
  <c r="CN22" i="28"/>
  <c r="CM22" i="28"/>
  <c r="CK22" i="28"/>
  <c r="CJ22" i="28"/>
  <c r="CL22" i="28" s="1"/>
  <c r="CH22" i="28"/>
  <c r="CG22" i="28"/>
  <c r="CS21" i="28"/>
  <c r="CR21" i="28"/>
  <c r="CQ21" i="28"/>
  <c r="CP21" i="28"/>
  <c r="CO21" i="28"/>
  <c r="CN21" i="28"/>
  <c r="CM21" i="28"/>
  <c r="CK21" i="28"/>
  <c r="CL21" i="28" s="1"/>
  <c r="CJ21" i="28"/>
  <c r="CH21" i="28"/>
  <c r="CG21" i="28"/>
  <c r="CR20" i="28"/>
  <c r="CQ20" i="28"/>
  <c r="CS20" i="28" s="1"/>
  <c r="CP20" i="28"/>
  <c r="CO20" i="28"/>
  <c r="CN20" i="28"/>
  <c r="CM20" i="28"/>
  <c r="CK20" i="28"/>
  <c r="CL20" i="28" s="1"/>
  <c r="CJ20" i="28"/>
  <c r="CH20" i="28"/>
  <c r="CG20" i="28"/>
  <c r="CR19" i="28"/>
  <c r="CQ19" i="28"/>
  <c r="CS19" i="28" s="1"/>
  <c r="CP19" i="28"/>
  <c r="CO19" i="28"/>
  <c r="CN19" i="28"/>
  <c r="CM19" i="28"/>
  <c r="CL19" i="28"/>
  <c r="CK19" i="28"/>
  <c r="CJ19" i="28"/>
  <c r="CH19" i="28"/>
  <c r="CG19" i="28"/>
  <c r="CR18" i="28"/>
  <c r="CQ18" i="28"/>
  <c r="CS18" i="28" s="1"/>
  <c r="CP18" i="28"/>
  <c r="CO18" i="28"/>
  <c r="CN18" i="28"/>
  <c r="CM18" i="28"/>
  <c r="CK18" i="28"/>
  <c r="CJ18" i="28"/>
  <c r="CL18" i="28" s="1"/>
  <c r="CH18" i="28"/>
  <c r="CG18" i="28"/>
  <c r="CS17" i="28"/>
  <c r="CR17" i="28"/>
  <c r="CQ17" i="28"/>
  <c r="CP17" i="28"/>
  <c r="CO17" i="28"/>
  <c r="CN17" i="28"/>
  <c r="CM17" i="28"/>
  <c r="CK17" i="28"/>
  <c r="CL17" i="28" s="1"/>
  <c r="CJ17" i="28"/>
  <c r="CH17" i="28"/>
  <c r="CG17" i="28"/>
  <c r="CR16" i="28"/>
  <c r="CQ16" i="28"/>
  <c r="CS16" i="28" s="1"/>
  <c r="CP16" i="28"/>
  <c r="CO16" i="28"/>
  <c r="CN16" i="28"/>
  <c r="CM16" i="28"/>
  <c r="CK16" i="28"/>
  <c r="CJ16" i="28"/>
  <c r="CL16" i="28" s="1"/>
  <c r="CH16" i="28"/>
  <c r="CG16" i="28"/>
  <c r="CR15" i="28"/>
  <c r="CQ15" i="28"/>
  <c r="CS15" i="28" s="1"/>
  <c r="CP15" i="28"/>
  <c r="CO15" i="28"/>
  <c r="CN15" i="28"/>
  <c r="CM15" i="28"/>
  <c r="CL15" i="28"/>
  <c r="CK15" i="28"/>
  <c r="CJ15" i="28"/>
  <c r="CH15" i="28"/>
  <c r="CG15" i="28"/>
  <c r="CR14" i="28"/>
  <c r="CQ14" i="28"/>
  <c r="CS14" i="28" s="1"/>
  <c r="CP14" i="28"/>
  <c r="CO14" i="28"/>
  <c r="CN14" i="28"/>
  <c r="CM14" i="28"/>
  <c r="CK14" i="28"/>
  <c r="CJ14" i="28"/>
  <c r="CL14" i="28" s="1"/>
  <c r="CH14" i="28"/>
  <c r="CG14" i="28"/>
  <c r="CS13" i="28"/>
  <c r="CR13" i="28"/>
  <c r="CQ13" i="28"/>
  <c r="CP13" i="28"/>
  <c r="CO13" i="28"/>
  <c r="CN13" i="28"/>
  <c r="CM13" i="28"/>
  <c r="CK13" i="28"/>
  <c r="CL13" i="28" s="1"/>
  <c r="CJ13" i="28"/>
  <c r="CH13" i="28"/>
  <c r="CG13" i="28"/>
  <c r="CR12" i="28"/>
  <c r="CQ12" i="28"/>
  <c r="CS12" i="28" s="1"/>
  <c r="CP12" i="28"/>
  <c r="CO12" i="28"/>
  <c r="CN12" i="28"/>
  <c r="CM12" i="28"/>
  <c r="CK12" i="28"/>
  <c r="CJ12" i="28"/>
  <c r="CL12" i="28" s="1"/>
  <c r="CH12" i="28"/>
  <c r="CG12" i="28"/>
  <c r="CR11" i="28"/>
  <c r="CQ11" i="28"/>
  <c r="CS11" i="28" s="1"/>
  <c r="CP11" i="28"/>
  <c r="CO11" i="28"/>
  <c r="CN11" i="28"/>
  <c r="CM11" i="28"/>
  <c r="CL11" i="28"/>
  <c r="CK11" i="28"/>
  <c r="CJ11" i="28"/>
  <c r="CH11" i="28"/>
  <c r="CG11" i="28"/>
  <c r="CR10" i="28"/>
  <c r="CQ10" i="28"/>
  <c r="CS10" i="28" s="1"/>
  <c r="CP10" i="28"/>
  <c r="CO10" i="28"/>
  <c r="CN10" i="28"/>
  <c r="CM10" i="28"/>
  <c r="CK10" i="28"/>
  <c r="CJ10" i="28"/>
  <c r="CL10" i="28" s="1"/>
  <c r="CH10" i="28"/>
  <c r="CG10" i="28"/>
  <c r="CS9" i="28"/>
  <c r="CR9" i="28"/>
  <c r="CQ9" i="28"/>
  <c r="CK9" i="28"/>
  <c r="CL9" i="28" s="1"/>
  <c r="CJ9" i="28"/>
  <c r="CH9" i="28"/>
  <c r="CG9" i="28"/>
  <c r="CR8" i="28"/>
  <c r="CQ8" i="28"/>
  <c r="CS8" i="28" s="1"/>
  <c r="CK8" i="28"/>
  <c r="CJ8" i="28"/>
  <c r="CL8" i="28" s="1"/>
  <c r="CH8" i="28"/>
  <c r="CG8" i="28"/>
  <c r="CG9" i="13"/>
  <c r="CG10" i="13"/>
  <c r="CG11" i="13"/>
  <c r="CG12" i="13"/>
  <c r="CG13" i="13"/>
  <c r="CG14" i="13"/>
  <c r="CG15" i="13"/>
  <c r="CG16" i="13"/>
  <c r="CG17" i="13"/>
  <c r="CG18" i="13"/>
  <c r="CG19" i="13"/>
  <c r="CG20" i="13"/>
  <c r="CG21" i="13"/>
  <c r="CG22" i="13"/>
  <c r="CG23" i="13"/>
  <c r="CG24" i="13"/>
  <c r="CG25" i="13"/>
  <c r="CG26" i="13"/>
  <c r="CG27" i="13"/>
  <c r="CG28" i="13"/>
  <c r="CG29" i="13"/>
  <c r="CG30" i="13"/>
  <c r="CG31" i="13"/>
  <c r="CG32" i="13"/>
  <c r="CG33" i="13"/>
  <c r="CG34" i="13"/>
  <c r="CG35" i="13"/>
  <c r="CG36" i="13"/>
  <c r="CG37" i="13"/>
  <c r="CG38" i="13"/>
  <c r="CG8" i="13"/>
  <c r="CH9" i="13"/>
  <c r="CH10" i="13"/>
  <c r="CH11" i="13"/>
  <c r="CH12" i="13"/>
  <c r="CH13" i="13"/>
  <c r="CH14" i="13"/>
  <c r="CH15" i="13"/>
  <c r="CH16" i="13"/>
  <c r="CH17" i="13"/>
  <c r="CH18" i="13"/>
  <c r="CH19" i="13"/>
  <c r="CH20" i="13"/>
  <c r="CH21" i="13"/>
  <c r="CH22" i="13"/>
  <c r="CH23" i="13"/>
  <c r="CH24" i="13"/>
  <c r="CH25" i="13"/>
  <c r="CH26" i="13"/>
  <c r="CH27" i="13"/>
  <c r="CH28" i="13"/>
  <c r="CH29" i="13"/>
  <c r="CH30" i="13"/>
  <c r="CH31" i="13"/>
  <c r="CH32" i="13"/>
  <c r="CH33" i="13"/>
  <c r="CH34" i="13"/>
  <c r="CH35" i="13"/>
  <c r="CH36" i="13"/>
  <c r="CH37" i="13"/>
  <c r="CH38" i="13"/>
  <c r="CH8" i="13"/>
  <c r="CR8" i="13"/>
  <c r="CR9" i="13"/>
  <c r="CR10" i="13"/>
  <c r="CR23" i="13"/>
  <c r="CR24" i="13"/>
  <c r="CR25" i="13"/>
  <c r="CR26" i="13"/>
  <c r="CR27" i="13"/>
  <c r="CR28" i="13"/>
  <c r="CR29" i="13"/>
  <c r="CR30" i="13"/>
  <c r="CR31" i="13"/>
  <c r="CR32" i="13"/>
  <c r="CR33" i="13"/>
  <c r="CR34" i="13"/>
  <c r="CR35" i="13"/>
  <c r="CR36" i="13"/>
  <c r="CR37" i="13"/>
  <c r="CR38" i="13"/>
  <c r="CL13" i="36" l="1"/>
  <c r="CL20" i="35"/>
  <c r="CL14" i="33"/>
  <c r="CL36" i="37"/>
  <c r="CL16" i="35"/>
  <c r="CL13" i="34"/>
  <c r="CL29" i="34"/>
  <c r="CL17" i="32"/>
  <c r="CL12" i="35"/>
  <c r="CL17" i="36"/>
  <c r="CL8" i="35"/>
  <c r="CL25" i="34"/>
  <c r="CL22" i="33"/>
  <c r="CL32" i="35"/>
  <c r="CL21" i="34"/>
  <c r="CL37" i="34"/>
  <c r="CL21" i="36"/>
  <c r="CL13" i="32"/>
  <c r="CL37" i="33"/>
  <c r="CL21" i="32"/>
  <c r="CS23" i="13" l="1"/>
  <c r="CS24" i="13"/>
  <c r="CS25" i="13"/>
  <c r="CS26" i="13"/>
  <c r="CS27" i="13"/>
  <c r="CS28" i="13"/>
  <c r="CS29" i="13"/>
  <c r="CS30" i="13"/>
  <c r="CS31" i="13"/>
  <c r="CS32" i="13"/>
  <c r="CS33" i="13"/>
  <c r="CS34" i="13"/>
  <c r="CS35" i="13"/>
  <c r="CS36" i="13"/>
  <c r="CS37" i="13"/>
  <c r="CS38" i="13"/>
  <c r="CS8" i="13"/>
  <c r="CS9" i="13"/>
  <c r="CS10" i="13"/>
  <c r="CC14" i="13"/>
  <c r="DN65" i="29"/>
  <c r="DO65" i="29" s="1"/>
  <c r="DN64" i="29"/>
  <c r="DO64" i="29" s="1"/>
  <c r="DN63" i="29"/>
  <c r="DO63" i="29" s="1"/>
  <c r="DN58" i="29"/>
  <c r="DO58" i="29" s="1"/>
  <c r="DN56" i="29"/>
  <c r="DO56" i="29" s="1"/>
  <c r="DN54" i="29"/>
  <c r="DO54" i="29" s="1"/>
  <c r="DN52" i="29"/>
  <c r="DO52" i="29" s="1"/>
  <c r="DN51" i="29"/>
  <c r="DO51" i="29" s="1"/>
  <c r="DN48" i="29"/>
  <c r="DO48" i="29" s="1"/>
  <c r="DN47" i="29"/>
  <c r="DO47" i="29" s="1"/>
  <c r="DN46" i="29"/>
  <c r="DO46" i="29" s="1"/>
  <c r="DN44" i="29"/>
  <c r="DO44" i="29" s="1"/>
  <c r="DN39" i="29"/>
  <c r="DO39" i="29" s="1"/>
  <c r="DN23" i="29"/>
  <c r="DO23" i="29" s="1"/>
  <c r="DN21" i="29"/>
  <c r="DO21" i="29" s="1"/>
  <c r="DN20" i="29"/>
  <c r="DO20" i="29" s="1"/>
  <c r="DN19" i="29"/>
  <c r="DO19" i="29" s="1"/>
  <c r="DN18" i="29"/>
  <c r="DO18" i="29" s="1"/>
  <c r="DN17" i="29"/>
  <c r="DO17" i="29" s="1"/>
  <c r="DN9" i="29"/>
  <c r="DO9" i="29" s="1"/>
  <c r="DN65" i="30"/>
  <c r="DO65" i="30" s="1"/>
  <c r="DN64" i="30"/>
  <c r="DO64" i="30" s="1"/>
  <c r="DN63" i="30"/>
  <c r="DO63" i="30" s="1"/>
  <c r="DN58" i="30"/>
  <c r="DO58" i="30" s="1"/>
  <c r="DN56" i="30"/>
  <c r="DO56" i="30" s="1"/>
  <c r="DN54" i="30"/>
  <c r="DO54" i="30" s="1"/>
  <c r="DN52" i="30"/>
  <c r="DO52" i="30" s="1"/>
  <c r="DN51" i="30"/>
  <c r="DO51" i="30" s="1"/>
  <c r="DN48" i="30"/>
  <c r="DO48" i="30" s="1"/>
  <c r="DN47" i="30"/>
  <c r="DO47" i="30" s="1"/>
  <c r="DN46" i="30"/>
  <c r="DO46" i="30" s="1"/>
  <c r="DN44" i="30"/>
  <c r="DO44" i="30" s="1"/>
  <c r="DN39" i="30"/>
  <c r="DO39" i="30" s="1"/>
  <c r="DN23" i="30"/>
  <c r="DO23" i="30" s="1"/>
  <c r="DN21" i="30"/>
  <c r="DO21" i="30" s="1"/>
  <c r="DN20" i="30"/>
  <c r="DO20" i="30" s="1"/>
  <c r="DN19" i="30"/>
  <c r="DO19" i="30" s="1"/>
  <c r="DN18" i="30"/>
  <c r="DO18" i="30" s="1"/>
  <c r="DN17" i="30"/>
  <c r="DO17" i="30" s="1"/>
  <c r="DN9" i="30"/>
  <c r="DO9" i="30" s="1"/>
  <c r="DN65" i="31"/>
  <c r="DO65" i="31" s="1"/>
  <c r="DN64" i="31"/>
  <c r="DO64" i="31" s="1"/>
  <c r="DN63" i="31"/>
  <c r="DO63" i="31" s="1"/>
  <c r="DN58" i="31"/>
  <c r="DO58" i="31" s="1"/>
  <c r="DN56" i="31"/>
  <c r="DO56" i="31" s="1"/>
  <c r="DN54" i="31"/>
  <c r="DO54" i="31" s="1"/>
  <c r="DN52" i="31"/>
  <c r="DO52" i="31" s="1"/>
  <c r="DN51" i="31"/>
  <c r="DO51" i="31" s="1"/>
  <c r="DN48" i="31"/>
  <c r="DO48" i="31" s="1"/>
  <c r="DN47" i="31"/>
  <c r="DO47" i="31" s="1"/>
  <c r="DN46" i="31"/>
  <c r="DO46" i="31" s="1"/>
  <c r="DN44" i="31"/>
  <c r="DO44" i="31" s="1"/>
  <c r="DN39" i="31"/>
  <c r="DO39" i="31" s="1"/>
  <c r="DN23" i="31"/>
  <c r="DO23" i="31" s="1"/>
  <c r="DN21" i="31"/>
  <c r="DO21" i="31" s="1"/>
  <c r="DN20" i="31"/>
  <c r="DO20" i="31" s="1"/>
  <c r="DN19" i="31"/>
  <c r="DO19" i="31" s="1"/>
  <c r="DN18" i="31"/>
  <c r="DO18" i="31" s="1"/>
  <c r="DN17" i="31"/>
  <c r="DO17" i="31" s="1"/>
  <c r="DN9" i="31"/>
  <c r="DO9" i="31" s="1"/>
  <c r="DN65" i="32"/>
  <c r="DO65" i="32" s="1"/>
  <c r="DN64" i="32"/>
  <c r="DO64" i="32" s="1"/>
  <c r="DN63" i="32"/>
  <c r="DO63" i="32" s="1"/>
  <c r="DN58" i="32"/>
  <c r="DO58" i="32" s="1"/>
  <c r="DN56" i="32"/>
  <c r="DO56" i="32" s="1"/>
  <c r="DN54" i="32"/>
  <c r="DO54" i="32" s="1"/>
  <c r="DN52" i="32"/>
  <c r="DO52" i="32" s="1"/>
  <c r="DN51" i="32"/>
  <c r="DO51" i="32" s="1"/>
  <c r="DN48" i="32"/>
  <c r="DO48" i="32" s="1"/>
  <c r="DN47" i="32"/>
  <c r="DO47" i="32" s="1"/>
  <c r="DN46" i="32"/>
  <c r="DO46" i="32" s="1"/>
  <c r="DN44" i="32"/>
  <c r="DO44" i="32" s="1"/>
  <c r="DN39" i="32"/>
  <c r="DO39" i="32" s="1"/>
  <c r="DN23" i="32"/>
  <c r="DO23" i="32" s="1"/>
  <c r="DN21" i="32"/>
  <c r="DO21" i="32" s="1"/>
  <c r="DN20" i="32"/>
  <c r="DO20" i="32" s="1"/>
  <c r="DN19" i="32"/>
  <c r="DO19" i="32" s="1"/>
  <c r="DN18" i="32"/>
  <c r="DO18" i="32" s="1"/>
  <c r="DN17" i="32"/>
  <c r="DO17" i="32" s="1"/>
  <c r="DN9" i="32"/>
  <c r="DO9" i="32" s="1"/>
  <c r="DN65" i="33"/>
  <c r="DO65" i="33" s="1"/>
  <c r="DN64" i="33"/>
  <c r="DO64" i="33" s="1"/>
  <c r="DN63" i="33"/>
  <c r="DO63" i="33" s="1"/>
  <c r="DN58" i="33"/>
  <c r="DO58" i="33" s="1"/>
  <c r="DN56" i="33"/>
  <c r="DO56" i="33" s="1"/>
  <c r="DN54" i="33"/>
  <c r="DO54" i="33" s="1"/>
  <c r="DN52" i="33"/>
  <c r="DO52" i="33" s="1"/>
  <c r="DN51" i="33"/>
  <c r="DO51" i="33" s="1"/>
  <c r="DN48" i="33"/>
  <c r="DO48" i="33" s="1"/>
  <c r="DN47" i="33"/>
  <c r="DO47" i="33" s="1"/>
  <c r="DN46" i="33"/>
  <c r="DO46" i="33" s="1"/>
  <c r="DN44" i="33"/>
  <c r="DO44" i="33" s="1"/>
  <c r="DN39" i="33"/>
  <c r="DO39" i="33" s="1"/>
  <c r="DN23" i="33"/>
  <c r="DO23" i="33" s="1"/>
  <c r="DN21" i="33"/>
  <c r="DO21" i="33" s="1"/>
  <c r="DN20" i="33"/>
  <c r="DO20" i="33" s="1"/>
  <c r="DN19" i="33"/>
  <c r="DO19" i="33" s="1"/>
  <c r="DN18" i="33"/>
  <c r="DO18" i="33" s="1"/>
  <c r="DN17" i="33"/>
  <c r="DO17" i="33" s="1"/>
  <c r="DN9" i="33"/>
  <c r="DO9" i="33" s="1"/>
  <c r="DN65" i="34"/>
  <c r="DO65" i="34" s="1"/>
  <c r="DN64" i="34"/>
  <c r="DO64" i="34" s="1"/>
  <c r="DN63" i="34"/>
  <c r="DO63" i="34" s="1"/>
  <c r="DN58" i="34"/>
  <c r="DO58" i="34" s="1"/>
  <c r="DN56" i="34"/>
  <c r="DO56" i="34" s="1"/>
  <c r="DN54" i="34"/>
  <c r="DO54" i="34" s="1"/>
  <c r="DN52" i="34"/>
  <c r="DO52" i="34" s="1"/>
  <c r="DN51" i="34"/>
  <c r="DO51" i="34" s="1"/>
  <c r="DN48" i="34"/>
  <c r="DO48" i="34" s="1"/>
  <c r="DN47" i="34"/>
  <c r="DO47" i="34" s="1"/>
  <c r="DN46" i="34"/>
  <c r="DO46" i="34" s="1"/>
  <c r="DN44" i="34"/>
  <c r="DO44" i="34" s="1"/>
  <c r="DN39" i="34"/>
  <c r="DO39" i="34" s="1"/>
  <c r="DN23" i="34"/>
  <c r="DO23" i="34" s="1"/>
  <c r="DN21" i="34"/>
  <c r="DO21" i="34" s="1"/>
  <c r="DN20" i="34"/>
  <c r="DO20" i="34" s="1"/>
  <c r="DN19" i="34"/>
  <c r="DO19" i="34" s="1"/>
  <c r="DN18" i="34"/>
  <c r="DO18" i="34" s="1"/>
  <c r="DN17" i="34"/>
  <c r="DO17" i="34" s="1"/>
  <c r="DN9" i="34"/>
  <c r="DO9" i="34" s="1"/>
  <c r="DN65" i="35"/>
  <c r="DO65" i="35" s="1"/>
  <c r="DN64" i="35"/>
  <c r="DO64" i="35" s="1"/>
  <c r="DN63" i="35"/>
  <c r="DO63" i="35" s="1"/>
  <c r="DN58" i="35"/>
  <c r="DO58" i="35" s="1"/>
  <c r="DN56" i="35"/>
  <c r="DO56" i="35" s="1"/>
  <c r="DN54" i="35"/>
  <c r="DO54" i="35" s="1"/>
  <c r="DN52" i="35"/>
  <c r="DO52" i="35" s="1"/>
  <c r="DN51" i="35"/>
  <c r="DO51" i="35" s="1"/>
  <c r="DN48" i="35"/>
  <c r="DO48" i="35" s="1"/>
  <c r="DN47" i="35"/>
  <c r="DO47" i="35" s="1"/>
  <c r="DN46" i="35"/>
  <c r="DO46" i="35" s="1"/>
  <c r="DN44" i="35"/>
  <c r="DO44" i="35" s="1"/>
  <c r="DN39" i="35"/>
  <c r="DO39" i="35" s="1"/>
  <c r="DN23" i="35"/>
  <c r="DO23" i="35" s="1"/>
  <c r="DN21" i="35"/>
  <c r="DO21" i="35" s="1"/>
  <c r="DN20" i="35"/>
  <c r="DO20" i="35" s="1"/>
  <c r="DN19" i="35"/>
  <c r="DO19" i="35" s="1"/>
  <c r="DN18" i="35"/>
  <c r="DO18" i="35" s="1"/>
  <c r="DN17" i="35"/>
  <c r="DO17" i="35" s="1"/>
  <c r="DN9" i="35"/>
  <c r="DO9" i="35" s="1"/>
  <c r="DN65" i="36"/>
  <c r="DO65" i="36" s="1"/>
  <c r="DN64" i="36"/>
  <c r="DO64" i="36" s="1"/>
  <c r="DN63" i="36"/>
  <c r="DO63" i="36" s="1"/>
  <c r="DN58" i="36"/>
  <c r="DO58" i="36" s="1"/>
  <c r="DN56" i="36"/>
  <c r="DO56" i="36" s="1"/>
  <c r="DN54" i="36"/>
  <c r="DO54" i="36" s="1"/>
  <c r="DN52" i="36"/>
  <c r="DO52" i="36" s="1"/>
  <c r="DN51" i="36"/>
  <c r="DO51" i="36" s="1"/>
  <c r="DN48" i="36"/>
  <c r="DO48" i="36" s="1"/>
  <c r="DN47" i="36"/>
  <c r="DO47" i="36" s="1"/>
  <c r="DN46" i="36"/>
  <c r="DO46" i="36" s="1"/>
  <c r="DN44" i="36"/>
  <c r="DO44" i="36" s="1"/>
  <c r="DN39" i="36"/>
  <c r="DO39" i="36" s="1"/>
  <c r="DN23" i="36"/>
  <c r="DO23" i="36" s="1"/>
  <c r="DN21" i="36"/>
  <c r="DO21" i="36" s="1"/>
  <c r="DN20" i="36"/>
  <c r="DO20" i="36" s="1"/>
  <c r="DN19" i="36"/>
  <c r="DO19" i="36" s="1"/>
  <c r="DN18" i="36"/>
  <c r="DO18" i="36" s="1"/>
  <c r="DN17" i="36"/>
  <c r="DO17" i="36" s="1"/>
  <c r="DN9" i="36"/>
  <c r="DO9" i="36" s="1"/>
  <c r="DN65" i="37"/>
  <c r="DO65" i="37" s="1"/>
  <c r="DN64" i="37"/>
  <c r="DO64" i="37" s="1"/>
  <c r="DN63" i="37"/>
  <c r="DO63" i="37" s="1"/>
  <c r="DN58" i="37"/>
  <c r="DO58" i="37" s="1"/>
  <c r="DN56" i="37"/>
  <c r="DO56" i="37" s="1"/>
  <c r="DN54" i="37"/>
  <c r="DO54" i="37" s="1"/>
  <c r="DN52" i="37"/>
  <c r="DO52" i="37" s="1"/>
  <c r="DN51" i="37"/>
  <c r="DO51" i="37" s="1"/>
  <c r="DN48" i="37"/>
  <c r="DO48" i="37" s="1"/>
  <c r="DN47" i="37"/>
  <c r="DO47" i="37" s="1"/>
  <c r="DN46" i="37"/>
  <c r="DO46" i="37" s="1"/>
  <c r="DN44" i="37"/>
  <c r="DO44" i="37" s="1"/>
  <c r="DN39" i="37"/>
  <c r="DO39" i="37" s="1"/>
  <c r="DN23" i="37"/>
  <c r="DO23" i="37" s="1"/>
  <c r="DN21" i="37"/>
  <c r="DO21" i="37" s="1"/>
  <c r="DN20" i="37"/>
  <c r="DO20" i="37" s="1"/>
  <c r="DN19" i="37"/>
  <c r="DO19" i="37" s="1"/>
  <c r="DN18" i="37"/>
  <c r="DO18" i="37" s="1"/>
  <c r="DN17" i="37"/>
  <c r="DO17" i="37" s="1"/>
  <c r="DN9" i="37"/>
  <c r="DO9" i="37" s="1"/>
  <c r="DN65" i="38"/>
  <c r="DO65" i="38" s="1"/>
  <c r="DN64" i="38"/>
  <c r="DO64" i="38" s="1"/>
  <c r="DN63" i="38"/>
  <c r="DO63" i="38" s="1"/>
  <c r="DN58" i="38"/>
  <c r="DO58" i="38" s="1"/>
  <c r="DN56" i="38"/>
  <c r="DO56" i="38" s="1"/>
  <c r="DN54" i="38"/>
  <c r="DO54" i="38" s="1"/>
  <c r="DN52" i="38"/>
  <c r="DO52" i="38" s="1"/>
  <c r="DN51" i="38"/>
  <c r="DO51" i="38" s="1"/>
  <c r="DN48" i="38"/>
  <c r="DO48" i="38" s="1"/>
  <c r="DN47" i="38"/>
  <c r="DO47" i="38" s="1"/>
  <c r="DN46" i="38"/>
  <c r="DO46" i="38" s="1"/>
  <c r="DN44" i="38"/>
  <c r="DO44" i="38" s="1"/>
  <c r="DN39" i="38"/>
  <c r="DO39" i="38" s="1"/>
  <c r="DN23" i="38"/>
  <c r="DO23" i="38" s="1"/>
  <c r="DN21" i="38"/>
  <c r="DO21" i="38" s="1"/>
  <c r="DN20" i="38"/>
  <c r="DO20" i="38" s="1"/>
  <c r="DN19" i="38"/>
  <c r="DO19" i="38" s="1"/>
  <c r="DN18" i="38"/>
  <c r="DO18" i="38" s="1"/>
  <c r="DN17" i="38"/>
  <c r="DO17" i="38" s="1"/>
  <c r="DN9" i="38"/>
  <c r="DO9" i="38" s="1"/>
  <c r="DN65" i="28"/>
  <c r="DO65" i="28" s="1"/>
  <c r="DN64" i="28"/>
  <c r="DO64" i="28" s="1"/>
  <c r="DN63" i="28"/>
  <c r="DO63" i="28" s="1"/>
  <c r="DN58" i="28"/>
  <c r="DO58" i="28" s="1"/>
  <c r="DN56" i="28"/>
  <c r="DO56" i="28" s="1"/>
  <c r="DN54" i="28"/>
  <c r="DO54" i="28" s="1"/>
  <c r="DN52" i="28"/>
  <c r="DO52" i="28" s="1"/>
  <c r="DN51" i="28"/>
  <c r="DO51" i="28" s="1"/>
  <c r="DN48" i="28"/>
  <c r="DO48" i="28" s="1"/>
  <c r="DN47" i="28"/>
  <c r="DO47" i="28" s="1"/>
  <c r="DN46" i="28"/>
  <c r="DO46" i="28" s="1"/>
  <c r="DN44" i="28"/>
  <c r="DO44" i="28" s="1"/>
  <c r="DN39" i="28"/>
  <c r="DO39" i="28" s="1"/>
  <c r="DN23" i="28"/>
  <c r="DO23" i="28" s="1"/>
  <c r="DN21" i="28"/>
  <c r="DO21" i="28" s="1"/>
  <c r="DN20" i="28"/>
  <c r="DO20" i="28" s="1"/>
  <c r="DN19" i="28"/>
  <c r="DO19" i="28" s="1"/>
  <c r="DN18" i="28"/>
  <c r="DO18" i="28" s="1"/>
  <c r="DN17" i="28"/>
  <c r="DO17" i="28" s="1"/>
  <c r="DN9" i="28"/>
  <c r="DO9" i="28" s="1"/>
  <c r="DN65" i="13"/>
  <c r="DO65" i="13" s="1"/>
  <c r="DN64" i="13"/>
  <c r="DO64" i="13" s="1"/>
  <c r="DN63" i="13"/>
  <c r="DO63" i="13" s="1"/>
  <c r="DN58" i="13"/>
  <c r="DO58" i="13" s="1"/>
  <c r="DN56" i="13"/>
  <c r="DO56" i="13" s="1"/>
  <c r="DN54" i="13"/>
  <c r="DO54" i="13" s="1"/>
  <c r="DN52" i="13"/>
  <c r="DO52" i="13" s="1"/>
  <c r="DN51" i="13"/>
  <c r="DO51" i="13" s="1"/>
  <c r="DN48" i="13"/>
  <c r="DO48" i="13" s="1"/>
  <c r="DN47" i="13"/>
  <c r="DO47" i="13" s="1"/>
  <c r="DN46" i="13"/>
  <c r="DO46" i="13" s="1"/>
  <c r="DN44" i="13"/>
  <c r="DO44" i="13" s="1"/>
  <c r="DN39" i="13"/>
  <c r="DO39" i="13" s="1"/>
  <c r="DN23" i="13"/>
  <c r="DO23" i="13" s="1"/>
  <c r="DN21" i="13"/>
  <c r="DO21" i="13" s="1"/>
  <c r="DN20" i="13"/>
  <c r="DO20" i="13" s="1"/>
  <c r="DN19" i="13"/>
  <c r="DO19" i="13" s="1"/>
  <c r="DN18" i="13"/>
  <c r="DO18" i="13" s="1"/>
  <c r="DN17" i="13"/>
  <c r="DO17" i="13" s="1"/>
  <c r="DN9" i="13"/>
  <c r="DO9" i="13" s="1"/>
  <c r="DO70" i="29"/>
  <c r="DO69" i="29"/>
  <c r="DO68" i="29"/>
  <c r="DO66" i="29"/>
  <c r="DO62" i="29"/>
  <c r="DO61" i="29"/>
  <c r="DO60" i="29"/>
  <c r="DO59" i="29"/>
  <c r="DO57" i="29"/>
  <c r="DO55" i="29"/>
  <c r="DO53" i="29"/>
  <c r="DO50" i="29"/>
  <c r="DO49" i="29"/>
  <c r="DO45" i="29"/>
  <c r="DO43" i="29"/>
  <c r="DO42" i="29"/>
  <c r="DO40" i="29"/>
  <c r="DO38" i="29"/>
  <c r="DO37" i="29"/>
  <c r="DO36" i="29"/>
  <c r="DO35" i="29"/>
  <c r="DO34" i="29"/>
  <c r="DO33" i="29"/>
  <c r="DO32" i="29"/>
  <c r="DO30" i="29"/>
  <c r="DO29" i="29"/>
  <c r="DO28" i="29"/>
  <c r="DO27" i="29"/>
  <c r="DO26" i="29"/>
  <c r="DO25" i="29"/>
  <c r="DO24" i="29"/>
  <c r="DO22" i="29"/>
  <c r="DO15" i="29"/>
  <c r="DO14" i="29"/>
  <c r="DO13" i="29"/>
  <c r="DO12" i="29"/>
  <c r="DO11" i="29"/>
  <c r="DO10" i="29"/>
  <c r="DO70" i="30"/>
  <c r="DO69" i="30"/>
  <c r="DO68" i="30"/>
  <c r="DO66" i="30"/>
  <c r="DO62" i="30"/>
  <c r="DO61" i="30"/>
  <c r="DO60" i="30"/>
  <c r="DO59" i="30"/>
  <c r="DO57" i="30"/>
  <c r="DO55" i="30"/>
  <c r="DO53" i="30"/>
  <c r="DO50" i="30"/>
  <c r="DO49" i="30"/>
  <c r="DO45" i="30"/>
  <c r="DO43" i="30"/>
  <c r="DO42" i="30"/>
  <c r="DO40" i="30"/>
  <c r="DO38" i="30"/>
  <c r="DO37" i="30"/>
  <c r="DO36" i="30"/>
  <c r="DO35" i="30"/>
  <c r="DO34" i="30"/>
  <c r="DO33" i="30"/>
  <c r="DO32" i="30"/>
  <c r="DO30" i="30"/>
  <c r="DO29" i="30"/>
  <c r="DO28" i="30"/>
  <c r="DO27" i="30"/>
  <c r="DO26" i="30"/>
  <c r="DO25" i="30"/>
  <c r="DO24" i="30"/>
  <c r="DO22" i="30"/>
  <c r="DO15" i="30"/>
  <c r="DO14" i="30"/>
  <c r="DO13" i="30"/>
  <c r="DO12" i="30"/>
  <c r="DO11" i="30"/>
  <c r="DO10" i="30"/>
  <c r="DO70" i="31"/>
  <c r="DO69" i="31"/>
  <c r="DO68" i="31"/>
  <c r="DO66" i="31"/>
  <c r="DO62" i="31"/>
  <c r="DO61" i="31"/>
  <c r="DO60" i="31"/>
  <c r="DO59" i="31"/>
  <c r="DO57" i="31"/>
  <c r="DO55" i="31"/>
  <c r="DO53" i="31"/>
  <c r="DO50" i="31"/>
  <c r="DO49" i="31"/>
  <c r="DO45" i="31"/>
  <c r="DO43" i="31"/>
  <c r="DO42" i="31"/>
  <c r="DO40" i="31"/>
  <c r="DO38" i="31"/>
  <c r="DO37" i="31"/>
  <c r="DO36" i="31"/>
  <c r="DO35" i="31"/>
  <c r="DO34" i="31"/>
  <c r="DO33" i="31"/>
  <c r="DO32" i="31"/>
  <c r="DO30" i="31"/>
  <c r="DO29" i="31"/>
  <c r="DO28" i="31"/>
  <c r="DO27" i="31"/>
  <c r="DO26" i="31"/>
  <c r="DO25" i="31"/>
  <c r="DO24" i="31"/>
  <c r="DO22" i="31"/>
  <c r="DO15" i="31"/>
  <c r="DO14" i="31"/>
  <c r="DO13" i="31"/>
  <c r="DO12" i="31"/>
  <c r="DO11" i="31"/>
  <c r="DO10" i="31"/>
  <c r="DO70" i="32"/>
  <c r="DO69" i="32"/>
  <c r="DO68" i="32"/>
  <c r="DO66" i="32"/>
  <c r="DO62" i="32"/>
  <c r="DO61" i="32"/>
  <c r="DO60" i="32"/>
  <c r="DO59" i="32"/>
  <c r="DO57" i="32"/>
  <c r="DO55" i="32"/>
  <c r="DO53" i="32"/>
  <c r="DO50" i="32"/>
  <c r="DO49" i="32"/>
  <c r="DO45" i="32"/>
  <c r="DO43" i="32"/>
  <c r="DO42" i="32"/>
  <c r="DO40" i="32"/>
  <c r="DO38" i="32"/>
  <c r="DO37" i="32"/>
  <c r="DO36" i="32"/>
  <c r="DO35" i="32"/>
  <c r="DO34" i="32"/>
  <c r="DO33" i="32"/>
  <c r="DO32" i="32"/>
  <c r="DO30" i="32"/>
  <c r="DO29" i="32"/>
  <c r="DO28" i="32"/>
  <c r="DO27" i="32"/>
  <c r="DO26" i="32"/>
  <c r="DO25" i="32"/>
  <c r="DO24" i="32"/>
  <c r="DO22" i="32"/>
  <c r="DO15" i="32"/>
  <c r="DO14" i="32"/>
  <c r="DO13" i="32"/>
  <c r="DO12" i="32"/>
  <c r="DO11" i="32"/>
  <c r="DO10" i="32"/>
  <c r="DO70" i="33"/>
  <c r="DO69" i="33"/>
  <c r="DO68" i="33"/>
  <c r="DO66" i="33"/>
  <c r="DO62" i="33"/>
  <c r="DO61" i="33"/>
  <c r="DO60" i="33"/>
  <c r="DO59" i="33"/>
  <c r="DO57" i="33"/>
  <c r="DO55" i="33"/>
  <c r="DO53" i="33"/>
  <c r="DO50" i="33"/>
  <c r="DO49" i="33"/>
  <c r="DO45" i="33"/>
  <c r="DO43" i="33"/>
  <c r="DO42" i="33"/>
  <c r="DO40" i="33"/>
  <c r="DO38" i="33"/>
  <c r="DO37" i="33"/>
  <c r="DO36" i="33"/>
  <c r="DO35" i="33"/>
  <c r="DO34" i="33"/>
  <c r="DO33" i="33"/>
  <c r="DO32" i="33"/>
  <c r="DO30" i="33"/>
  <c r="DO29" i="33"/>
  <c r="DO28" i="33"/>
  <c r="DO27" i="33"/>
  <c r="DO26" i="33"/>
  <c r="DO25" i="33"/>
  <c r="DO24" i="33"/>
  <c r="DO22" i="33"/>
  <c r="DO15" i="33"/>
  <c r="DO14" i="33"/>
  <c r="DO13" i="33"/>
  <c r="DO12" i="33"/>
  <c r="DO11" i="33"/>
  <c r="DO10" i="33"/>
  <c r="DO70" i="34"/>
  <c r="DO69" i="34"/>
  <c r="DO68" i="34"/>
  <c r="DO66" i="34"/>
  <c r="DO62" i="34"/>
  <c r="DO61" i="34"/>
  <c r="DO60" i="34"/>
  <c r="DO59" i="34"/>
  <c r="DO57" i="34"/>
  <c r="DO55" i="34"/>
  <c r="DO53" i="34"/>
  <c r="DO50" i="34"/>
  <c r="DO49" i="34"/>
  <c r="DO45" i="34"/>
  <c r="DO43" i="34"/>
  <c r="DO42" i="34"/>
  <c r="DO40" i="34"/>
  <c r="DO38" i="34"/>
  <c r="DO37" i="34"/>
  <c r="DO36" i="34"/>
  <c r="DO35" i="34"/>
  <c r="DO34" i="34"/>
  <c r="DO33" i="34"/>
  <c r="DO32" i="34"/>
  <c r="DO30" i="34"/>
  <c r="DO29" i="34"/>
  <c r="DO28" i="34"/>
  <c r="DO27" i="34"/>
  <c r="DO26" i="34"/>
  <c r="DO25" i="34"/>
  <c r="DO24" i="34"/>
  <c r="DO22" i="34"/>
  <c r="DO15" i="34"/>
  <c r="DO14" i="34"/>
  <c r="DO13" i="34"/>
  <c r="DO12" i="34"/>
  <c r="DO11" i="34"/>
  <c r="DO10" i="34"/>
  <c r="DO70" i="35"/>
  <c r="DO69" i="35"/>
  <c r="DO68" i="35"/>
  <c r="DO66" i="35"/>
  <c r="DO62" i="35"/>
  <c r="DO61" i="35"/>
  <c r="DO60" i="35"/>
  <c r="DO59" i="35"/>
  <c r="DO57" i="35"/>
  <c r="DO55" i="35"/>
  <c r="DO53" i="35"/>
  <c r="DO50" i="35"/>
  <c r="DO49" i="35"/>
  <c r="DO45" i="35"/>
  <c r="DO43" i="35"/>
  <c r="DO42" i="35"/>
  <c r="DO40" i="35"/>
  <c r="DO38" i="35"/>
  <c r="DO37" i="35"/>
  <c r="DO36" i="35"/>
  <c r="DO35" i="35"/>
  <c r="DO34" i="35"/>
  <c r="DO33" i="35"/>
  <c r="DO32" i="35"/>
  <c r="DO30" i="35"/>
  <c r="DO29" i="35"/>
  <c r="DO28" i="35"/>
  <c r="DO27" i="35"/>
  <c r="DO26" i="35"/>
  <c r="DO25" i="35"/>
  <c r="DO24" i="35"/>
  <c r="DO22" i="35"/>
  <c r="DO15" i="35"/>
  <c r="DO14" i="35"/>
  <c r="DO13" i="35"/>
  <c r="DO12" i="35"/>
  <c r="DO11" i="35"/>
  <c r="DO10" i="35"/>
  <c r="DO70" i="36"/>
  <c r="DO69" i="36"/>
  <c r="DO68" i="36"/>
  <c r="DO66" i="36"/>
  <c r="DO62" i="36"/>
  <c r="DO61" i="36"/>
  <c r="DO60" i="36"/>
  <c r="DO59" i="36"/>
  <c r="DO57" i="36"/>
  <c r="DO55" i="36"/>
  <c r="DO53" i="36"/>
  <c r="DO50" i="36"/>
  <c r="DO49" i="36"/>
  <c r="DO45" i="36"/>
  <c r="DO43" i="36"/>
  <c r="DO42" i="36"/>
  <c r="DO40" i="36"/>
  <c r="DO38" i="36"/>
  <c r="DO37" i="36"/>
  <c r="DO36" i="36"/>
  <c r="DO35" i="36"/>
  <c r="DO34" i="36"/>
  <c r="DO33" i="36"/>
  <c r="DO32" i="36"/>
  <c r="DO30" i="36"/>
  <c r="DO29" i="36"/>
  <c r="DO28" i="36"/>
  <c r="DO27" i="36"/>
  <c r="DO26" i="36"/>
  <c r="DO25" i="36"/>
  <c r="DO24" i="36"/>
  <c r="DO22" i="36"/>
  <c r="DO15" i="36"/>
  <c r="DO14" i="36"/>
  <c r="DO13" i="36"/>
  <c r="DO12" i="36"/>
  <c r="DO11" i="36"/>
  <c r="DO10" i="36"/>
  <c r="DO70" i="37"/>
  <c r="DO69" i="37"/>
  <c r="DO68" i="37"/>
  <c r="DO66" i="37"/>
  <c r="DO62" i="37"/>
  <c r="DO61" i="37"/>
  <c r="DO60" i="37"/>
  <c r="DO59" i="37"/>
  <c r="DO57" i="37"/>
  <c r="DO55" i="37"/>
  <c r="DO53" i="37"/>
  <c r="DO50" i="37"/>
  <c r="DO49" i="37"/>
  <c r="DO45" i="37"/>
  <c r="DO43" i="37"/>
  <c r="DO42" i="37"/>
  <c r="DO40" i="37"/>
  <c r="DO38" i="37"/>
  <c r="DO37" i="37"/>
  <c r="DO36" i="37"/>
  <c r="DO35" i="37"/>
  <c r="DO34" i="37"/>
  <c r="DO33" i="37"/>
  <c r="DO32" i="37"/>
  <c r="DO30" i="37"/>
  <c r="DO29" i="37"/>
  <c r="DO28" i="37"/>
  <c r="DO27" i="37"/>
  <c r="DO26" i="37"/>
  <c r="DO25" i="37"/>
  <c r="DO24" i="37"/>
  <c r="DO22" i="37"/>
  <c r="DO15" i="37"/>
  <c r="DO14" i="37"/>
  <c r="DO13" i="37"/>
  <c r="DO12" i="37"/>
  <c r="DO11" i="37"/>
  <c r="DO10" i="37"/>
  <c r="DO70" i="38"/>
  <c r="DO69" i="38"/>
  <c r="DO68" i="38"/>
  <c r="DO66" i="38"/>
  <c r="DO62" i="38"/>
  <c r="DO61" i="38"/>
  <c r="DO60" i="38"/>
  <c r="DO59" i="38"/>
  <c r="DO57" i="38"/>
  <c r="DO55" i="38"/>
  <c r="DO53" i="38"/>
  <c r="DO50" i="38"/>
  <c r="DO49" i="38"/>
  <c r="DO45" i="38"/>
  <c r="DO43" i="38"/>
  <c r="DO42" i="38"/>
  <c r="DO40" i="38"/>
  <c r="DO38" i="38"/>
  <c r="DO37" i="38"/>
  <c r="DO36" i="38"/>
  <c r="DO35" i="38"/>
  <c r="DO34" i="38"/>
  <c r="DO33" i="38"/>
  <c r="DO32" i="38"/>
  <c r="DO30" i="38"/>
  <c r="DO29" i="38"/>
  <c r="DO28" i="38"/>
  <c r="DO27" i="38"/>
  <c r="DO26" i="38"/>
  <c r="DO25" i="38"/>
  <c r="DO24" i="38"/>
  <c r="DO22" i="38"/>
  <c r="DO15" i="38"/>
  <c r="DO14" i="38"/>
  <c r="DO13" i="38"/>
  <c r="DO12" i="38"/>
  <c r="DO11" i="38"/>
  <c r="DO10" i="38"/>
  <c r="DO70" i="28"/>
  <c r="DO69" i="28"/>
  <c r="DO68" i="28"/>
  <c r="DO66" i="28"/>
  <c r="DO62" i="28"/>
  <c r="DO61" i="28"/>
  <c r="DO60" i="28"/>
  <c r="DO59" i="28"/>
  <c r="DO57" i="28"/>
  <c r="DO55" i="28"/>
  <c r="DO53" i="28"/>
  <c r="DO50" i="28"/>
  <c r="DO49" i="28"/>
  <c r="DO45" i="28"/>
  <c r="DO43" i="28"/>
  <c r="DO42" i="28"/>
  <c r="DO40" i="28"/>
  <c r="DO38" i="28"/>
  <c r="DO37" i="28"/>
  <c r="DO36" i="28"/>
  <c r="DO35" i="28"/>
  <c r="DO34" i="28"/>
  <c r="DO33" i="28"/>
  <c r="DO32" i="28"/>
  <c r="DO30" i="28"/>
  <c r="DO29" i="28"/>
  <c r="DO28" i="28"/>
  <c r="DO27" i="28"/>
  <c r="DO26" i="28"/>
  <c r="DO25" i="28"/>
  <c r="DO24" i="28"/>
  <c r="DO22" i="28"/>
  <c r="DO15" i="28"/>
  <c r="DO14" i="28"/>
  <c r="DO13" i="28"/>
  <c r="DO12" i="28"/>
  <c r="DO11" i="28"/>
  <c r="DO10" i="28"/>
  <c r="DO70" i="13"/>
  <c r="DO69" i="13"/>
  <c r="DO68" i="13"/>
  <c r="DO66" i="13"/>
  <c r="DO62" i="13"/>
  <c r="DO61" i="13"/>
  <c r="DO60" i="13"/>
  <c r="DO59" i="13"/>
  <c r="DO57" i="13"/>
  <c r="DO55" i="13"/>
  <c r="DO53" i="13"/>
  <c r="DO50" i="13"/>
  <c r="DO49" i="13"/>
  <c r="DO45" i="13"/>
  <c r="DO43" i="13"/>
  <c r="DO42" i="13"/>
  <c r="DO40" i="13"/>
  <c r="DO38" i="13"/>
  <c r="DO37" i="13"/>
  <c r="DO36" i="13"/>
  <c r="DO35" i="13"/>
  <c r="DO34" i="13"/>
  <c r="DO33" i="13"/>
  <c r="DO32" i="13"/>
  <c r="DO30" i="13"/>
  <c r="DO29" i="13"/>
  <c r="DO28" i="13"/>
  <c r="DO27" i="13"/>
  <c r="DO26" i="13"/>
  <c r="DO25" i="13"/>
  <c r="DO24" i="13"/>
  <c r="DO22" i="13"/>
  <c r="DO15" i="13"/>
  <c r="DO14" i="13"/>
  <c r="DO13" i="13"/>
  <c r="DO12" i="13"/>
  <c r="DO11" i="13"/>
  <c r="DO10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AM23" i="13"/>
  <c r="AL23" i="13"/>
  <c r="AK23" i="13"/>
  <c r="AJ23" i="13"/>
  <c r="AI23" i="13"/>
  <c r="AH23" i="13"/>
  <c r="BK22" i="13"/>
  <c r="BJ22" i="13"/>
  <c r="BI22" i="13"/>
  <c r="BH22" i="13"/>
  <c r="BG22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AM22" i="13"/>
  <c r="AL22" i="13"/>
  <c r="AK22" i="13"/>
  <c r="AJ22" i="13"/>
  <c r="AI22" i="13"/>
  <c r="AH22" i="13"/>
  <c r="BK21" i="13"/>
  <c r="BJ21" i="13"/>
  <c r="BI21" i="13"/>
  <c r="BH21" i="13"/>
  <c r="BG21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AM21" i="13"/>
  <c r="AL21" i="13"/>
  <c r="AK21" i="13"/>
  <c r="AJ21" i="13"/>
  <c r="AI21" i="13"/>
  <c r="AH21" i="13"/>
  <c r="BK20" i="13"/>
  <c r="BJ20" i="13"/>
  <c r="BI20" i="13"/>
  <c r="BH20" i="13"/>
  <c r="BG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BK19" i="13"/>
  <c r="BJ19" i="13"/>
  <c r="BI19" i="13"/>
  <c r="BH19" i="13"/>
  <c r="BG19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AM19" i="13"/>
  <c r="AL19" i="13"/>
  <c r="AK19" i="13"/>
  <c r="AJ19" i="13"/>
  <c r="AI19" i="13"/>
  <c r="AH19" i="13"/>
  <c r="BK18" i="13"/>
  <c r="BJ18" i="13"/>
  <c r="BI18" i="13"/>
  <c r="BH18" i="13"/>
  <c r="BG18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AI18" i="13"/>
  <c r="AH18" i="13"/>
  <c r="BK17" i="13"/>
  <c r="BJ17" i="13"/>
  <c r="BI17" i="13"/>
  <c r="BH17" i="13"/>
  <c r="BG17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AM17" i="13"/>
  <c r="AL17" i="13"/>
  <c r="AK17" i="13"/>
  <c r="AJ17" i="13"/>
  <c r="AI17" i="13"/>
  <c r="AH17" i="13"/>
  <c r="BK16" i="13"/>
  <c r="BJ16" i="13"/>
  <c r="BI16" i="13"/>
  <c r="BH16" i="13"/>
  <c r="BG16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BK15" i="13"/>
  <c r="BJ15" i="13"/>
  <c r="BI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AK15" i="13"/>
  <c r="AJ15" i="13"/>
  <c r="AI15" i="13"/>
  <c r="AH15" i="13"/>
  <c r="BK14" i="13"/>
  <c r="BJ14" i="13"/>
  <c r="BI14" i="13"/>
  <c r="BH14" i="13"/>
  <c r="BG14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AM14" i="13"/>
  <c r="AL14" i="13"/>
  <c r="AK14" i="13"/>
  <c r="AJ14" i="13"/>
  <c r="AI14" i="13"/>
  <c r="AH14" i="13"/>
  <c r="BK13" i="13"/>
  <c r="BJ13" i="13"/>
  <c r="BI13" i="13"/>
  <c r="BH13" i="13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I13" i="13"/>
  <c r="AH13" i="13"/>
  <c r="BK12" i="13"/>
  <c r="BJ12" i="13"/>
  <c r="BI12" i="13"/>
  <c r="BH12" i="13"/>
  <c r="BG12" i="13"/>
  <c r="BF12" i="13"/>
  <c r="BE12" i="13"/>
  <c r="BD12" i="13"/>
  <c r="BC12" i="13"/>
  <c r="BB12" i="13"/>
  <c r="BA12" i="13"/>
  <c r="AZ12" i="13"/>
  <c r="AY12" i="13"/>
  <c r="AX12" i="13"/>
  <c r="AW12" i="13"/>
  <c r="AV12" i="13"/>
  <c r="AU12" i="13"/>
  <c r="AT12" i="13"/>
  <c r="AS12" i="13"/>
  <c r="AR12" i="13"/>
  <c r="AQ12" i="13"/>
  <c r="AP12" i="13"/>
  <c r="AO12" i="13"/>
  <c r="AN12" i="13"/>
  <c r="AM12" i="13"/>
  <c r="AL12" i="13"/>
  <c r="AK12" i="13"/>
  <c r="AJ12" i="13"/>
  <c r="AH12" i="13"/>
  <c r="BK11" i="13"/>
  <c r="BJ11" i="13"/>
  <c r="BI11" i="13"/>
  <c r="BH11" i="13"/>
  <c r="BG11" i="13"/>
  <c r="BF11" i="13"/>
  <c r="BE11" i="13"/>
  <c r="BD11" i="13"/>
  <c r="BC11" i="13"/>
  <c r="BB11" i="13"/>
  <c r="BA11" i="13"/>
  <c r="AZ11" i="13"/>
  <c r="AY11" i="13"/>
  <c r="AX11" i="13"/>
  <c r="AW11" i="13"/>
  <c r="AV11" i="13"/>
  <c r="AU11" i="13"/>
  <c r="AT11" i="13"/>
  <c r="AS11" i="13"/>
  <c r="AR11" i="13"/>
  <c r="AQ11" i="13"/>
  <c r="AP11" i="13"/>
  <c r="AO11" i="13"/>
  <c r="AN11" i="13"/>
  <c r="AM11" i="13"/>
  <c r="AL11" i="13"/>
  <c r="AK11" i="13"/>
  <c r="AJ11" i="13"/>
  <c r="AI11" i="13"/>
  <c r="BK10" i="13"/>
  <c r="BJ10" i="13"/>
  <c r="BI10" i="13"/>
  <c r="BH10" i="13"/>
  <c r="BG10" i="13"/>
  <c r="BF10" i="13"/>
  <c r="BE10" i="13"/>
  <c r="BD10" i="13"/>
  <c r="BC10" i="13"/>
  <c r="BB10" i="13"/>
  <c r="BA10" i="13"/>
  <c r="AZ10" i="13"/>
  <c r="AY10" i="13"/>
  <c r="AX10" i="13"/>
  <c r="AW10" i="13"/>
  <c r="AV10" i="13"/>
  <c r="AU10" i="13"/>
  <c r="AT10" i="13"/>
  <c r="AS10" i="13"/>
  <c r="AR10" i="13"/>
  <c r="AQ10" i="13"/>
  <c r="AP10" i="13"/>
  <c r="AO10" i="13"/>
  <c r="AN10" i="13"/>
  <c r="AM10" i="13"/>
  <c r="AL10" i="13"/>
  <c r="AK10" i="13"/>
  <c r="AJ10" i="13"/>
  <c r="AI10" i="13"/>
  <c r="AH10" i="13"/>
  <c r="BK9" i="13"/>
  <c r="BJ9" i="13"/>
  <c r="BI9" i="13"/>
  <c r="BH9" i="13"/>
  <c r="BG9" i="13"/>
  <c r="BF9" i="13"/>
  <c r="BE9" i="13"/>
  <c r="BD9" i="13"/>
  <c r="BC9" i="13"/>
  <c r="BB9" i="13"/>
  <c r="BA9" i="13"/>
  <c r="AZ9" i="13"/>
  <c r="AY9" i="13"/>
  <c r="AX9" i="13"/>
  <c r="AW9" i="13"/>
  <c r="AV9" i="13"/>
  <c r="AU9" i="13"/>
  <c r="AT9" i="13"/>
  <c r="AS9" i="13"/>
  <c r="AR9" i="13"/>
  <c r="AQ9" i="13"/>
  <c r="AP9" i="13"/>
  <c r="AO9" i="13"/>
  <c r="AN9" i="13"/>
  <c r="AM9" i="13"/>
  <c r="AL9" i="13"/>
  <c r="AK9" i="13"/>
  <c r="AJ9" i="13"/>
  <c r="AI9" i="13"/>
  <c r="AH9" i="13"/>
  <c r="BK8" i="13"/>
  <c r="BJ8" i="13"/>
  <c r="BI8" i="13"/>
  <c r="BH8" i="13"/>
  <c r="BG8" i="13"/>
  <c r="BF8" i="13"/>
  <c r="BE8" i="13"/>
  <c r="BD8" i="13"/>
  <c r="BC8" i="13"/>
  <c r="BB8" i="13"/>
  <c r="BA8" i="13"/>
  <c r="AZ8" i="13"/>
  <c r="AY8" i="13"/>
  <c r="AX8" i="13"/>
  <c r="AW8" i="13"/>
  <c r="AV8" i="13"/>
  <c r="AU8" i="13"/>
  <c r="AT8" i="13"/>
  <c r="AS8" i="13"/>
  <c r="AR8" i="13"/>
  <c r="AQ8" i="13"/>
  <c r="AP8" i="13"/>
  <c r="AO8" i="13"/>
  <c r="AN8" i="13"/>
  <c r="AM8" i="13"/>
  <c r="AL8" i="13"/>
  <c r="AK8" i="13"/>
  <c r="AJ8" i="13"/>
  <c r="AI8" i="13"/>
  <c r="AH8" i="13"/>
  <c r="AT40" i="13" l="1"/>
  <c r="AT47" i="13" s="1"/>
  <c r="BH40" i="13"/>
  <c r="BH52" i="13" s="1"/>
  <c r="AW40" i="13"/>
  <c r="AW39" i="13" s="1"/>
  <c r="BI40" i="13"/>
  <c r="BI52" i="13" s="1"/>
  <c r="AS40" i="13"/>
  <c r="AS39" i="13" s="1"/>
  <c r="BE40" i="13"/>
  <c r="BE39" i="13" s="1"/>
  <c r="BF40" i="13"/>
  <c r="BF39" i="13" s="1"/>
  <c r="AV40" i="13"/>
  <c r="AV47" i="13" s="1"/>
  <c r="AR40" i="13"/>
  <c r="AR52" i="13" s="1"/>
  <c r="BD40" i="13"/>
  <c r="BD47" i="13" s="1"/>
  <c r="AU40" i="13"/>
  <c r="AU52" i="13" s="1"/>
  <c r="BG40" i="13"/>
  <c r="BG47" i="13" s="1"/>
  <c r="AJ40" i="13"/>
  <c r="AJ52" i="13" s="1"/>
  <c r="AK40" i="13"/>
  <c r="AK52" i="13" s="1"/>
  <c r="AL40" i="13"/>
  <c r="AL52" i="13" s="1"/>
  <c r="AX40" i="13"/>
  <c r="AX47" i="13" s="1"/>
  <c r="BJ40" i="13"/>
  <c r="BJ52" i="13" s="1"/>
  <c r="AM40" i="13"/>
  <c r="AM47" i="13" s="1"/>
  <c r="AY40" i="13"/>
  <c r="AZ40" i="13"/>
  <c r="AZ47" i="13" s="1"/>
  <c r="AN40" i="13"/>
  <c r="AN47" i="13" s="1"/>
  <c r="AO40" i="13"/>
  <c r="AO47" i="13" s="1"/>
  <c r="BA40" i="13"/>
  <c r="BA52" i="13" s="1"/>
  <c r="AP40" i="13"/>
  <c r="AP39" i="13" s="1"/>
  <c r="BB40" i="13"/>
  <c r="BB39" i="13" s="1"/>
  <c r="AQ40" i="13"/>
  <c r="AQ39" i="13" s="1"/>
  <c r="BC40" i="13"/>
  <c r="BC52" i="13" s="1"/>
  <c r="BF47" i="13" l="1"/>
  <c r="BF52" i="13"/>
  <c r="BG52" i="13"/>
  <c r="BE52" i="13"/>
  <c r="BI47" i="13"/>
  <c r="BG39" i="13"/>
  <c r="AT52" i="13"/>
  <c r="AT39" i="13"/>
  <c r="BE47" i="13"/>
  <c r="BI39" i="13"/>
  <c r="AV39" i="13"/>
  <c r="AV52" i="13"/>
  <c r="AO39" i="13"/>
  <c r="AO52" i="13"/>
  <c r="AW47" i="13"/>
  <c r="AW52" i="13"/>
  <c r="AN39" i="13"/>
  <c r="BA39" i="13"/>
  <c r="BH39" i="13"/>
  <c r="AZ39" i="13"/>
  <c r="AU39" i="13"/>
  <c r="AS52" i="13"/>
  <c r="AU47" i="13"/>
  <c r="AS47" i="13"/>
  <c r="AP52" i="13"/>
  <c r="BH47" i="13"/>
  <c r="BD39" i="13"/>
  <c r="AR39" i="13"/>
  <c r="BD52" i="13"/>
  <c r="AR47" i="13"/>
  <c r="BJ47" i="13"/>
  <c r="AQ47" i="13"/>
  <c r="AQ52" i="13"/>
  <c r="AN52" i="13"/>
  <c r="AL39" i="13"/>
  <c r="AK39" i="13"/>
  <c r="AK47" i="13"/>
  <c r="BB47" i="13"/>
  <c r="AJ47" i="13"/>
  <c r="AX39" i="13"/>
  <c r="AJ39" i="13"/>
  <c r="BB52" i="13"/>
  <c r="BC39" i="13"/>
  <c r="AY47" i="13"/>
  <c r="AX52" i="13"/>
  <c r="AM52" i="13"/>
  <c r="AP47" i="13"/>
  <c r="AM39" i="13"/>
  <c r="AY52" i="13"/>
  <c r="AY39" i="13"/>
  <c r="BJ39" i="13"/>
  <c r="AL47" i="13"/>
  <c r="AZ52" i="13"/>
  <c r="BA47" i="13"/>
  <c r="BC47" i="13"/>
  <c r="A8" i="13" l="1"/>
  <c r="B8" i="13"/>
  <c r="I8" i="13"/>
  <c r="U8" i="13"/>
  <c r="W8" i="13"/>
  <c r="A9" i="13"/>
  <c r="B9" i="13"/>
  <c r="U9" i="13"/>
  <c r="W9" i="13"/>
  <c r="A10" i="13"/>
  <c r="B10" i="13"/>
  <c r="U10" i="13"/>
  <c r="W10" i="13"/>
  <c r="A11" i="13"/>
  <c r="B11" i="13"/>
  <c r="U11" i="13"/>
  <c r="W11" i="13"/>
  <c r="A12" i="13"/>
  <c r="B12" i="13"/>
  <c r="U12" i="13"/>
  <c r="W12" i="13"/>
  <c r="A13" i="13"/>
  <c r="B13" i="13"/>
  <c r="U13" i="13"/>
  <c r="W13" i="13"/>
  <c r="A14" i="13"/>
  <c r="B14" i="13"/>
  <c r="U14" i="13"/>
  <c r="W14" i="13"/>
  <c r="A15" i="13"/>
  <c r="B15" i="13"/>
  <c r="U15" i="13"/>
  <c r="W15" i="13"/>
  <c r="A16" i="13"/>
  <c r="B16" i="13"/>
  <c r="U16" i="13"/>
  <c r="W16" i="13"/>
  <c r="A17" i="13"/>
  <c r="B17" i="13"/>
  <c r="U17" i="13"/>
  <c r="W17" i="13"/>
  <c r="A18" i="13"/>
  <c r="B18" i="13"/>
  <c r="U18" i="13"/>
  <c r="W18" i="13"/>
  <c r="A19" i="13"/>
  <c r="B19" i="13"/>
  <c r="U19" i="13"/>
  <c r="W19" i="13"/>
  <c r="A20" i="13"/>
  <c r="B20" i="13"/>
  <c r="U20" i="13"/>
  <c r="W20" i="13"/>
  <c r="A21" i="13"/>
  <c r="B21" i="13"/>
  <c r="U21" i="13"/>
  <c r="W21" i="13"/>
  <c r="A22" i="13"/>
  <c r="B22" i="13"/>
  <c r="U22" i="13"/>
  <c r="W22" i="13"/>
  <c r="A23" i="13"/>
  <c r="B23" i="13"/>
  <c r="U23" i="13"/>
  <c r="W23" i="13"/>
  <c r="A24" i="13"/>
  <c r="B24" i="13"/>
  <c r="U24" i="13"/>
  <c r="W24" i="13"/>
  <c r="A25" i="13"/>
  <c r="B25" i="13"/>
  <c r="U25" i="13"/>
  <c r="W25" i="13"/>
  <c r="A26" i="13"/>
  <c r="B26" i="13"/>
  <c r="U26" i="13"/>
  <c r="W26" i="13"/>
  <c r="A27" i="13"/>
  <c r="B27" i="13"/>
  <c r="U27" i="13"/>
  <c r="W27" i="13"/>
  <c r="A28" i="13"/>
  <c r="B28" i="13"/>
  <c r="U28" i="13"/>
  <c r="W28" i="13"/>
  <c r="A29" i="13"/>
  <c r="B29" i="13"/>
  <c r="U29" i="13"/>
  <c r="W29" i="13"/>
  <c r="A30" i="13"/>
  <c r="B30" i="13"/>
  <c r="U30" i="13"/>
  <c r="W30" i="13"/>
  <c r="A31" i="13"/>
  <c r="B31" i="13"/>
  <c r="U31" i="13"/>
  <c r="W31" i="13"/>
  <c r="A32" i="13"/>
  <c r="B32" i="13"/>
  <c r="U32" i="13"/>
  <c r="W32" i="13"/>
  <c r="A33" i="13"/>
  <c r="B33" i="13"/>
  <c r="U33" i="13"/>
  <c r="W33" i="13"/>
  <c r="A34" i="13"/>
  <c r="B34" i="13"/>
  <c r="U34" i="13"/>
  <c r="W34" i="13"/>
  <c r="A35" i="13"/>
  <c r="B35" i="13"/>
  <c r="U35" i="13"/>
  <c r="W35" i="13"/>
  <c r="A36" i="13"/>
  <c r="B36" i="13"/>
  <c r="U36" i="13"/>
  <c r="W36" i="13"/>
  <c r="A37" i="13"/>
  <c r="B37" i="13"/>
  <c r="U37" i="13"/>
  <c r="W37" i="13"/>
  <c r="A38" i="13"/>
  <c r="B38" i="13"/>
  <c r="U37" i="37"/>
  <c r="U36" i="37"/>
  <c r="U35" i="37"/>
  <c r="U34" i="37"/>
  <c r="U33" i="37"/>
  <c r="U32" i="37"/>
  <c r="U31" i="37"/>
  <c r="U30" i="37"/>
  <c r="U29" i="37"/>
  <c r="U28" i="37"/>
  <c r="U27" i="37"/>
  <c r="U26" i="37"/>
  <c r="U25" i="37"/>
  <c r="U24" i="37"/>
  <c r="U23" i="37"/>
  <c r="U22" i="37"/>
  <c r="U21" i="37"/>
  <c r="U20" i="37"/>
  <c r="U19" i="37"/>
  <c r="U18" i="37"/>
  <c r="U17" i="37"/>
  <c r="U16" i="37"/>
  <c r="U15" i="37"/>
  <c r="U14" i="37"/>
  <c r="U13" i="37"/>
  <c r="U12" i="37"/>
  <c r="U11" i="37"/>
  <c r="U10" i="37"/>
  <c r="U9" i="37"/>
  <c r="U8" i="37"/>
  <c r="F49" i="13" l="1"/>
  <c r="DA38" i="29" l="1"/>
  <c r="CB38" i="29"/>
  <c r="CA38" i="29"/>
  <c r="DA37" i="29"/>
  <c r="CB37" i="29"/>
  <c r="CA37" i="29"/>
  <c r="CB36" i="29"/>
  <c r="CA36" i="29"/>
  <c r="CB35" i="29"/>
  <c r="CA35" i="29"/>
  <c r="CB34" i="29"/>
  <c r="CA34" i="29"/>
  <c r="DA34" i="29" s="1"/>
  <c r="CB33" i="29"/>
  <c r="CA33" i="29"/>
  <c r="CB32" i="29"/>
  <c r="CA32" i="29"/>
  <c r="CB31" i="29"/>
  <c r="DA31" i="29" s="1"/>
  <c r="CA31" i="29"/>
  <c r="CB30" i="29"/>
  <c r="CA30" i="29"/>
  <c r="CB29" i="29"/>
  <c r="CA29" i="29"/>
  <c r="DA29" i="29" s="1"/>
  <c r="CB28" i="29"/>
  <c r="CA28" i="29"/>
  <c r="DA28" i="29" s="1"/>
  <c r="CB27" i="29"/>
  <c r="CA27" i="29"/>
  <c r="DA27" i="29" s="1"/>
  <c r="DA26" i="29"/>
  <c r="CB26" i="29"/>
  <c r="CA26" i="29"/>
  <c r="DA25" i="29"/>
  <c r="CB25" i="29"/>
  <c r="CA25" i="29"/>
  <c r="CB24" i="29"/>
  <c r="CA24" i="29"/>
  <c r="CB23" i="29"/>
  <c r="CA23" i="29"/>
  <c r="CB22" i="29"/>
  <c r="CA22" i="29"/>
  <c r="DA22" i="29" s="1"/>
  <c r="CB21" i="29"/>
  <c r="CA21" i="29"/>
  <c r="CB20" i="29"/>
  <c r="CA20" i="29"/>
  <c r="CB19" i="29"/>
  <c r="DA19" i="29" s="1"/>
  <c r="CA19" i="29"/>
  <c r="CB18" i="29"/>
  <c r="CA18" i="29"/>
  <c r="BX18" i="29"/>
  <c r="CB17" i="29"/>
  <c r="CA17" i="29"/>
  <c r="BW17" i="29"/>
  <c r="BX17" i="29" s="1"/>
  <c r="DA16" i="29"/>
  <c r="CB16" i="29"/>
  <c r="CA16" i="29"/>
  <c r="CB15" i="29"/>
  <c r="CA15" i="29"/>
  <c r="CB14" i="29"/>
  <c r="CA14" i="29"/>
  <c r="CB13" i="29"/>
  <c r="CA13" i="29"/>
  <c r="CB12" i="29"/>
  <c r="CA12" i="29"/>
  <c r="CB11" i="29"/>
  <c r="CA11" i="29"/>
  <c r="CB10" i="29"/>
  <c r="DA10" i="29" s="1"/>
  <c r="CA10" i="29"/>
  <c r="DB10" i="29" s="1"/>
  <c r="CB9" i="29"/>
  <c r="CA9" i="29"/>
  <c r="BX9" i="29"/>
  <c r="DA8" i="29"/>
  <c r="CB8" i="29"/>
  <c r="CA8" i="29"/>
  <c r="CB38" i="30"/>
  <c r="CA38" i="30"/>
  <c r="CB37" i="30"/>
  <c r="CA37" i="30"/>
  <c r="CB36" i="30"/>
  <c r="CA36" i="30"/>
  <c r="CB35" i="30"/>
  <c r="CA35" i="30"/>
  <c r="DB35" i="30" s="1"/>
  <c r="CB34" i="30"/>
  <c r="CA34" i="30"/>
  <c r="CB33" i="30"/>
  <c r="CA33" i="30"/>
  <c r="CB32" i="30"/>
  <c r="CA32" i="30"/>
  <c r="DA32" i="30" s="1"/>
  <c r="CB31" i="30"/>
  <c r="CA31" i="30"/>
  <c r="DA30" i="30"/>
  <c r="CB30" i="30"/>
  <c r="CA30" i="30"/>
  <c r="DA29" i="30"/>
  <c r="CB29" i="30"/>
  <c r="CA29" i="30"/>
  <c r="DA28" i="30"/>
  <c r="CB28" i="30"/>
  <c r="CA28" i="30"/>
  <c r="CB27" i="30"/>
  <c r="CA27" i="30"/>
  <c r="CB26" i="30"/>
  <c r="CA26" i="30"/>
  <c r="CB25" i="30"/>
  <c r="CA25" i="30"/>
  <c r="CB24" i="30"/>
  <c r="CA24" i="30"/>
  <c r="DB24" i="30" s="1"/>
  <c r="DA23" i="30"/>
  <c r="CB23" i="30"/>
  <c r="CA23" i="30"/>
  <c r="CB22" i="30"/>
  <c r="CA22" i="30"/>
  <c r="CB21" i="30"/>
  <c r="CA21" i="30"/>
  <c r="CB20" i="30"/>
  <c r="CA20" i="30"/>
  <c r="CB19" i="30"/>
  <c r="DA19" i="30" s="1"/>
  <c r="CA19" i="30"/>
  <c r="DA18" i="30"/>
  <c r="DB18" i="30"/>
  <c r="CB18" i="30"/>
  <c r="CA18" i="30"/>
  <c r="BX18" i="30"/>
  <c r="DA17" i="30"/>
  <c r="CB17" i="30"/>
  <c r="CA17" i="30"/>
  <c r="DB17" i="30" s="1"/>
  <c r="BW17" i="30"/>
  <c r="BX17" i="30" s="1"/>
  <c r="CB16" i="30"/>
  <c r="CA16" i="30"/>
  <c r="DA16" i="30" s="1"/>
  <c r="CB15" i="30"/>
  <c r="DA15" i="30" s="1"/>
  <c r="CA15" i="30"/>
  <c r="DB15" i="30" s="1"/>
  <c r="CB14" i="30"/>
  <c r="DA14" i="30" s="1"/>
  <c r="CA14" i="30"/>
  <c r="CB13" i="30"/>
  <c r="CA13" i="30"/>
  <c r="CB12" i="30"/>
  <c r="CA12" i="30"/>
  <c r="CB11" i="30"/>
  <c r="CA11" i="30"/>
  <c r="DA10" i="30"/>
  <c r="CB10" i="30"/>
  <c r="CA10" i="30"/>
  <c r="DB9" i="30"/>
  <c r="CB9" i="30"/>
  <c r="DA9" i="30" s="1"/>
  <c r="CA9" i="30"/>
  <c r="BX9" i="30"/>
  <c r="DA8" i="30"/>
  <c r="DB8" i="30"/>
  <c r="CB8" i="30"/>
  <c r="CA8" i="30"/>
  <c r="CB38" i="31"/>
  <c r="CA38" i="31"/>
  <c r="CB37" i="31"/>
  <c r="CA37" i="31"/>
  <c r="DA37" i="31" s="1"/>
  <c r="DA36" i="31"/>
  <c r="CB36" i="31"/>
  <c r="CA36" i="31"/>
  <c r="DA35" i="31"/>
  <c r="DB35" i="31"/>
  <c r="CB35" i="31"/>
  <c r="CA35" i="31"/>
  <c r="DA34" i="31"/>
  <c r="DB34" i="31"/>
  <c r="CB34" i="31"/>
  <c r="CA34" i="31"/>
  <c r="DA33" i="31"/>
  <c r="CB33" i="31"/>
  <c r="CA33" i="31"/>
  <c r="CB32" i="31"/>
  <c r="CA32" i="31"/>
  <c r="CB31" i="31"/>
  <c r="CA31" i="31"/>
  <c r="CB30" i="31"/>
  <c r="CA30" i="31"/>
  <c r="DA30" i="31" s="1"/>
  <c r="DA29" i="31"/>
  <c r="CB29" i="31"/>
  <c r="CA29" i="31"/>
  <c r="DA28" i="31"/>
  <c r="DB28" i="31"/>
  <c r="CB28" i="31"/>
  <c r="CA28" i="31"/>
  <c r="CB27" i="31"/>
  <c r="CA27" i="31"/>
  <c r="CB26" i="31"/>
  <c r="CA26" i="31"/>
  <c r="CB25" i="31"/>
  <c r="CA25" i="31"/>
  <c r="DA25" i="31" s="1"/>
  <c r="CB24" i="31"/>
  <c r="CA24" i="31"/>
  <c r="DA23" i="31"/>
  <c r="DB23" i="31"/>
  <c r="CB23" i="31"/>
  <c r="CA23" i="31"/>
  <c r="DA22" i="31"/>
  <c r="DB22" i="31"/>
  <c r="CB22" i="31"/>
  <c r="CA22" i="31"/>
  <c r="CB21" i="31"/>
  <c r="CA21" i="31"/>
  <c r="CB20" i="31"/>
  <c r="CA20" i="31"/>
  <c r="CB19" i="31"/>
  <c r="CA19" i="31"/>
  <c r="CB18" i="31"/>
  <c r="CA18" i="31"/>
  <c r="BX18" i="31"/>
  <c r="CB17" i="31"/>
  <c r="CA17" i="31"/>
  <c r="BW17" i="31"/>
  <c r="BX17" i="31" s="1"/>
  <c r="CB16" i="31"/>
  <c r="CA16" i="31"/>
  <c r="CB15" i="31"/>
  <c r="CA15" i="31"/>
  <c r="DB14" i="31"/>
  <c r="DA14" i="31"/>
  <c r="CB14" i="31"/>
  <c r="CA14" i="31"/>
  <c r="CB13" i="31"/>
  <c r="CA13" i="31"/>
  <c r="CB12" i="31"/>
  <c r="CA12" i="31"/>
  <c r="DA11" i="31"/>
  <c r="CB11" i="31"/>
  <c r="CA11" i="31"/>
  <c r="CB10" i="31"/>
  <c r="CA10" i="31"/>
  <c r="CB9" i="31"/>
  <c r="CA9" i="31"/>
  <c r="DA9" i="31" s="1"/>
  <c r="BX9" i="31"/>
  <c r="DA8" i="31"/>
  <c r="CB8" i="31"/>
  <c r="CA8" i="31"/>
  <c r="CB38" i="32"/>
  <c r="CA38" i="32"/>
  <c r="CB37" i="32"/>
  <c r="CA37" i="32"/>
  <c r="DA36" i="32"/>
  <c r="CB36" i="32"/>
  <c r="CA36" i="32"/>
  <c r="CB35" i="32"/>
  <c r="CA35" i="32"/>
  <c r="DA34" i="32"/>
  <c r="CB34" i="32"/>
  <c r="CA34" i="32"/>
  <c r="CB33" i="32"/>
  <c r="CA33" i="32"/>
  <c r="DA33" i="32" s="1"/>
  <c r="CB32" i="32"/>
  <c r="CA32" i="32"/>
  <c r="DA31" i="32"/>
  <c r="CB31" i="32"/>
  <c r="CA31" i="32"/>
  <c r="CB30" i="32"/>
  <c r="DA30" i="32" s="1"/>
  <c r="CA30" i="32"/>
  <c r="CB29" i="32"/>
  <c r="CA29" i="32"/>
  <c r="CB28" i="32"/>
  <c r="CA28" i="32"/>
  <c r="CB27" i="32"/>
  <c r="CA27" i="32"/>
  <c r="CB26" i="32"/>
  <c r="CA26" i="32"/>
  <c r="DA26" i="32" s="1"/>
  <c r="DA25" i="32"/>
  <c r="DB25" i="32"/>
  <c r="CB25" i="32"/>
  <c r="CA25" i="32"/>
  <c r="CB24" i="32"/>
  <c r="CA24" i="32"/>
  <c r="DA23" i="32"/>
  <c r="CB23" i="32"/>
  <c r="CA23" i="32"/>
  <c r="DA22" i="32"/>
  <c r="CB22" i="32"/>
  <c r="CA22" i="32"/>
  <c r="CB21" i="32"/>
  <c r="CA21" i="32"/>
  <c r="DA21" i="32" s="1"/>
  <c r="CB20" i="32"/>
  <c r="CA20" i="32"/>
  <c r="DA19" i="32"/>
  <c r="CB19" i="32"/>
  <c r="CA19" i="32"/>
  <c r="CB18" i="32"/>
  <c r="DA18" i="32" s="1"/>
  <c r="CA18" i="32"/>
  <c r="BX18" i="32"/>
  <c r="CB17" i="32"/>
  <c r="CA17" i="32"/>
  <c r="BW17" i="32"/>
  <c r="BX17" i="32" s="1"/>
  <c r="DA16" i="32"/>
  <c r="DB16" i="32"/>
  <c r="CB16" i="32"/>
  <c r="CA16" i="32"/>
  <c r="CB15" i="32"/>
  <c r="CA15" i="32"/>
  <c r="DA14" i="32"/>
  <c r="CB14" i="32"/>
  <c r="CA14" i="32"/>
  <c r="DA13" i="32"/>
  <c r="CB13" i="32"/>
  <c r="CA13" i="32"/>
  <c r="CB12" i="32"/>
  <c r="CA12" i="32"/>
  <c r="CB11" i="32"/>
  <c r="CA11" i="32"/>
  <c r="DA10" i="32"/>
  <c r="CB10" i="32"/>
  <c r="CA10" i="32"/>
  <c r="CB9" i="32"/>
  <c r="CA9" i="32"/>
  <c r="BX9" i="32"/>
  <c r="CB8" i="32"/>
  <c r="CA8" i="32"/>
  <c r="DA38" i="33"/>
  <c r="CB38" i="33"/>
  <c r="CA38" i="33"/>
  <c r="CB37" i="33"/>
  <c r="CA37" i="33"/>
  <c r="CB36" i="33"/>
  <c r="CA36" i="33"/>
  <c r="DB36" i="33" s="1"/>
  <c r="CB35" i="33"/>
  <c r="CA35" i="33"/>
  <c r="DA35" i="33" s="1"/>
  <c r="DB34" i="33"/>
  <c r="CB34" i="33"/>
  <c r="CA34" i="33"/>
  <c r="CB33" i="33"/>
  <c r="CA33" i="33"/>
  <c r="CB32" i="33"/>
  <c r="CA32" i="33"/>
  <c r="CB31" i="33"/>
  <c r="CA31" i="33"/>
  <c r="DB30" i="33"/>
  <c r="CB30" i="33"/>
  <c r="CA30" i="33"/>
  <c r="DA30" i="33" s="1"/>
  <c r="DA29" i="33"/>
  <c r="DB29" i="33"/>
  <c r="CB29" i="33"/>
  <c r="CA29" i="33"/>
  <c r="DB28" i="33"/>
  <c r="CB28" i="33"/>
  <c r="CA28" i="33"/>
  <c r="CB27" i="33"/>
  <c r="CA27" i="33"/>
  <c r="DA26" i="33"/>
  <c r="CB26" i="33"/>
  <c r="CA26" i="33"/>
  <c r="DA25" i="33"/>
  <c r="CB25" i="33"/>
  <c r="CA25" i="33"/>
  <c r="CB24" i="33"/>
  <c r="CA24" i="33"/>
  <c r="DA24" i="33" s="1"/>
  <c r="DA23" i="33"/>
  <c r="CB23" i="33"/>
  <c r="CA23" i="33"/>
  <c r="DB23" i="33" s="1"/>
  <c r="DA22" i="33"/>
  <c r="DB22" i="33"/>
  <c r="CB22" i="33"/>
  <c r="CA22" i="33"/>
  <c r="CB21" i="33"/>
  <c r="CA21" i="33"/>
  <c r="CB20" i="33"/>
  <c r="CA20" i="33"/>
  <c r="DB19" i="33"/>
  <c r="CB19" i="33"/>
  <c r="CA19" i="33"/>
  <c r="CB18" i="33"/>
  <c r="CA18" i="33"/>
  <c r="BX18" i="33"/>
  <c r="DB17" i="33"/>
  <c r="CB17" i="33"/>
  <c r="CA17" i="33"/>
  <c r="BW17" i="33"/>
  <c r="BX17" i="33" s="1"/>
  <c r="CB16" i="33"/>
  <c r="CA16" i="33"/>
  <c r="CB15" i="33"/>
  <c r="CA15" i="33"/>
  <c r="CB14" i="33"/>
  <c r="CA14" i="33"/>
  <c r="DA14" i="33" s="1"/>
  <c r="DA13" i="33"/>
  <c r="CB13" i="33"/>
  <c r="CA13" i="33"/>
  <c r="DA12" i="33"/>
  <c r="CB12" i="33"/>
  <c r="CA12" i="33"/>
  <c r="CB11" i="33"/>
  <c r="CA11" i="33"/>
  <c r="CB10" i="33"/>
  <c r="CA10" i="33"/>
  <c r="CB9" i="33"/>
  <c r="CA9" i="33"/>
  <c r="DA9" i="33" s="1"/>
  <c r="BX9" i="33"/>
  <c r="DB8" i="33"/>
  <c r="CB8" i="33"/>
  <c r="CA8" i="33"/>
  <c r="DA38" i="34"/>
  <c r="CB38" i="34"/>
  <c r="CA38" i="34"/>
  <c r="DA37" i="34"/>
  <c r="CB37" i="34"/>
  <c r="CA37" i="34"/>
  <c r="CB36" i="34"/>
  <c r="CA36" i="34"/>
  <c r="CB35" i="34"/>
  <c r="CA35" i="34"/>
  <c r="CB34" i="34"/>
  <c r="CA34" i="34"/>
  <c r="CB33" i="34"/>
  <c r="CA33" i="34"/>
  <c r="DA33" i="34" s="1"/>
  <c r="CB32" i="34"/>
  <c r="CA32" i="34"/>
  <c r="DB32" i="34" s="1"/>
  <c r="DB31" i="34"/>
  <c r="CB31" i="34"/>
  <c r="CA31" i="34"/>
  <c r="CB30" i="34"/>
  <c r="CA30" i="34"/>
  <c r="CB29" i="34"/>
  <c r="CA29" i="34"/>
  <c r="CB28" i="34"/>
  <c r="CA28" i="34"/>
  <c r="CB27" i="34"/>
  <c r="CA27" i="34"/>
  <c r="DA27" i="34" s="1"/>
  <c r="DA26" i="34"/>
  <c r="CB26" i="34"/>
  <c r="CA26" i="34"/>
  <c r="DA25" i="34"/>
  <c r="DB25" i="34"/>
  <c r="CB25" i="34"/>
  <c r="CA25" i="34"/>
  <c r="CB24" i="34"/>
  <c r="CA24" i="34"/>
  <c r="CB23" i="34"/>
  <c r="CA23" i="34"/>
  <c r="CB22" i="34"/>
  <c r="CA22" i="34"/>
  <c r="CB21" i="34"/>
  <c r="CA21" i="34"/>
  <c r="DA21" i="34" s="1"/>
  <c r="CB20" i="34"/>
  <c r="CA20" i="34"/>
  <c r="DB20" i="34" s="1"/>
  <c r="DA19" i="34"/>
  <c r="DB19" i="34"/>
  <c r="CB19" i="34"/>
  <c r="CA19" i="34"/>
  <c r="CB18" i="34"/>
  <c r="CA18" i="34"/>
  <c r="BX18" i="34"/>
  <c r="CB17" i="34"/>
  <c r="CA17" i="34"/>
  <c r="BW17" i="34"/>
  <c r="BX17" i="34" s="1"/>
  <c r="DA16" i="34"/>
  <c r="DB16" i="34"/>
  <c r="CB16" i="34"/>
  <c r="CA16" i="34"/>
  <c r="DA15" i="34"/>
  <c r="CB15" i="34"/>
  <c r="CA15" i="34"/>
  <c r="CB14" i="34"/>
  <c r="CA14" i="34"/>
  <c r="DA14" i="34" s="1"/>
  <c r="CB13" i="34"/>
  <c r="CA13" i="34"/>
  <c r="CB12" i="34"/>
  <c r="CA12" i="34"/>
  <c r="CB11" i="34"/>
  <c r="CA11" i="34"/>
  <c r="DB10" i="34"/>
  <c r="CB10" i="34"/>
  <c r="CA10" i="34"/>
  <c r="CB9" i="34"/>
  <c r="CA9" i="34"/>
  <c r="BX9" i="34"/>
  <c r="CB8" i="34"/>
  <c r="CA8" i="34"/>
  <c r="DA38" i="35"/>
  <c r="CB38" i="35"/>
  <c r="CA38" i="35"/>
  <c r="CB37" i="35"/>
  <c r="CA37" i="35"/>
  <c r="DA37" i="35" s="1"/>
  <c r="CB36" i="35"/>
  <c r="CA36" i="35"/>
  <c r="CB35" i="35"/>
  <c r="CA35" i="35"/>
  <c r="DB34" i="35"/>
  <c r="CB34" i="35"/>
  <c r="CA34" i="35"/>
  <c r="DA34" i="35" s="1"/>
  <c r="CB33" i="35"/>
  <c r="CA33" i="35"/>
  <c r="DA32" i="35"/>
  <c r="CB32" i="35"/>
  <c r="CA32" i="35"/>
  <c r="CB31" i="35"/>
  <c r="CA31" i="35"/>
  <c r="CB30" i="35"/>
  <c r="CA30" i="35"/>
  <c r="DA29" i="35"/>
  <c r="CB29" i="35"/>
  <c r="CA29" i="35"/>
  <c r="DA28" i="35"/>
  <c r="CB28" i="35"/>
  <c r="CA28" i="35"/>
  <c r="DA27" i="35"/>
  <c r="CB27" i="35"/>
  <c r="CA27" i="35"/>
  <c r="CB26" i="35"/>
  <c r="CA26" i="35"/>
  <c r="CB25" i="35"/>
  <c r="CA25" i="35"/>
  <c r="CB24" i="35"/>
  <c r="CA24" i="35"/>
  <c r="DB23" i="35"/>
  <c r="CB23" i="35"/>
  <c r="CA23" i="35"/>
  <c r="DB22" i="35"/>
  <c r="CB22" i="35"/>
  <c r="CA22" i="35"/>
  <c r="CB21" i="35"/>
  <c r="CA21" i="35"/>
  <c r="CB20" i="35"/>
  <c r="CA20" i="35"/>
  <c r="CB19" i="35"/>
  <c r="CA19" i="35"/>
  <c r="CB18" i="35"/>
  <c r="CA18" i="35"/>
  <c r="DA18" i="35" s="1"/>
  <c r="BX18" i="35"/>
  <c r="CB17" i="35"/>
  <c r="CA17" i="35"/>
  <c r="BW17" i="35"/>
  <c r="BX17" i="35" s="1"/>
  <c r="CB16" i="35"/>
  <c r="CA16" i="35"/>
  <c r="DB15" i="35"/>
  <c r="CB15" i="35"/>
  <c r="CA15" i="35"/>
  <c r="DB14" i="35"/>
  <c r="CB14" i="35"/>
  <c r="CA14" i="35"/>
  <c r="DB13" i="35"/>
  <c r="CB13" i="35"/>
  <c r="CA13" i="35"/>
  <c r="CB12" i="35"/>
  <c r="CA12" i="35"/>
  <c r="CB11" i="35"/>
  <c r="CA11" i="35"/>
  <c r="CB10" i="35"/>
  <c r="CA10" i="35"/>
  <c r="CB9" i="35"/>
  <c r="CA9" i="35"/>
  <c r="DA9" i="35" s="1"/>
  <c r="BX9" i="35"/>
  <c r="CB8" i="35"/>
  <c r="CA8" i="35"/>
  <c r="DB38" i="36"/>
  <c r="CB38" i="36"/>
  <c r="CA38" i="36"/>
  <c r="DA37" i="36"/>
  <c r="DB37" i="36"/>
  <c r="CB37" i="36"/>
  <c r="CA37" i="36"/>
  <c r="CB36" i="36"/>
  <c r="CA36" i="36"/>
  <c r="CB35" i="36"/>
  <c r="CA35" i="36"/>
  <c r="CB34" i="36"/>
  <c r="CA34" i="36"/>
  <c r="DA34" i="36" s="1"/>
  <c r="DA33" i="36"/>
  <c r="CB33" i="36"/>
  <c r="CA33" i="36"/>
  <c r="DB32" i="36"/>
  <c r="DA32" i="36"/>
  <c r="CB32" i="36"/>
  <c r="CA32" i="36"/>
  <c r="DA31" i="36"/>
  <c r="DB31" i="36"/>
  <c r="CB31" i="36"/>
  <c r="CA31" i="36"/>
  <c r="DA30" i="36"/>
  <c r="DB30" i="36"/>
  <c r="CB30" i="36"/>
  <c r="CA30" i="36"/>
  <c r="DA29" i="36"/>
  <c r="CB29" i="36"/>
  <c r="CA29" i="36"/>
  <c r="CB28" i="36"/>
  <c r="CA28" i="36"/>
  <c r="CB27" i="36"/>
  <c r="CA27" i="36"/>
  <c r="CB26" i="36"/>
  <c r="CA26" i="36"/>
  <c r="CB25" i="36"/>
  <c r="CA25" i="36"/>
  <c r="CB24" i="36"/>
  <c r="CA24" i="36"/>
  <c r="CB23" i="36"/>
  <c r="CA23" i="36"/>
  <c r="CB22" i="36"/>
  <c r="CA22" i="36"/>
  <c r="CB21" i="36"/>
  <c r="CA21" i="36"/>
  <c r="CB20" i="36"/>
  <c r="CA20" i="36"/>
  <c r="CB19" i="36"/>
  <c r="CA19" i="36"/>
  <c r="CB18" i="36"/>
  <c r="CA18" i="36"/>
  <c r="BX18" i="36"/>
  <c r="CB17" i="36"/>
  <c r="CA17" i="36"/>
  <c r="BW17" i="36"/>
  <c r="BX17" i="36" s="1"/>
  <c r="CB16" i="36"/>
  <c r="CA16" i="36"/>
  <c r="CB15" i="36"/>
  <c r="CA15" i="36"/>
  <c r="CB14" i="36"/>
  <c r="CA14" i="36"/>
  <c r="CB13" i="36"/>
  <c r="CA13" i="36"/>
  <c r="CB12" i="36"/>
  <c r="CA12" i="36"/>
  <c r="CB11" i="36"/>
  <c r="CA11" i="36"/>
  <c r="CB10" i="36"/>
  <c r="CA10" i="36"/>
  <c r="DA9" i="36"/>
  <c r="CB9" i="36"/>
  <c r="CA9" i="36"/>
  <c r="BX9" i="36"/>
  <c r="DA8" i="36"/>
  <c r="CB8" i="36"/>
  <c r="CA8" i="36"/>
  <c r="CB38" i="37"/>
  <c r="CA38" i="37"/>
  <c r="DA37" i="37"/>
  <c r="CB37" i="37"/>
  <c r="CA37" i="37"/>
  <c r="CB36" i="37"/>
  <c r="DA36" i="37" s="1"/>
  <c r="CA36" i="37"/>
  <c r="CB35" i="37"/>
  <c r="CA35" i="37"/>
  <c r="DA34" i="37"/>
  <c r="CB34" i="37"/>
  <c r="CA34" i="37"/>
  <c r="CB33" i="37"/>
  <c r="CA33" i="37"/>
  <c r="CB32" i="37"/>
  <c r="CA32" i="37"/>
  <c r="DA31" i="37"/>
  <c r="CB31" i="37"/>
  <c r="CA31" i="37"/>
  <c r="DB31" i="37" s="1"/>
  <c r="CB30" i="37"/>
  <c r="DA30" i="37" s="1"/>
  <c r="CA30" i="37"/>
  <c r="CB29" i="37"/>
  <c r="CA29" i="37"/>
  <c r="DA28" i="37"/>
  <c r="DB28" i="37"/>
  <c r="CB28" i="37"/>
  <c r="CA28" i="37"/>
  <c r="CB27" i="37"/>
  <c r="DA27" i="37" s="1"/>
  <c r="CA27" i="37"/>
  <c r="CB26" i="37"/>
  <c r="CA26" i="37"/>
  <c r="DA25" i="37"/>
  <c r="CB25" i="37"/>
  <c r="CA25" i="37"/>
  <c r="DB25" i="37" s="1"/>
  <c r="DA24" i="37"/>
  <c r="CB24" i="37"/>
  <c r="CA24" i="37"/>
  <c r="CB23" i="37"/>
  <c r="CA23" i="37"/>
  <c r="DA22" i="37"/>
  <c r="CB22" i="37"/>
  <c r="CA22" i="37"/>
  <c r="CB21" i="37"/>
  <c r="CA21" i="37"/>
  <c r="CB20" i="37"/>
  <c r="CA20" i="37"/>
  <c r="DA19" i="37"/>
  <c r="DB19" i="37"/>
  <c r="CB19" i="37"/>
  <c r="CA19" i="37"/>
  <c r="DB18" i="37"/>
  <c r="CB18" i="37"/>
  <c r="DA18" i="37" s="1"/>
  <c r="CA18" i="37"/>
  <c r="BX18" i="37"/>
  <c r="DA17" i="37"/>
  <c r="CB17" i="37"/>
  <c r="CA17" i="37"/>
  <c r="BW17" i="37"/>
  <c r="BX17" i="37" s="1"/>
  <c r="DA16" i="37"/>
  <c r="CB16" i="37"/>
  <c r="CA16" i="37"/>
  <c r="DA15" i="37"/>
  <c r="CB15" i="37"/>
  <c r="CA15" i="37"/>
  <c r="DA14" i="37"/>
  <c r="CB14" i="37"/>
  <c r="CA14" i="37"/>
  <c r="CB13" i="37"/>
  <c r="CA13" i="37"/>
  <c r="DA13" i="37" s="1"/>
  <c r="CB12" i="37"/>
  <c r="CA12" i="37"/>
  <c r="CB11" i="37"/>
  <c r="CA11" i="37"/>
  <c r="CB10" i="37"/>
  <c r="CA10" i="37"/>
  <c r="DA10" i="37" s="1"/>
  <c r="DB9" i="37"/>
  <c r="CB9" i="37"/>
  <c r="DA9" i="37" s="1"/>
  <c r="CA9" i="37"/>
  <c r="BX9" i="37"/>
  <c r="CB8" i="37"/>
  <c r="DA8" i="37" s="1"/>
  <c r="CA8" i="37"/>
  <c r="DA38" i="38"/>
  <c r="CB38" i="38"/>
  <c r="CA38" i="38"/>
  <c r="CB37" i="38"/>
  <c r="DA37" i="38" s="1"/>
  <c r="CA37" i="38"/>
  <c r="CB36" i="38"/>
  <c r="CA36" i="38"/>
  <c r="DA35" i="38"/>
  <c r="CB35" i="38"/>
  <c r="CA35" i="38"/>
  <c r="CB34" i="38"/>
  <c r="CA34" i="38"/>
  <c r="CB33" i="38"/>
  <c r="CA33" i="38"/>
  <c r="DA32" i="38"/>
  <c r="DB32" i="38"/>
  <c r="CB32" i="38"/>
  <c r="CA32" i="38"/>
  <c r="CB31" i="38"/>
  <c r="CA31" i="38"/>
  <c r="CB30" i="38"/>
  <c r="CA30" i="38"/>
  <c r="CB29" i="38"/>
  <c r="CA29" i="38"/>
  <c r="CB28" i="38"/>
  <c r="CA28" i="38"/>
  <c r="DA28" i="38" s="1"/>
  <c r="DB27" i="38"/>
  <c r="CB27" i="38"/>
  <c r="CA27" i="38"/>
  <c r="DA27" i="38" s="1"/>
  <c r="DA26" i="38"/>
  <c r="CB26" i="38"/>
  <c r="CA26" i="38"/>
  <c r="CB25" i="38"/>
  <c r="DA25" i="38" s="1"/>
  <c r="CA25" i="38"/>
  <c r="CB24" i="38"/>
  <c r="CA24" i="38"/>
  <c r="DA23" i="38"/>
  <c r="CB23" i="38"/>
  <c r="CA23" i="38"/>
  <c r="CB22" i="38"/>
  <c r="CA22" i="38"/>
  <c r="CB21" i="38"/>
  <c r="CA21" i="38"/>
  <c r="DA20" i="38"/>
  <c r="DB20" i="38"/>
  <c r="CB20" i="38"/>
  <c r="CA20" i="38"/>
  <c r="CB19" i="38"/>
  <c r="CA19" i="38"/>
  <c r="CB18" i="38"/>
  <c r="CA18" i="38"/>
  <c r="BX18" i="38"/>
  <c r="CB17" i="38"/>
  <c r="CA17" i="38"/>
  <c r="BW17" i="38"/>
  <c r="BX17" i="38" s="1"/>
  <c r="CB16" i="38"/>
  <c r="CA16" i="38"/>
  <c r="CB15" i="38"/>
  <c r="CA15" i="38"/>
  <c r="DA14" i="38"/>
  <c r="CB14" i="38"/>
  <c r="CA14" i="38"/>
  <c r="CB13" i="38"/>
  <c r="CA13" i="38"/>
  <c r="CB12" i="38"/>
  <c r="CA12" i="38"/>
  <c r="DA11" i="38"/>
  <c r="DB11" i="38"/>
  <c r="CB11" i="38"/>
  <c r="CA11" i="38"/>
  <c r="CB10" i="38"/>
  <c r="CA10" i="38"/>
  <c r="CB9" i="38"/>
  <c r="CA9" i="38"/>
  <c r="BX9" i="38"/>
  <c r="CB8" i="38"/>
  <c r="CA8" i="38"/>
  <c r="CB38" i="28"/>
  <c r="CA38" i="28"/>
  <c r="CB37" i="28"/>
  <c r="CA37" i="28"/>
  <c r="DA36" i="28"/>
  <c r="DB36" i="28"/>
  <c r="CB36" i="28"/>
  <c r="CA36" i="28"/>
  <c r="CB35" i="28"/>
  <c r="CA35" i="28"/>
  <c r="CB34" i="28"/>
  <c r="CA34" i="28"/>
  <c r="CB33" i="28"/>
  <c r="CA33" i="28"/>
  <c r="CB32" i="28"/>
  <c r="CA32" i="28"/>
  <c r="CB31" i="28"/>
  <c r="CA31" i="28"/>
  <c r="DA31" i="28" s="1"/>
  <c r="DA30" i="28"/>
  <c r="DB30" i="28"/>
  <c r="CB30" i="28"/>
  <c r="CA30" i="28"/>
  <c r="DB29" i="28"/>
  <c r="CB29" i="28"/>
  <c r="CA29" i="28"/>
  <c r="CB28" i="28"/>
  <c r="CA28" i="28"/>
  <c r="CB27" i="28"/>
  <c r="CA27" i="28"/>
  <c r="CB26" i="28"/>
  <c r="CA26" i="28"/>
  <c r="CB25" i="28"/>
  <c r="CA25" i="28"/>
  <c r="DA25" i="28" s="1"/>
  <c r="CB24" i="28"/>
  <c r="CA24" i="28"/>
  <c r="DA23" i="28"/>
  <c r="DB23" i="28"/>
  <c r="CB23" i="28"/>
  <c r="CA23" i="28"/>
  <c r="CB22" i="28"/>
  <c r="CA22" i="28"/>
  <c r="CB21" i="28"/>
  <c r="CA21" i="28"/>
  <c r="DA20" i="28"/>
  <c r="CB20" i="28"/>
  <c r="CA20" i="28"/>
  <c r="CB19" i="28"/>
  <c r="CA19" i="28"/>
  <c r="CB18" i="28"/>
  <c r="CA18" i="28"/>
  <c r="BX18" i="28"/>
  <c r="CB17" i="28"/>
  <c r="CA17" i="28"/>
  <c r="BW17" i="28"/>
  <c r="BX17" i="28" s="1"/>
  <c r="CB16" i="28"/>
  <c r="CA16" i="28"/>
  <c r="DA16" i="28" s="1"/>
  <c r="CB15" i="28"/>
  <c r="CA15" i="28"/>
  <c r="DA14" i="28"/>
  <c r="CB14" i="28"/>
  <c r="CA14" i="28"/>
  <c r="CB13" i="28"/>
  <c r="CA13" i="28"/>
  <c r="CB12" i="28"/>
  <c r="CA12" i="28"/>
  <c r="DA11" i="28"/>
  <c r="CB11" i="28"/>
  <c r="CA11" i="28"/>
  <c r="CB10" i="28"/>
  <c r="CA10" i="28"/>
  <c r="CB9" i="28"/>
  <c r="CA9" i="28"/>
  <c r="BX9" i="28"/>
  <c r="CB8" i="28"/>
  <c r="CA8" i="28"/>
  <c r="DA23" i="36" l="1"/>
  <c r="DB23" i="36"/>
  <c r="DB9" i="28"/>
  <c r="DB25" i="28"/>
  <c r="DB22" i="28"/>
  <c r="DB16" i="28"/>
  <c r="DB26" i="28"/>
  <c r="DB31" i="28"/>
  <c r="DB30" i="38"/>
  <c r="DB11" i="28"/>
  <c r="DB32" i="28"/>
  <c r="DB13" i="28"/>
  <c r="DB18" i="28"/>
  <c r="DB20" i="28"/>
  <c r="DB26" i="37"/>
  <c r="DA12" i="28"/>
  <c r="DA21" i="28"/>
  <c r="DA18" i="38"/>
  <c r="DB26" i="38"/>
  <c r="DB12" i="37"/>
  <c r="DB9" i="36"/>
  <c r="DA10" i="28"/>
  <c r="DA19" i="28"/>
  <c r="DA32" i="28"/>
  <c r="DB16" i="38"/>
  <c r="DA8" i="28"/>
  <c r="DA15" i="28"/>
  <c r="DA17" i="28"/>
  <c r="DA24" i="28"/>
  <c r="DA29" i="28"/>
  <c r="DB13" i="38"/>
  <c r="DA16" i="38"/>
  <c r="DB38" i="38"/>
  <c r="DA37" i="28"/>
  <c r="DA13" i="28"/>
  <c r="DA22" i="28"/>
  <c r="DA24" i="38"/>
  <c r="DB8" i="37"/>
  <c r="DA26" i="37"/>
  <c r="DB16" i="37"/>
  <c r="DA34" i="28"/>
  <c r="DB10" i="37"/>
  <c r="DB11" i="35"/>
  <c r="DA28" i="28"/>
  <c r="DA8" i="38"/>
  <c r="DB25" i="38"/>
  <c r="DA38" i="28"/>
  <c r="DA17" i="38"/>
  <c r="DA36" i="38"/>
  <c r="DA9" i="28"/>
  <c r="DA18" i="28"/>
  <c r="DB28" i="38"/>
  <c r="DA27" i="28"/>
  <c r="DA9" i="38"/>
  <c r="DB37" i="38"/>
  <c r="DA26" i="28"/>
  <c r="DA15" i="38"/>
  <c r="DB22" i="38"/>
  <c r="DB29" i="38"/>
  <c r="DA12" i="38"/>
  <c r="DA21" i="38"/>
  <c r="DA33" i="38"/>
  <c r="DA23" i="37"/>
  <c r="DB24" i="36"/>
  <c r="DB17" i="35"/>
  <c r="DB29" i="35"/>
  <c r="DA35" i="28"/>
  <c r="DA10" i="38"/>
  <c r="DA19" i="38"/>
  <c r="DA31" i="38"/>
  <c r="DB30" i="37"/>
  <c r="DA32" i="37"/>
  <c r="DA35" i="37"/>
  <c r="DB33" i="34"/>
  <c r="DA33" i="28"/>
  <c r="DA29" i="38"/>
  <c r="DA21" i="37"/>
  <c r="DB35" i="35"/>
  <c r="DA13" i="38"/>
  <c r="DA22" i="38"/>
  <c r="DA34" i="38"/>
  <c r="DB36" i="37"/>
  <c r="DB8" i="36"/>
  <c r="DA10" i="36"/>
  <c r="DB34" i="36"/>
  <c r="DA20" i="37"/>
  <c r="DB8" i="35"/>
  <c r="DB36" i="35"/>
  <c r="DB33" i="37"/>
  <c r="DA11" i="37"/>
  <c r="DB24" i="37"/>
  <c r="DB27" i="37"/>
  <c r="DB36" i="36"/>
  <c r="DA30" i="38"/>
  <c r="DA12" i="37"/>
  <c r="DB15" i="37"/>
  <c r="DB17" i="37"/>
  <c r="DB37" i="37"/>
  <c r="DB20" i="35"/>
  <c r="DB32" i="35"/>
  <c r="DB24" i="35"/>
  <c r="DA29" i="37"/>
  <c r="DB34" i="37"/>
  <c r="DB9" i="35"/>
  <c r="DA24" i="36"/>
  <c r="DA16" i="35"/>
  <c r="DA20" i="35"/>
  <c r="DA13" i="35"/>
  <c r="DA19" i="35"/>
  <c r="DA33" i="35"/>
  <c r="DA23" i="34"/>
  <c r="DA33" i="37"/>
  <c r="DA38" i="36"/>
  <c r="DA11" i="35"/>
  <c r="DB28" i="35"/>
  <c r="DB30" i="35"/>
  <c r="DA38" i="37"/>
  <c r="DA36" i="36"/>
  <c r="DA26" i="35"/>
  <c r="DA30" i="35"/>
  <c r="DB12" i="34"/>
  <c r="DB16" i="33"/>
  <c r="DA10" i="35"/>
  <c r="DB33" i="36"/>
  <c r="DA35" i="36"/>
  <c r="DA21" i="35"/>
  <c r="DB18" i="35"/>
  <c r="DA25" i="35"/>
  <c r="DB18" i="34"/>
  <c r="DB21" i="34"/>
  <c r="DA12" i="35"/>
  <c r="DA22" i="35"/>
  <c r="DA14" i="35"/>
  <c r="DA23" i="35"/>
  <c r="DA35" i="35"/>
  <c r="DA31" i="34"/>
  <c r="DB12" i="33"/>
  <c r="DB18" i="33"/>
  <c r="DA32" i="33"/>
  <c r="DA10" i="34"/>
  <c r="DA13" i="34"/>
  <c r="DA29" i="34"/>
  <c r="DB37" i="34"/>
  <c r="DB13" i="32"/>
  <c r="DB27" i="34"/>
  <c r="DB13" i="33"/>
  <c r="DB12" i="30"/>
  <c r="DA31" i="35"/>
  <c r="DA8" i="35"/>
  <c r="DA15" i="35"/>
  <c r="DA17" i="35"/>
  <c r="DA24" i="35"/>
  <c r="DB31" i="35"/>
  <c r="DA36" i="35"/>
  <c r="DA8" i="34"/>
  <c r="DA11" i="34"/>
  <c r="DA12" i="34"/>
  <c r="DA34" i="34"/>
  <c r="DB38" i="34"/>
  <c r="DA22" i="34"/>
  <c r="DA10" i="33"/>
  <c r="DB24" i="33"/>
  <c r="DA24" i="34"/>
  <c r="DA35" i="34"/>
  <c r="DB14" i="33"/>
  <c r="DB31" i="33"/>
  <c r="DA17" i="34"/>
  <c r="DB26" i="34"/>
  <c r="DB28" i="34"/>
  <c r="DB15" i="33"/>
  <c r="DA8" i="32"/>
  <c r="DA20" i="34"/>
  <c r="DA32" i="34"/>
  <c r="DB8" i="32"/>
  <c r="DA17" i="32"/>
  <c r="DA9" i="34"/>
  <c r="DA18" i="34"/>
  <c r="DA30" i="34"/>
  <c r="DA17" i="33"/>
  <c r="DB24" i="32"/>
  <c r="DB30" i="32"/>
  <c r="DB33" i="32"/>
  <c r="DB38" i="33"/>
  <c r="DB18" i="32"/>
  <c r="DB21" i="32"/>
  <c r="DA24" i="32"/>
  <c r="DB37" i="32"/>
  <c r="DB10" i="31"/>
  <c r="DA28" i="34"/>
  <c r="DA8" i="33"/>
  <c r="DA15" i="33"/>
  <c r="DA21" i="33"/>
  <c r="DA34" i="33"/>
  <c r="DB34" i="32"/>
  <c r="DB10" i="30"/>
  <c r="DA18" i="33"/>
  <c r="DB11" i="32"/>
  <c r="DB22" i="32"/>
  <c r="DA20" i="33"/>
  <c r="DA27" i="33"/>
  <c r="DA9" i="32"/>
  <c r="DB8" i="31"/>
  <c r="DB17" i="31"/>
  <c r="DA36" i="34"/>
  <c r="DA11" i="33"/>
  <c r="DB26" i="33"/>
  <c r="DB28" i="32"/>
  <c r="DB32" i="31"/>
  <c r="DA16" i="33"/>
  <c r="DA33" i="33"/>
  <c r="DB32" i="32"/>
  <c r="DB12" i="31"/>
  <c r="DB15" i="31"/>
  <c r="DB25" i="33"/>
  <c r="DA28" i="33"/>
  <c r="DB9" i="32"/>
  <c r="DA12" i="32"/>
  <c r="DB15" i="32"/>
  <c r="DB20" i="32"/>
  <c r="DA37" i="33"/>
  <c r="DA15" i="32"/>
  <c r="DB17" i="32"/>
  <c r="DA29" i="32"/>
  <c r="DA26" i="31"/>
  <c r="DA13" i="31"/>
  <c r="DB29" i="31"/>
  <c r="DA31" i="31"/>
  <c r="DB37" i="31"/>
  <c r="DA15" i="31"/>
  <c r="DB16" i="31"/>
  <c r="DA26" i="30"/>
  <c r="DA12" i="31"/>
  <c r="DB24" i="31"/>
  <c r="DA38" i="31"/>
  <c r="DB19" i="30"/>
  <c r="DB23" i="30"/>
  <c r="DB19" i="29"/>
  <c r="DA19" i="33"/>
  <c r="DA31" i="33"/>
  <c r="DA27" i="32"/>
  <c r="DA18" i="31"/>
  <c r="DA20" i="31"/>
  <c r="DA36" i="33"/>
  <c r="DA11" i="32"/>
  <c r="DA20" i="32"/>
  <c r="DB27" i="32"/>
  <c r="DA32" i="32"/>
  <c r="DA37" i="32"/>
  <c r="DA38" i="32"/>
  <c r="DB31" i="30"/>
  <c r="DB36" i="30"/>
  <c r="DA13" i="29"/>
  <c r="DB31" i="29"/>
  <c r="DA35" i="32"/>
  <c r="DB21" i="31"/>
  <c r="DB33" i="31"/>
  <c r="DA28" i="32"/>
  <c r="DA16" i="31"/>
  <c r="DB20" i="30"/>
  <c r="DA10" i="31"/>
  <c r="DA19" i="31"/>
  <c r="DB25" i="31"/>
  <c r="DB30" i="31"/>
  <c r="DA21" i="31"/>
  <c r="DA21" i="30"/>
  <c r="DA33" i="30"/>
  <c r="DA38" i="30"/>
  <c r="DA35" i="29"/>
  <c r="DA11" i="30"/>
  <c r="DB29" i="30"/>
  <c r="DB36" i="29"/>
  <c r="DB11" i="30"/>
  <c r="DA20" i="30"/>
  <c r="DA14" i="29"/>
  <c r="DA23" i="29"/>
  <c r="DB27" i="29"/>
  <c r="DA17" i="31"/>
  <c r="DA24" i="31"/>
  <c r="DB8" i="29"/>
  <c r="DB37" i="29"/>
  <c r="DB36" i="31"/>
  <c r="DA12" i="30"/>
  <c r="DB15" i="29"/>
  <c r="DB24" i="29"/>
  <c r="DA13" i="30"/>
  <c r="DA25" i="30"/>
  <c r="DA27" i="30"/>
  <c r="DB11" i="29"/>
  <c r="DB16" i="29"/>
  <c r="DB25" i="29"/>
  <c r="DB28" i="29"/>
  <c r="DB32" i="29"/>
  <c r="DA27" i="31"/>
  <c r="DB30" i="30"/>
  <c r="DB37" i="30"/>
  <c r="DB20" i="29"/>
  <c r="DA32" i="31"/>
  <c r="DB32" i="30"/>
  <c r="DA35" i="30"/>
  <c r="DB12" i="29"/>
  <c r="DB38" i="29"/>
  <c r="DB21" i="29"/>
  <c r="DB26" i="29"/>
  <c r="DB17" i="29"/>
  <c r="DA31" i="30"/>
  <c r="DA24" i="30"/>
  <c r="DA36" i="30"/>
  <c r="DA11" i="29"/>
  <c r="DA20" i="29"/>
  <c r="DA32" i="29"/>
  <c r="DA22" i="30"/>
  <c r="DA34" i="30"/>
  <c r="DA9" i="29"/>
  <c r="DA18" i="29"/>
  <c r="DA30" i="29"/>
  <c r="DA37" i="30"/>
  <c r="DA12" i="29"/>
  <c r="DA21" i="29"/>
  <c r="DA33" i="29"/>
  <c r="DA15" i="29"/>
  <c r="DA17" i="29"/>
  <c r="DA24" i="29"/>
  <c r="DA36" i="29"/>
  <c r="DA15" i="36" l="1"/>
  <c r="DB17" i="36"/>
  <c r="DB15" i="36"/>
  <c r="DA39" i="35"/>
  <c r="DA39" i="33"/>
  <c r="DA39" i="32"/>
  <c r="DA39" i="31"/>
  <c r="DA39" i="29"/>
  <c r="DB34" i="30"/>
  <c r="DB21" i="30"/>
  <c r="DB19" i="31"/>
  <c r="DB11" i="34"/>
  <c r="DB16" i="35"/>
  <c r="DB14" i="37"/>
  <c r="DB33" i="28"/>
  <c r="DB33" i="38"/>
  <c r="DB24" i="28"/>
  <c r="DB37" i="33"/>
  <c r="DB35" i="37"/>
  <c r="DB22" i="30"/>
  <c r="DB14" i="30"/>
  <c r="DB23" i="29"/>
  <c r="DB10" i="32"/>
  <c r="DB30" i="34"/>
  <c r="DB11" i="37"/>
  <c r="DB19" i="28"/>
  <c r="DB17" i="38"/>
  <c r="DA39" i="37"/>
  <c r="DB14" i="34"/>
  <c r="DB10" i="33"/>
  <c r="DB25" i="35"/>
  <c r="DB38" i="37"/>
  <c r="DB19" i="38"/>
  <c r="DB21" i="38"/>
  <c r="DB35" i="38"/>
  <c r="DB17" i="28"/>
  <c r="DB12" i="28"/>
  <c r="DB14" i="28"/>
  <c r="DB19" i="32"/>
  <c r="DB38" i="30"/>
  <c r="DB38" i="32"/>
  <c r="DB29" i="32"/>
  <c r="DB9" i="34"/>
  <c r="DB34" i="34"/>
  <c r="DB10" i="38"/>
  <c r="DB9" i="38"/>
  <c r="DB15" i="28"/>
  <c r="DB10" i="28"/>
  <c r="DB13" i="30"/>
  <c r="DB15" i="34"/>
  <c r="DB33" i="30"/>
  <c r="DB16" i="30"/>
  <c r="DB18" i="31"/>
  <c r="DB9" i="31"/>
  <c r="DB33" i="35"/>
  <c r="DB29" i="34"/>
  <c r="DB32" i="33"/>
  <c r="DB21" i="37"/>
  <c r="DB35" i="28"/>
  <c r="DB32" i="37"/>
  <c r="DB12" i="38"/>
  <c r="DB38" i="28"/>
  <c r="DB27" i="30"/>
  <c r="DA39" i="30"/>
  <c r="DB38" i="31"/>
  <c r="DB20" i="33"/>
  <c r="DB38" i="35"/>
  <c r="DB24" i="34"/>
  <c r="DA39" i="34"/>
  <c r="DB8" i="34"/>
  <c r="DB23" i="34"/>
  <c r="DB34" i="38"/>
  <c r="DB20" i="37"/>
  <c r="DB10" i="36"/>
  <c r="DB22" i="37"/>
  <c r="DB24" i="38"/>
  <c r="DB8" i="28"/>
  <c r="DA39" i="28"/>
  <c r="DB18" i="38"/>
  <c r="DB8" i="38"/>
  <c r="DA39" i="38"/>
  <c r="DB36" i="32"/>
  <c r="DB26" i="32"/>
  <c r="DB9" i="33"/>
  <c r="DB37" i="35"/>
  <c r="DB35" i="36"/>
  <c r="DB10" i="35"/>
  <c r="DB23" i="38"/>
  <c r="DB30" i="29"/>
  <c r="DB14" i="29"/>
  <c r="DB35" i="29"/>
  <c r="DB35" i="32"/>
  <c r="DB12" i="32"/>
  <c r="DB21" i="33"/>
  <c r="DB22" i="34"/>
  <c r="DB21" i="35"/>
  <c r="DB26" i="35"/>
  <c r="DB36" i="38"/>
  <c r="DB37" i="28"/>
  <c r="DB22" i="29"/>
  <c r="DB35" i="33"/>
  <c r="DB21" i="28"/>
  <c r="DB34" i="29"/>
  <c r="DB23" i="32"/>
  <c r="DB13" i="31"/>
  <c r="DB13" i="29"/>
  <c r="DB11" i="33"/>
  <c r="DB13" i="34"/>
  <c r="DB27" i="35"/>
  <c r="DB16" i="36"/>
  <c r="DB29" i="36"/>
  <c r="DB13" i="37"/>
  <c r="DB27" i="31"/>
  <c r="DB18" i="29"/>
  <c r="DB25" i="30"/>
  <c r="DB14" i="32"/>
  <c r="DB11" i="31"/>
  <c r="DB31" i="31"/>
  <c r="DB26" i="31"/>
  <c r="DB17" i="34"/>
  <c r="DB12" i="35"/>
  <c r="DB31" i="38"/>
  <c r="DB14" i="38"/>
  <c r="DB15" i="38"/>
  <c r="DB27" i="28"/>
  <c r="DB28" i="28"/>
  <c r="DB33" i="33"/>
  <c r="DB33" i="29"/>
  <c r="DB9" i="29"/>
  <c r="DB29" i="29"/>
  <c r="DB28" i="30"/>
  <c r="DB20" i="31"/>
  <c r="DB26" i="30"/>
  <c r="DB31" i="32"/>
  <c r="DB36" i="34"/>
  <c r="DB27" i="33"/>
  <c r="DB35" i="34"/>
  <c r="DB19" i="35"/>
  <c r="DB29" i="37"/>
  <c r="DB23" i="37"/>
  <c r="DB34" i="28"/>
  <c r="F54" i="13"/>
  <c r="F53" i="13"/>
  <c r="F52" i="13"/>
  <c r="F51" i="13"/>
  <c r="F50" i="13"/>
  <c r="DA41" i="29" l="1"/>
  <c r="DA41" i="31"/>
  <c r="DA41" i="32"/>
  <c r="DA41" i="33"/>
  <c r="DA41" i="35"/>
  <c r="DB22" i="36"/>
  <c r="DA16" i="36"/>
  <c r="DA41" i="28"/>
  <c r="DA41" i="30"/>
  <c r="DA41" i="34"/>
  <c r="DA41" i="38"/>
  <c r="DA41" i="37"/>
  <c r="U8" i="31"/>
  <c r="W8" i="31"/>
  <c r="AH8" i="31"/>
  <c r="U9" i="31"/>
  <c r="W9" i="31"/>
  <c r="AH9" i="31"/>
  <c r="U10" i="31"/>
  <c r="W10" i="31"/>
  <c r="AH10" i="31"/>
  <c r="U11" i="31"/>
  <c r="W11" i="31"/>
  <c r="AH11" i="31"/>
  <c r="U12" i="31"/>
  <c r="W12" i="31"/>
  <c r="AH12" i="31"/>
  <c r="U13" i="31"/>
  <c r="W13" i="31"/>
  <c r="AH13" i="31"/>
  <c r="U14" i="31"/>
  <c r="W14" i="31"/>
  <c r="AH14" i="31"/>
  <c r="U15" i="31"/>
  <c r="W15" i="31"/>
  <c r="AH15" i="31"/>
  <c r="U16" i="31"/>
  <c r="W16" i="31"/>
  <c r="AH16" i="31"/>
  <c r="U17" i="31"/>
  <c r="W17" i="31"/>
  <c r="AH17" i="31"/>
  <c r="U18" i="31"/>
  <c r="W18" i="31"/>
  <c r="AH18" i="31"/>
  <c r="U19" i="31"/>
  <c r="W19" i="31"/>
  <c r="AH19" i="31"/>
  <c r="U20" i="31"/>
  <c r="W20" i="31"/>
  <c r="AH20" i="31"/>
  <c r="U21" i="31"/>
  <c r="W21" i="31"/>
  <c r="AH21" i="31"/>
  <c r="U22" i="31"/>
  <c r="W22" i="31"/>
  <c r="AH22" i="31"/>
  <c r="U23" i="31"/>
  <c r="W23" i="31"/>
  <c r="AH23" i="31"/>
  <c r="U24" i="31"/>
  <c r="W24" i="31"/>
  <c r="AH24" i="31"/>
  <c r="U25" i="31"/>
  <c r="W25" i="31"/>
  <c r="AH25" i="31"/>
  <c r="U26" i="31"/>
  <c r="W26" i="31"/>
  <c r="AH26" i="31"/>
  <c r="U27" i="31"/>
  <c r="W27" i="31"/>
  <c r="AH27" i="31"/>
  <c r="U28" i="31"/>
  <c r="W28" i="31"/>
  <c r="AH28" i="31"/>
  <c r="U29" i="31"/>
  <c r="W29" i="31"/>
  <c r="AH29" i="31"/>
  <c r="U30" i="31"/>
  <c r="W30" i="31"/>
  <c r="U31" i="31"/>
  <c r="W31" i="31"/>
  <c r="U32" i="31"/>
  <c r="W32" i="31"/>
  <c r="U33" i="31"/>
  <c r="W33" i="31"/>
  <c r="U34" i="31"/>
  <c r="W34" i="31"/>
  <c r="U35" i="31"/>
  <c r="W35" i="31"/>
  <c r="U36" i="31"/>
  <c r="W36" i="31"/>
  <c r="U37" i="31"/>
  <c r="W37" i="31"/>
  <c r="DA17" i="36" l="1"/>
  <c r="DA22" i="36"/>
  <c r="W37" i="38"/>
  <c r="U37" i="38"/>
  <c r="W36" i="38"/>
  <c r="U36" i="38"/>
  <c r="W35" i="38"/>
  <c r="U35" i="38"/>
  <c r="W34" i="38"/>
  <c r="U34" i="38"/>
  <c r="W33" i="38"/>
  <c r="U33" i="38"/>
  <c r="W32" i="38"/>
  <c r="U32" i="38"/>
  <c r="W31" i="38"/>
  <c r="U31" i="38"/>
  <c r="W30" i="38"/>
  <c r="U30" i="38"/>
  <c r="W29" i="38"/>
  <c r="U29" i="38"/>
  <c r="W28" i="38"/>
  <c r="U28" i="38"/>
  <c r="W27" i="38"/>
  <c r="U27" i="38"/>
  <c r="W26" i="38"/>
  <c r="U26" i="38"/>
  <c r="W25" i="38"/>
  <c r="U25" i="38"/>
  <c r="W24" i="38"/>
  <c r="U24" i="38"/>
  <c r="W23" i="38"/>
  <c r="U23" i="38"/>
  <c r="W22" i="38"/>
  <c r="U22" i="38"/>
  <c r="W21" i="38"/>
  <c r="U21" i="38"/>
  <c r="W20" i="38"/>
  <c r="U20" i="38"/>
  <c r="W19" i="38"/>
  <c r="U19" i="38"/>
  <c r="W18" i="38"/>
  <c r="U18" i="38"/>
  <c r="W17" i="38"/>
  <c r="U17" i="38"/>
  <c r="W16" i="38"/>
  <c r="U16" i="38"/>
  <c r="W15" i="38"/>
  <c r="U15" i="38"/>
  <c r="W14" i="38"/>
  <c r="U14" i="38"/>
  <c r="W13" i="38"/>
  <c r="U13" i="38"/>
  <c r="W12" i="38"/>
  <c r="U12" i="38"/>
  <c r="W11" i="38"/>
  <c r="U11" i="38"/>
  <c r="W10" i="38"/>
  <c r="U10" i="38"/>
  <c r="W9" i="38"/>
  <c r="U9" i="38"/>
  <c r="W8" i="38"/>
  <c r="U8" i="38"/>
  <c r="W37" i="37"/>
  <c r="W36" i="37"/>
  <c r="W35" i="37"/>
  <c r="W34" i="37"/>
  <c r="W33" i="37"/>
  <c r="W32" i="37"/>
  <c r="W31" i="37"/>
  <c r="W30" i="37"/>
  <c r="W29" i="37"/>
  <c r="W28" i="37"/>
  <c r="W27" i="37"/>
  <c r="W26" i="37"/>
  <c r="W25" i="37"/>
  <c r="W24" i="37"/>
  <c r="W23" i="37"/>
  <c r="W22" i="37"/>
  <c r="W21" i="37"/>
  <c r="W20" i="37"/>
  <c r="W19" i="37"/>
  <c r="W18" i="37"/>
  <c r="W17" i="37"/>
  <c r="W16" i="37"/>
  <c r="W15" i="37"/>
  <c r="W14" i="37"/>
  <c r="W13" i="37"/>
  <c r="W12" i="37"/>
  <c r="W11" i="37"/>
  <c r="W10" i="37"/>
  <c r="W9" i="37"/>
  <c r="W8" i="37"/>
  <c r="W37" i="36"/>
  <c r="U37" i="36"/>
  <c r="W36" i="36"/>
  <c r="U36" i="36"/>
  <c r="W35" i="36"/>
  <c r="U35" i="36"/>
  <c r="W34" i="36"/>
  <c r="U34" i="36"/>
  <c r="W33" i="36"/>
  <c r="U33" i="36"/>
  <c r="W32" i="36"/>
  <c r="U32" i="36"/>
  <c r="W31" i="36"/>
  <c r="U31" i="36"/>
  <c r="W30" i="36"/>
  <c r="U30" i="36"/>
  <c r="W29" i="36"/>
  <c r="U29" i="36"/>
  <c r="W28" i="36"/>
  <c r="U28" i="36"/>
  <c r="W27" i="36"/>
  <c r="U27" i="36"/>
  <c r="W26" i="36"/>
  <c r="U26" i="36"/>
  <c r="W25" i="36"/>
  <c r="U25" i="36"/>
  <c r="W24" i="36"/>
  <c r="U24" i="36"/>
  <c r="W23" i="36"/>
  <c r="U23" i="36"/>
  <c r="W22" i="36"/>
  <c r="U22" i="36"/>
  <c r="W21" i="36"/>
  <c r="U21" i="36"/>
  <c r="W20" i="36"/>
  <c r="U20" i="36"/>
  <c r="W19" i="36"/>
  <c r="U19" i="36"/>
  <c r="W18" i="36"/>
  <c r="U18" i="36"/>
  <c r="W17" i="36"/>
  <c r="U17" i="36"/>
  <c r="W16" i="36"/>
  <c r="U16" i="36"/>
  <c r="W15" i="36"/>
  <c r="U15" i="36"/>
  <c r="W14" i="36"/>
  <c r="U14" i="36"/>
  <c r="W13" i="36"/>
  <c r="U13" i="36"/>
  <c r="W12" i="36"/>
  <c r="U12" i="36"/>
  <c r="W11" i="36"/>
  <c r="U11" i="36"/>
  <c r="W10" i="36"/>
  <c r="U10" i="36"/>
  <c r="W9" i="36"/>
  <c r="U9" i="36"/>
  <c r="W8" i="36"/>
  <c r="U8" i="36"/>
  <c r="W37" i="35"/>
  <c r="U37" i="35"/>
  <c r="W36" i="35"/>
  <c r="U36" i="35"/>
  <c r="W35" i="35"/>
  <c r="U35" i="35"/>
  <c r="W34" i="35"/>
  <c r="U34" i="35"/>
  <c r="W33" i="35"/>
  <c r="U33" i="35"/>
  <c r="W32" i="35"/>
  <c r="U32" i="35"/>
  <c r="W31" i="35"/>
  <c r="U31" i="35"/>
  <c r="W30" i="35"/>
  <c r="U30" i="35"/>
  <c r="W29" i="35"/>
  <c r="U29" i="35"/>
  <c r="W28" i="35"/>
  <c r="U28" i="35"/>
  <c r="W27" i="35"/>
  <c r="U27" i="35"/>
  <c r="W26" i="35"/>
  <c r="U26" i="35"/>
  <c r="W25" i="35"/>
  <c r="U25" i="35"/>
  <c r="W24" i="35"/>
  <c r="U24" i="35"/>
  <c r="W23" i="35"/>
  <c r="U23" i="35"/>
  <c r="W22" i="35"/>
  <c r="U22" i="35"/>
  <c r="W21" i="35"/>
  <c r="U21" i="35"/>
  <c r="W20" i="35"/>
  <c r="U20" i="35"/>
  <c r="W19" i="35"/>
  <c r="U19" i="35"/>
  <c r="W18" i="35"/>
  <c r="U18" i="35"/>
  <c r="W17" i="35"/>
  <c r="U17" i="35"/>
  <c r="W16" i="35"/>
  <c r="U16" i="35"/>
  <c r="W15" i="35"/>
  <c r="U15" i="35"/>
  <c r="W14" i="35"/>
  <c r="U14" i="35"/>
  <c r="W13" i="35"/>
  <c r="U13" i="35"/>
  <c r="W12" i="35"/>
  <c r="U12" i="35"/>
  <c r="W11" i="35"/>
  <c r="U11" i="35"/>
  <c r="W10" i="35"/>
  <c r="U10" i="35"/>
  <c r="W9" i="35"/>
  <c r="U9" i="35"/>
  <c r="W8" i="35"/>
  <c r="U8" i="35"/>
  <c r="W37" i="34"/>
  <c r="U37" i="34"/>
  <c r="W36" i="34"/>
  <c r="U36" i="34"/>
  <c r="W35" i="34"/>
  <c r="U35" i="34"/>
  <c r="W34" i="34"/>
  <c r="U34" i="34"/>
  <c r="W33" i="34"/>
  <c r="U33" i="34"/>
  <c r="W32" i="34"/>
  <c r="U32" i="34"/>
  <c r="W31" i="34"/>
  <c r="U31" i="34"/>
  <c r="W30" i="34"/>
  <c r="U30" i="34"/>
  <c r="W29" i="34"/>
  <c r="U29" i="34"/>
  <c r="W28" i="34"/>
  <c r="U28" i="34"/>
  <c r="W27" i="34"/>
  <c r="U27" i="34"/>
  <c r="W26" i="34"/>
  <c r="U26" i="34"/>
  <c r="W25" i="34"/>
  <c r="U25" i="34"/>
  <c r="W24" i="34"/>
  <c r="U24" i="34"/>
  <c r="W23" i="34"/>
  <c r="U23" i="34"/>
  <c r="W22" i="34"/>
  <c r="U22" i="34"/>
  <c r="W21" i="34"/>
  <c r="U21" i="34"/>
  <c r="W20" i="34"/>
  <c r="U20" i="34"/>
  <c r="W19" i="34"/>
  <c r="U19" i="34"/>
  <c r="W18" i="34"/>
  <c r="U18" i="34"/>
  <c r="W17" i="34"/>
  <c r="U17" i="34"/>
  <c r="W16" i="34"/>
  <c r="U16" i="34"/>
  <c r="W15" i="34"/>
  <c r="U15" i="34"/>
  <c r="W14" i="34"/>
  <c r="U14" i="34"/>
  <c r="W13" i="34"/>
  <c r="U13" i="34"/>
  <c r="W12" i="34"/>
  <c r="U12" i="34"/>
  <c r="W11" i="34"/>
  <c r="U11" i="34"/>
  <c r="W10" i="34"/>
  <c r="U10" i="34"/>
  <c r="W9" i="34"/>
  <c r="U9" i="34"/>
  <c r="W8" i="34"/>
  <c r="U8" i="34"/>
  <c r="W37" i="33"/>
  <c r="U37" i="33"/>
  <c r="W36" i="33"/>
  <c r="U36" i="33"/>
  <c r="W35" i="33"/>
  <c r="U35" i="33"/>
  <c r="W34" i="33"/>
  <c r="U34" i="33"/>
  <c r="W33" i="33"/>
  <c r="U33" i="33"/>
  <c r="W32" i="33"/>
  <c r="U32" i="33"/>
  <c r="W31" i="33"/>
  <c r="U31" i="33"/>
  <c r="W30" i="33"/>
  <c r="U30" i="33"/>
  <c r="W29" i="33"/>
  <c r="U29" i="33"/>
  <c r="W28" i="33"/>
  <c r="U28" i="33"/>
  <c r="W27" i="33"/>
  <c r="U27" i="33"/>
  <c r="W26" i="33"/>
  <c r="U26" i="33"/>
  <c r="W25" i="33"/>
  <c r="U25" i="33"/>
  <c r="W24" i="33"/>
  <c r="U24" i="33"/>
  <c r="W23" i="33"/>
  <c r="U23" i="33"/>
  <c r="W22" i="33"/>
  <c r="U22" i="33"/>
  <c r="W21" i="33"/>
  <c r="U21" i="33"/>
  <c r="W20" i="33"/>
  <c r="U20" i="33"/>
  <c r="W19" i="33"/>
  <c r="U19" i="33"/>
  <c r="W18" i="33"/>
  <c r="U18" i="33"/>
  <c r="W17" i="33"/>
  <c r="U17" i="33"/>
  <c r="W16" i="33"/>
  <c r="U16" i="33"/>
  <c r="W15" i="33"/>
  <c r="U15" i="33"/>
  <c r="W14" i="33"/>
  <c r="U14" i="33"/>
  <c r="W13" i="33"/>
  <c r="U13" i="33"/>
  <c r="W12" i="33"/>
  <c r="U12" i="33"/>
  <c r="W11" i="33"/>
  <c r="U11" i="33"/>
  <c r="W10" i="33"/>
  <c r="U10" i="33"/>
  <c r="W9" i="33"/>
  <c r="U9" i="33"/>
  <c r="W8" i="33"/>
  <c r="U8" i="33"/>
  <c r="W37" i="32"/>
  <c r="U37" i="32"/>
  <c r="W36" i="32"/>
  <c r="U36" i="32"/>
  <c r="W35" i="32"/>
  <c r="U35" i="32"/>
  <c r="W34" i="32"/>
  <c r="U34" i="32"/>
  <c r="W33" i="32"/>
  <c r="U33" i="32"/>
  <c r="W32" i="32"/>
  <c r="U32" i="32"/>
  <c r="W31" i="32"/>
  <c r="U31" i="32"/>
  <c r="W30" i="32"/>
  <c r="U30" i="32"/>
  <c r="W29" i="32"/>
  <c r="U29" i="32"/>
  <c r="W28" i="32"/>
  <c r="U28" i="32"/>
  <c r="W27" i="32"/>
  <c r="U27" i="32"/>
  <c r="W26" i="32"/>
  <c r="U26" i="32"/>
  <c r="W25" i="32"/>
  <c r="U25" i="32"/>
  <c r="W24" i="32"/>
  <c r="U24" i="32"/>
  <c r="W23" i="32"/>
  <c r="U23" i="32"/>
  <c r="W22" i="32"/>
  <c r="U22" i="32"/>
  <c r="W21" i="32"/>
  <c r="U21" i="32"/>
  <c r="W20" i="32"/>
  <c r="U20" i="32"/>
  <c r="W19" i="32"/>
  <c r="U19" i="32"/>
  <c r="W18" i="32"/>
  <c r="U18" i="32"/>
  <c r="W17" i="32"/>
  <c r="U17" i="32"/>
  <c r="W16" i="32"/>
  <c r="U16" i="32"/>
  <c r="W15" i="32"/>
  <c r="U15" i="32"/>
  <c r="W14" i="32"/>
  <c r="U14" i="32"/>
  <c r="W13" i="32"/>
  <c r="U13" i="32"/>
  <c r="W12" i="32"/>
  <c r="U12" i="32"/>
  <c r="W11" i="32"/>
  <c r="U11" i="32"/>
  <c r="W10" i="32"/>
  <c r="U10" i="32"/>
  <c r="W9" i="32"/>
  <c r="U9" i="32"/>
  <c r="W8" i="32"/>
  <c r="U8" i="32"/>
  <c r="W37" i="30"/>
  <c r="U37" i="30"/>
  <c r="W36" i="30"/>
  <c r="U36" i="30"/>
  <c r="W35" i="30"/>
  <c r="U35" i="30"/>
  <c r="W34" i="30"/>
  <c r="U34" i="30"/>
  <c r="W33" i="30"/>
  <c r="U33" i="30"/>
  <c r="W32" i="30"/>
  <c r="U32" i="30"/>
  <c r="W31" i="30"/>
  <c r="U31" i="30"/>
  <c r="W30" i="30"/>
  <c r="U30" i="30"/>
  <c r="W29" i="30"/>
  <c r="U29" i="30"/>
  <c r="W28" i="30"/>
  <c r="U28" i="30"/>
  <c r="W27" i="30"/>
  <c r="U27" i="30"/>
  <c r="W26" i="30"/>
  <c r="U26" i="30"/>
  <c r="W25" i="30"/>
  <c r="U25" i="30"/>
  <c r="W24" i="30"/>
  <c r="U24" i="30"/>
  <c r="W23" i="30"/>
  <c r="U23" i="30"/>
  <c r="W22" i="30"/>
  <c r="U22" i="30"/>
  <c r="W21" i="30"/>
  <c r="U21" i="30"/>
  <c r="W20" i="30"/>
  <c r="U20" i="30"/>
  <c r="W19" i="30"/>
  <c r="U19" i="30"/>
  <c r="W18" i="30"/>
  <c r="U18" i="30"/>
  <c r="W17" i="30"/>
  <c r="U17" i="30"/>
  <c r="W16" i="30"/>
  <c r="U16" i="30"/>
  <c r="W15" i="30"/>
  <c r="U15" i="30"/>
  <c r="W14" i="30"/>
  <c r="U14" i="30"/>
  <c r="W13" i="30"/>
  <c r="U13" i="30"/>
  <c r="W12" i="30"/>
  <c r="U12" i="30"/>
  <c r="W11" i="30"/>
  <c r="U11" i="30"/>
  <c r="W10" i="30"/>
  <c r="U10" i="30"/>
  <c r="W9" i="30"/>
  <c r="U9" i="30"/>
  <c r="W8" i="30"/>
  <c r="U8" i="30"/>
  <c r="W37" i="29"/>
  <c r="U37" i="29"/>
  <c r="W36" i="29"/>
  <c r="U36" i="29"/>
  <c r="W35" i="29"/>
  <c r="U35" i="29"/>
  <c r="W34" i="29"/>
  <c r="U34" i="29"/>
  <c r="W33" i="29"/>
  <c r="U33" i="29"/>
  <c r="W32" i="29"/>
  <c r="U32" i="29"/>
  <c r="W31" i="29"/>
  <c r="U31" i="29"/>
  <c r="W30" i="29"/>
  <c r="U30" i="29"/>
  <c r="W29" i="29"/>
  <c r="U29" i="29"/>
  <c r="W28" i="29"/>
  <c r="U28" i="29"/>
  <c r="W27" i="29"/>
  <c r="U27" i="29"/>
  <c r="W26" i="29"/>
  <c r="U26" i="29"/>
  <c r="W25" i="29"/>
  <c r="U25" i="29"/>
  <c r="W24" i="29"/>
  <c r="U24" i="29"/>
  <c r="W23" i="29"/>
  <c r="U23" i="29"/>
  <c r="W22" i="29"/>
  <c r="U22" i="29"/>
  <c r="W21" i="29"/>
  <c r="U21" i="29"/>
  <c r="W20" i="29"/>
  <c r="U20" i="29"/>
  <c r="W19" i="29"/>
  <c r="U19" i="29"/>
  <c r="W18" i="29"/>
  <c r="U18" i="29"/>
  <c r="W17" i="29"/>
  <c r="U17" i="29"/>
  <c r="W16" i="29"/>
  <c r="U16" i="29"/>
  <c r="W15" i="29"/>
  <c r="U15" i="29"/>
  <c r="W14" i="29"/>
  <c r="U14" i="29"/>
  <c r="W13" i="29"/>
  <c r="U13" i="29"/>
  <c r="W12" i="29"/>
  <c r="U12" i="29"/>
  <c r="W11" i="29"/>
  <c r="U11" i="29"/>
  <c r="W10" i="29"/>
  <c r="U10" i="29"/>
  <c r="W9" i="29"/>
  <c r="U9" i="29"/>
  <c r="W8" i="29"/>
  <c r="U8" i="29"/>
  <c r="W37" i="28"/>
  <c r="U37" i="28"/>
  <c r="W36" i="28"/>
  <c r="U36" i="28"/>
  <c r="W35" i="28"/>
  <c r="U35" i="28"/>
  <c r="W34" i="28"/>
  <c r="U34" i="28"/>
  <c r="W33" i="28"/>
  <c r="U33" i="28"/>
  <c r="W32" i="28"/>
  <c r="U32" i="28"/>
  <c r="W31" i="28"/>
  <c r="U31" i="28"/>
  <c r="W30" i="28"/>
  <c r="U30" i="28"/>
  <c r="W29" i="28"/>
  <c r="U29" i="28"/>
  <c r="W28" i="28"/>
  <c r="U28" i="28"/>
  <c r="W27" i="28"/>
  <c r="U27" i="28"/>
  <c r="W26" i="28"/>
  <c r="U26" i="28"/>
  <c r="W25" i="28"/>
  <c r="U25" i="28"/>
  <c r="W24" i="28"/>
  <c r="U24" i="28"/>
  <c r="W23" i="28"/>
  <c r="U23" i="28"/>
  <c r="W22" i="28"/>
  <c r="U22" i="28"/>
  <c r="W21" i="28"/>
  <c r="U21" i="28"/>
  <c r="W20" i="28"/>
  <c r="U20" i="28"/>
  <c r="W19" i="28"/>
  <c r="U19" i="28"/>
  <c r="W18" i="28"/>
  <c r="U18" i="28"/>
  <c r="W17" i="28"/>
  <c r="U17" i="28"/>
  <c r="W16" i="28"/>
  <c r="U16" i="28"/>
  <c r="W15" i="28"/>
  <c r="U15" i="28"/>
  <c r="W14" i="28"/>
  <c r="U14" i="28"/>
  <c r="W13" i="28"/>
  <c r="U13" i="28"/>
  <c r="W12" i="28"/>
  <c r="U12" i="28"/>
  <c r="W11" i="28"/>
  <c r="U11" i="28"/>
  <c r="W10" i="28"/>
  <c r="U10" i="28"/>
  <c r="W9" i="28"/>
  <c r="U9" i="28"/>
  <c r="W8" i="28"/>
  <c r="U8" i="28"/>
  <c r="G3" i="13" l="1"/>
  <c r="G49" i="13" l="1"/>
  <c r="G51" i="13"/>
  <c r="U1" i="38"/>
  <c r="U1" i="37"/>
  <c r="U1" i="36"/>
  <c r="U1" i="35"/>
  <c r="U1" i="34"/>
  <c r="U1" i="33"/>
  <c r="U1" i="32"/>
  <c r="U1" i="31"/>
  <c r="U1" i="30"/>
  <c r="U1" i="29"/>
  <c r="U1" i="28"/>
  <c r="AH10" i="28" l="1"/>
  <c r="Z8" i="13" l="1"/>
  <c r="CB11" i="13" l="1"/>
  <c r="CK11" i="13" s="1"/>
  <c r="CB12" i="13"/>
  <c r="CK12" i="13" s="1"/>
  <c r="CB13" i="13"/>
  <c r="CK13" i="13" s="1"/>
  <c r="CB14" i="13"/>
  <c r="CK14" i="13" s="1"/>
  <c r="CB15" i="13"/>
  <c r="CK15" i="13" s="1"/>
  <c r="CB16" i="13"/>
  <c r="CK16" i="13" s="1"/>
  <c r="CB17" i="13"/>
  <c r="CK17" i="13" s="1"/>
  <c r="CB18" i="13"/>
  <c r="CB19" i="13"/>
  <c r="CK19" i="13" s="1"/>
  <c r="CB20" i="13"/>
  <c r="CK20" i="13" s="1"/>
  <c r="CB21" i="13"/>
  <c r="CK21" i="13" s="1"/>
  <c r="CB22" i="13"/>
  <c r="CB23" i="13"/>
  <c r="CK23" i="13" s="1"/>
  <c r="CB24" i="13"/>
  <c r="CK24" i="13" s="1"/>
  <c r="CB25" i="13"/>
  <c r="CB26" i="13"/>
  <c r="CB27" i="13"/>
  <c r="CK27" i="13" s="1"/>
  <c r="CB28" i="13"/>
  <c r="CK28" i="13" s="1"/>
  <c r="CB29" i="13"/>
  <c r="CK29" i="13" s="1"/>
  <c r="CB34" i="13"/>
  <c r="CB35" i="13"/>
  <c r="CK35" i="13" s="1"/>
  <c r="CB36" i="13"/>
  <c r="CK36" i="13" s="1"/>
  <c r="CB37" i="13"/>
  <c r="CK37" i="13" s="1"/>
  <c r="CB38" i="13"/>
  <c r="CB9" i="13"/>
  <c r="CB10" i="13"/>
  <c r="CK10" i="13" s="1"/>
  <c r="CB8" i="13"/>
  <c r="CK8" i="13" s="1"/>
  <c r="CV3" i="13"/>
  <c r="CA8" i="13"/>
  <c r="CJ8" i="13" s="1"/>
  <c r="CD8" i="13"/>
  <c r="BP8" i="13" s="1"/>
  <c r="CA9" i="13"/>
  <c r="CJ9" i="13" s="1"/>
  <c r="CD9" i="13"/>
  <c r="BN9" i="13" s="1"/>
  <c r="CA10" i="13"/>
  <c r="CJ10" i="13" s="1"/>
  <c r="CD10" i="13"/>
  <c r="CA11" i="13"/>
  <c r="CA12" i="13"/>
  <c r="CD12" i="13"/>
  <c r="CA13" i="13"/>
  <c r="CA14" i="13"/>
  <c r="CR14" i="13" s="1"/>
  <c r="CA15" i="13"/>
  <c r="CD15" i="13"/>
  <c r="BN15" i="13" s="1"/>
  <c r="CA16" i="13"/>
  <c r="CD16" i="13"/>
  <c r="BN16" i="13" s="1"/>
  <c r="CA17" i="13"/>
  <c r="CD17" i="13"/>
  <c r="BP17" i="13" s="1"/>
  <c r="CA18" i="13"/>
  <c r="CA19" i="13"/>
  <c r="CD19" i="13"/>
  <c r="BN19" i="13" s="1"/>
  <c r="CA20" i="13"/>
  <c r="CA21" i="13"/>
  <c r="CD21" i="13"/>
  <c r="BN21" i="13" s="1"/>
  <c r="CA22" i="13"/>
  <c r="CD22" i="13"/>
  <c r="BP22" i="13" s="1"/>
  <c r="CA23" i="13"/>
  <c r="CJ23" i="13" s="1"/>
  <c r="CD23" i="13"/>
  <c r="BP23" i="13" s="1"/>
  <c r="CA24" i="13"/>
  <c r="CQ24" i="13" s="1"/>
  <c r="CD24" i="13"/>
  <c r="BN24" i="13" s="1"/>
  <c r="CA25" i="13"/>
  <c r="CJ25" i="13" s="1"/>
  <c r="CD25" i="13"/>
  <c r="BP25" i="13" s="1"/>
  <c r="CA26" i="13"/>
  <c r="CJ26" i="13" s="1"/>
  <c r="CD26" i="13"/>
  <c r="BP26" i="13" s="1"/>
  <c r="CA27" i="13"/>
  <c r="CJ27" i="13" s="1"/>
  <c r="CD27" i="13"/>
  <c r="BP27" i="13" s="1"/>
  <c r="CA28" i="13"/>
  <c r="CD28" i="13"/>
  <c r="BN28" i="13" s="1"/>
  <c r="CA29" i="13"/>
  <c r="CD29" i="13"/>
  <c r="BN29" i="13" s="1"/>
  <c r="CA30" i="13"/>
  <c r="CJ30" i="13" s="1"/>
  <c r="CD30" i="13"/>
  <c r="BP30" i="13" s="1"/>
  <c r="CA31" i="13"/>
  <c r="CQ31" i="13" s="1"/>
  <c r="CD31" i="13"/>
  <c r="BP31" i="13" s="1"/>
  <c r="CA32" i="13"/>
  <c r="CJ32" i="13" s="1"/>
  <c r="CD32" i="13"/>
  <c r="BP32" i="13" s="1"/>
  <c r="CA33" i="13"/>
  <c r="CJ33" i="13" s="1"/>
  <c r="CD33" i="13"/>
  <c r="CA34" i="13"/>
  <c r="CD34" i="13"/>
  <c r="BP34" i="13" s="1"/>
  <c r="CA35" i="13"/>
  <c r="CD35" i="13"/>
  <c r="BP35" i="13" s="1"/>
  <c r="CA36" i="13"/>
  <c r="CD36" i="13"/>
  <c r="BP36" i="13" s="1"/>
  <c r="CA37" i="13"/>
  <c r="CJ37" i="13" s="1"/>
  <c r="CD37" i="13"/>
  <c r="BN37" i="13" s="1"/>
  <c r="CA38" i="13"/>
  <c r="CD38" i="13"/>
  <c r="BP38" i="13" s="1"/>
  <c r="DG6" i="38"/>
  <c r="AH8" i="30"/>
  <c r="AH9" i="30"/>
  <c r="AH10" i="30"/>
  <c r="AH11" i="30"/>
  <c r="AH12" i="30"/>
  <c r="AH13" i="30"/>
  <c r="AH14" i="30"/>
  <c r="AH15" i="30"/>
  <c r="AH16" i="30"/>
  <c r="AH17" i="30"/>
  <c r="AH18" i="30"/>
  <c r="AH19" i="30"/>
  <c r="AH20" i="30"/>
  <c r="AH21" i="30"/>
  <c r="AH22" i="30"/>
  <c r="AH23" i="30"/>
  <c r="AH24" i="30"/>
  <c r="AH25" i="30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I8" i="30"/>
  <c r="AI9" i="30"/>
  <c r="AI10" i="30"/>
  <c r="AI11" i="30"/>
  <c r="AI12" i="30"/>
  <c r="AI13" i="30"/>
  <c r="AI14" i="30"/>
  <c r="AI15" i="30"/>
  <c r="AI16" i="30"/>
  <c r="AI17" i="30"/>
  <c r="AI18" i="30"/>
  <c r="AI19" i="30"/>
  <c r="AI20" i="30"/>
  <c r="AI21" i="30"/>
  <c r="AI22" i="30"/>
  <c r="AI23" i="30"/>
  <c r="AI24" i="30"/>
  <c r="AI25" i="30"/>
  <c r="AI26" i="30"/>
  <c r="AI27" i="30"/>
  <c r="AI28" i="30"/>
  <c r="AI29" i="30"/>
  <c r="AI30" i="30"/>
  <c r="AI31" i="30"/>
  <c r="AI32" i="30"/>
  <c r="AI33" i="30"/>
  <c r="AI34" i="30"/>
  <c r="AI35" i="30"/>
  <c r="AI36" i="30"/>
  <c r="AI37" i="30"/>
  <c r="AI38" i="30"/>
  <c r="AJ8" i="30"/>
  <c r="AJ9" i="30"/>
  <c r="AJ10" i="30"/>
  <c r="AJ11" i="30"/>
  <c r="AJ12" i="30"/>
  <c r="AJ13" i="30"/>
  <c r="AJ14" i="30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K8" i="30"/>
  <c r="AK9" i="30"/>
  <c r="AK10" i="30"/>
  <c r="AK11" i="30"/>
  <c r="AK12" i="30"/>
  <c r="AK13" i="30"/>
  <c r="AK14" i="30"/>
  <c r="AK15" i="30"/>
  <c r="AK16" i="30"/>
  <c r="AK17" i="30"/>
  <c r="AK18" i="30"/>
  <c r="AK19" i="30"/>
  <c r="AK20" i="30"/>
  <c r="AK21" i="30"/>
  <c r="AK22" i="30"/>
  <c r="AK23" i="30"/>
  <c r="AK24" i="30"/>
  <c r="AK25" i="30"/>
  <c r="AK26" i="30"/>
  <c r="AK27" i="30"/>
  <c r="AK28" i="30"/>
  <c r="AK29" i="30"/>
  <c r="AK30" i="30"/>
  <c r="AK31" i="30"/>
  <c r="AK32" i="30"/>
  <c r="AK33" i="30"/>
  <c r="AK34" i="30"/>
  <c r="AK35" i="30"/>
  <c r="AK36" i="30"/>
  <c r="AK37" i="30"/>
  <c r="AK38" i="30"/>
  <c r="AL8" i="30"/>
  <c r="AL9" i="30"/>
  <c r="AL10" i="30"/>
  <c r="AL11" i="30"/>
  <c r="AL12" i="30"/>
  <c r="AL13" i="30"/>
  <c r="AL14" i="30"/>
  <c r="AL15" i="30"/>
  <c r="AL16" i="30"/>
  <c r="AL17" i="30"/>
  <c r="AL18" i="30"/>
  <c r="AL19" i="30"/>
  <c r="AL20" i="30"/>
  <c r="AL21" i="30"/>
  <c r="AL22" i="30"/>
  <c r="AL23" i="30"/>
  <c r="AL24" i="30"/>
  <c r="AL25" i="30"/>
  <c r="AL26" i="30"/>
  <c r="AL27" i="30"/>
  <c r="AL28" i="30"/>
  <c r="AL29" i="30"/>
  <c r="AL30" i="30"/>
  <c r="AL31" i="30"/>
  <c r="AL32" i="30"/>
  <c r="AL33" i="30"/>
  <c r="AL34" i="30"/>
  <c r="AL35" i="30"/>
  <c r="AL36" i="30"/>
  <c r="AL37" i="30"/>
  <c r="AL38" i="30"/>
  <c r="AM8" i="30"/>
  <c r="AM9" i="30"/>
  <c r="AM10" i="30"/>
  <c r="AM11" i="30"/>
  <c r="AM12" i="30"/>
  <c r="AM13" i="30"/>
  <c r="AM14" i="30"/>
  <c r="AM15" i="30"/>
  <c r="AM16" i="30"/>
  <c r="AM17" i="30"/>
  <c r="AM18" i="30"/>
  <c r="AM19" i="30"/>
  <c r="AM20" i="30"/>
  <c r="AM21" i="30"/>
  <c r="AM22" i="30"/>
  <c r="AM23" i="30"/>
  <c r="AM24" i="30"/>
  <c r="AM25" i="30"/>
  <c r="AM26" i="30"/>
  <c r="AM27" i="30"/>
  <c r="AM28" i="30"/>
  <c r="AM29" i="30"/>
  <c r="AM30" i="30"/>
  <c r="AM31" i="30"/>
  <c r="AM32" i="30"/>
  <c r="AM33" i="30"/>
  <c r="AM34" i="30"/>
  <c r="AM35" i="30"/>
  <c r="AM36" i="30"/>
  <c r="AM37" i="30"/>
  <c r="AM38" i="30"/>
  <c r="AN8" i="30"/>
  <c r="AN9" i="30"/>
  <c r="AN10" i="30"/>
  <c r="AN11" i="30"/>
  <c r="AN12" i="30"/>
  <c r="AN13" i="30"/>
  <c r="AN14" i="30"/>
  <c r="AN15" i="30"/>
  <c r="AN16" i="30"/>
  <c r="AN17" i="30"/>
  <c r="AN18" i="30"/>
  <c r="AN19" i="30"/>
  <c r="AN20" i="30"/>
  <c r="AN21" i="30"/>
  <c r="AN22" i="30"/>
  <c r="AN23" i="30"/>
  <c r="AN24" i="30"/>
  <c r="AN25" i="30"/>
  <c r="AN26" i="30"/>
  <c r="AN27" i="30"/>
  <c r="AN28" i="30"/>
  <c r="AN29" i="30"/>
  <c r="AN30" i="30"/>
  <c r="AN31" i="30"/>
  <c r="AN32" i="30"/>
  <c r="AN33" i="30"/>
  <c r="AN34" i="30"/>
  <c r="AN35" i="30"/>
  <c r="AN36" i="30"/>
  <c r="AN37" i="30"/>
  <c r="AN38" i="30"/>
  <c r="AO8" i="30"/>
  <c r="AO9" i="30"/>
  <c r="AO10" i="30"/>
  <c r="AO11" i="30"/>
  <c r="AO12" i="30"/>
  <c r="AO13" i="30"/>
  <c r="AO14" i="30"/>
  <c r="AO15" i="30"/>
  <c r="AO16" i="30"/>
  <c r="AO17" i="30"/>
  <c r="AO18" i="30"/>
  <c r="AO19" i="30"/>
  <c r="AO20" i="30"/>
  <c r="AO21" i="30"/>
  <c r="AO22" i="30"/>
  <c r="AO23" i="30"/>
  <c r="AO24" i="30"/>
  <c r="AO25" i="30"/>
  <c r="AO26" i="30"/>
  <c r="AO27" i="30"/>
  <c r="AO28" i="30"/>
  <c r="AO29" i="30"/>
  <c r="AO30" i="30"/>
  <c r="AO31" i="30"/>
  <c r="AO32" i="30"/>
  <c r="AO33" i="30"/>
  <c r="AO34" i="30"/>
  <c r="AO35" i="30"/>
  <c r="AO36" i="30"/>
  <c r="AO37" i="30"/>
  <c r="AO38" i="30"/>
  <c r="AP8" i="30"/>
  <c r="AP9" i="30"/>
  <c r="AP10" i="30"/>
  <c r="AP11" i="30"/>
  <c r="AP12" i="30"/>
  <c r="AP13" i="30"/>
  <c r="AP14" i="30"/>
  <c r="AP15" i="30"/>
  <c r="AP16" i="30"/>
  <c r="AP17" i="30"/>
  <c r="AP18" i="30"/>
  <c r="AP19" i="30"/>
  <c r="AP20" i="30"/>
  <c r="AP21" i="30"/>
  <c r="AP22" i="30"/>
  <c r="AP23" i="30"/>
  <c r="AP24" i="30"/>
  <c r="AP25" i="30"/>
  <c r="AP26" i="30"/>
  <c r="AP27" i="30"/>
  <c r="AP28" i="30"/>
  <c r="AP29" i="30"/>
  <c r="AP30" i="30"/>
  <c r="AP31" i="30"/>
  <c r="AP32" i="30"/>
  <c r="AP33" i="30"/>
  <c r="AP34" i="30"/>
  <c r="AP35" i="30"/>
  <c r="AP36" i="30"/>
  <c r="AP37" i="30"/>
  <c r="AP38" i="30"/>
  <c r="AQ8" i="30"/>
  <c r="AQ9" i="30"/>
  <c r="AQ10" i="30"/>
  <c r="AQ11" i="30"/>
  <c r="AQ12" i="30"/>
  <c r="AQ13" i="30"/>
  <c r="AQ14" i="30"/>
  <c r="AQ15" i="30"/>
  <c r="AQ16" i="30"/>
  <c r="AQ17" i="30"/>
  <c r="AQ18" i="30"/>
  <c r="AQ19" i="30"/>
  <c r="AQ20" i="30"/>
  <c r="AQ21" i="30"/>
  <c r="AQ22" i="30"/>
  <c r="AQ23" i="30"/>
  <c r="AQ24" i="30"/>
  <c r="AQ25" i="30"/>
  <c r="AQ26" i="30"/>
  <c r="AQ27" i="30"/>
  <c r="AQ28" i="30"/>
  <c r="AQ29" i="30"/>
  <c r="AQ30" i="30"/>
  <c r="AQ31" i="30"/>
  <c r="AQ32" i="30"/>
  <c r="AQ33" i="30"/>
  <c r="AQ34" i="30"/>
  <c r="AQ35" i="30"/>
  <c r="AQ36" i="30"/>
  <c r="AQ37" i="30"/>
  <c r="AQ38" i="30"/>
  <c r="AR8" i="30"/>
  <c r="AR9" i="30"/>
  <c r="AR10" i="30"/>
  <c r="AR11" i="30"/>
  <c r="AR12" i="30"/>
  <c r="AR13" i="30"/>
  <c r="AR14" i="30"/>
  <c r="AR15" i="30"/>
  <c r="AR16" i="30"/>
  <c r="AR17" i="30"/>
  <c r="AR18" i="30"/>
  <c r="AR19" i="30"/>
  <c r="AR20" i="30"/>
  <c r="AR21" i="30"/>
  <c r="AR22" i="30"/>
  <c r="AR23" i="30"/>
  <c r="AR24" i="30"/>
  <c r="AR25" i="30"/>
  <c r="AR26" i="30"/>
  <c r="AR27" i="30"/>
  <c r="AR28" i="30"/>
  <c r="AR29" i="30"/>
  <c r="AR30" i="30"/>
  <c r="AR31" i="30"/>
  <c r="AR32" i="30"/>
  <c r="AR33" i="30"/>
  <c r="AR34" i="30"/>
  <c r="AR35" i="30"/>
  <c r="AR36" i="30"/>
  <c r="AR37" i="30"/>
  <c r="AR38" i="30"/>
  <c r="AS8" i="30"/>
  <c r="AS9" i="30"/>
  <c r="AS10" i="30"/>
  <c r="AS11" i="30"/>
  <c r="AS12" i="30"/>
  <c r="AS13" i="30"/>
  <c r="AS14" i="30"/>
  <c r="AS15" i="30"/>
  <c r="AS16" i="30"/>
  <c r="AS17" i="30"/>
  <c r="AS18" i="30"/>
  <c r="AS19" i="30"/>
  <c r="AS20" i="30"/>
  <c r="AS21" i="30"/>
  <c r="AS22" i="30"/>
  <c r="AS23" i="30"/>
  <c r="AS24" i="30"/>
  <c r="AS25" i="30"/>
  <c r="AS26" i="30"/>
  <c r="AS27" i="30"/>
  <c r="AS28" i="30"/>
  <c r="AS29" i="30"/>
  <c r="AS30" i="30"/>
  <c r="AS31" i="30"/>
  <c r="AS32" i="30"/>
  <c r="AS33" i="30"/>
  <c r="AS34" i="30"/>
  <c r="AS35" i="30"/>
  <c r="AS36" i="30"/>
  <c r="AS37" i="30"/>
  <c r="AS38" i="30"/>
  <c r="AT8" i="30"/>
  <c r="AT9" i="30"/>
  <c r="AT10" i="30"/>
  <c r="AT11" i="30"/>
  <c r="AT12" i="30"/>
  <c r="AT13" i="30"/>
  <c r="AT14" i="30"/>
  <c r="AT15" i="30"/>
  <c r="AT16" i="30"/>
  <c r="AT17" i="30"/>
  <c r="AT18" i="30"/>
  <c r="AT19" i="30"/>
  <c r="AT20" i="30"/>
  <c r="AT21" i="30"/>
  <c r="AT22" i="30"/>
  <c r="AT23" i="30"/>
  <c r="AT24" i="30"/>
  <c r="AT25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U8" i="30"/>
  <c r="AU9" i="30"/>
  <c r="AU10" i="30"/>
  <c r="AU11" i="30"/>
  <c r="AU12" i="30"/>
  <c r="AU13" i="30"/>
  <c r="AU14" i="30"/>
  <c r="AU15" i="30"/>
  <c r="AU16" i="30"/>
  <c r="AU17" i="30"/>
  <c r="AU18" i="30"/>
  <c r="AU19" i="30"/>
  <c r="AU20" i="30"/>
  <c r="AU21" i="30"/>
  <c r="AU22" i="30"/>
  <c r="AU23" i="30"/>
  <c r="AU24" i="30"/>
  <c r="AU25" i="30"/>
  <c r="AU26" i="30"/>
  <c r="AU27" i="30"/>
  <c r="AU28" i="30"/>
  <c r="AU29" i="30"/>
  <c r="AU30" i="30"/>
  <c r="AU31" i="30"/>
  <c r="AU32" i="30"/>
  <c r="AU33" i="30"/>
  <c r="AU34" i="30"/>
  <c r="AU35" i="30"/>
  <c r="AU36" i="30"/>
  <c r="AU37" i="30"/>
  <c r="AU38" i="30"/>
  <c r="AV8" i="30"/>
  <c r="AV9" i="30"/>
  <c r="AV10" i="30"/>
  <c r="AV11" i="30"/>
  <c r="AV12" i="30"/>
  <c r="AV13" i="30"/>
  <c r="AV14" i="30"/>
  <c r="AV15" i="30"/>
  <c r="AV16" i="30"/>
  <c r="AV17" i="30"/>
  <c r="AV18" i="30"/>
  <c r="AV19" i="30"/>
  <c r="AV20" i="30"/>
  <c r="AV21" i="30"/>
  <c r="AV22" i="30"/>
  <c r="AV23" i="30"/>
  <c r="AV24" i="30"/>
  <c r="AV25" i="30"/>
  <c r="AV26" i="30"/>
  <c r="AV27" i="30"/>
  <c r="AV28" i="30"/>
  <c r="AV29" i="30"/>
  <c r="AV30" i="30"/>
  <c r="AV31" i="30"/>
  <c r="AV32" i="30"/>
  <c r="AV33" i="30"/>
  <c r="AV34" i="30"/>
  <c r="AV35" i="30"/>
  <c r="AV36" i="30"/>
  <c r="AV37" i="30"/>
  <c r="AV38" i="30"/>
  <c r="AW8" i="30"/>
  <c r="AW9" i="30"/>
  <c r="AW10" i="30"/>
  <c r="AW11" i="30"/>
  <c r="AW12" i="30"/>
  <c r="AW13" i="30"/>
  <c r="AW14" i="30"/>
  <c r="AW15" i="30"/>
  <c r="AW16" i="30"/>
  <c r="AW17" i="30"/>
  <c r="AW18" i="30"/>
  <c r="AW19" i="30"/>
  <c r="AW20" i="30"/>
  <c r="AW21" i="30"/>
  <c r="AW22" i="30"/>
  <c r="AW23" i="30"/>
  <c r="AW24" i="30"/>
  <c r="AW25" i="30"/>
  <c r="AW26" i="30"/>
  <c r="AW27" i="30"/>
  <c r="AW28" i="30"/>
  <c r="AW29" i="30"/>
  <c r="AW30" i="30"/>
  <c r="AW31" i="30"/>
  <c r="AW32" i="30"/>
  <c r="AW33" i="30"/>
  <c r="AW34" i="30"/>
  <c r="AW35" i="30"/>
  <c r="AW36" i="30"/>
  <c r="AW37" i="30"/>
  <c r="AW38" i="30"/>
  <c r="AX8" i="30"/>
  <c r="AX9" i="30"/>
  <c r="AX10" i="30"/>
  <c r="AX11" i="30"/>
  <c r="AX12" i="30"/>
  <c r="AX13" i="30"/>
  <c r="AX14" i="30"/>
  <c r="AX15" i="30"/>
  <c r="AX16" i="30"/>
  <c r="AX17" i="30"/>
  <c r="AX18" i="30"/>
  <c r="AX19" i="30"/>
  <c r="AX20" i="30"/>
  <c r="AX21" i="30"/>
  <c r="AX22" i="30"/>
  <c r="AX23" i="30"/>
  <c r="AX24" i="30"/>
  <c r="AX25" i="30"/>
  <c r="AX26" i="30"/>
  <c r="AX27" i="30"/>
  <c r="AX28" i="30"/>
  <c r="AX29" i="30"/>
  <c r="AX30" i="30"/>
  <c r="AX31" i="30"/>
  <c r="AX32" i="30"/>
  <c r="AX33" i="30"/>
  <c r="AX34" i="30"/>
  <c r="AX35" i="30"/>
  <c r="AX36" i="30"/>
  <c r="AX37" i="30"/>
  <c r="AX38" i="30"/>
  <c r="AY8" i="30"/>
  <c r="AY9" i="30"/>
  <c r="AY10" i="30"/>
  <c r="AY11" i="30"/>
  <c r="AY12" i="30"/>
  <c r="AY13" i="30"/>
  <c r="AY14" i="30"/>
  <c r="AY15" i="30"/>
  <c r="AY16" i="30"/>
  <c r="AY17" i="30"/>
  <c r="AY18" i="30"/>
  <c r="AY19" i="30"/>
  <c r="AY20" i="30"/>
  <c r="AY21" i="30"/>
  <c r="AY22" i="30"/>
  <c r="AY23" i="30"/>
  <c r="AY24" i="30"/>
  <c r="AY25" i="30"/>
  <c r="AY26" i="30"/>
  <c r="AY27" i="30"/>
  <c r="AY28" i="30"/>
  <c r="AY29" i="30"/>
  <c r="AY30" i="30"/>
  <c r="AY31" i="30"/>
  <c r="AY32" i="30"/>
  <c r="AY33" i="30"/>
  <c r="AY34" i="30"/>
  <c r="AY35" i="30"/>
  <c r="AY36" i="30"/>
  <c r="AY37" i="30"/>
  <c r="AY38" i="30"/>
  <c r="AZ8" i="30"/>
  <c r="AZ9" i="30"/>
  <c r="AZ10" i="30"/>
  <c r="AZ11" i="30"/>
  <c r="AZ12" i="30"/>
  <c r="AZ13" i="30"/>
  <c r="AZ14" i="30"/>
  <c r="AZ15" i="30"/>
  <c r="AZ16" i="30"/>
  <c r="AZ17" i="30"/>
  <c r="AZ18" i="30"/>
  <c r="AZ19" i="30"/>
  <c r="AZ20" i="30"/>
  <c r="AZ21" i="30"/>
  <c r="AZ22" i="30"/>
  <c r="AZ23" i="30"/>
  <c r="AZ24" i="30"/>
  <c r="AZ25" i="30"/>
  <c r="AZ26" i="30"/>
  <c r="AZ27" i="30"/>
  <c r="AZ28" i="30"/>
  <c r="AZ29" i="30"/>
  <c r="AZ30" i="30"/>
  <c r="AZ31" i="30"/>
  <c r="AZ32" i="30"/>
  <c r="AZ33" i="30"/>
  <c r="AZ34" i="30"/>
  <c r="AZ35" i="30"/>
  <c r="AZ36" i="30"/>
  <c r="AZ37" i="30"/>
  <c r="AZ38" i="30"/>
  <c r="BA8" i="30"/>
  <c r="BA9" i="30"/>
  <c r="BA10" i="30"/>
  <c r="BA11" i="30"/>
  <c r="BA12" i="30"/>
  <c r="BA13" i="30"/>
  <c r="BA14" i="30"/>
  <c r="BA15" i="30"/>
  <c r="BA16" i="30"/>
  <c r="BA17" i="30"/>
  <c r="BA18" i="30"/>
  <c r="BA19" i="30"/>
  <c r="BA20" i="30"/>
  <c r="BA21" i="30"/>
  <c r="BA22" i="30"/>
  <c r="BA23" i="30"/>
  <c r="BA24" i="30"/>
  <c r="BA25" i="30"/>
  <c r="BA26" i="30"/>
  <c r="BA27" i="30"/>
  <c r="BA28" i="30"/>
  <c r="BA29" i="30"/>
  <c r="BA30" i="30"/>
  <c r="BA31" i="30"/>
  <c r="BA32" i="30"/>
  <c r="BA33" i="30"/>
  <c r="BA34" i="30"/>
  <c r="BA35" i="30"/>
  <c r="BA36" i="30"/>
  <c r="BA37" i="30"/>
  <c r="BA38" i="30"/>
  <c r="BB8" i="30"/>
  <c r="BB9" i="30"/>
  <c r="BB10" i="30"/>
  <c r="BB11" i="30"/>
  <c r="BB12" i="30"/>
  <c r="BB13" i="30"/>
  <c r="BB14" i="30"/>
  <c r="BB15" i="30"/>
  <c r="BB16" i="30"/>
  <c r="BB17" i="30"/>
  <c r="BB18" i="30"/>
  <c r="BB19" i="30"/>
  <c r="BB20" i="30"/>
  <c r="BB21" i="30"/>
  <c r="BB22" i="30"/>
  <c r="BB23" i="30"/>
  <c r="BB24" i="30"/>
  <c r="BB25" i="30"/>
  <c r="BB26" i="30"/>
  <c r="BB27" i="30"/>
  <c r="BB28" i="30"/>
  <c r="BB29" i="30"/>
  <c r="BB30" i="30"/>
  <c r="BB31" i="30"/>
  <c r="BB32" i="30"/>
  <c r="BB33" i="30"/>
  <c r="BB34" i="30"/>
  <c r="BB35" i="30"/>
  <c r="BB36" i="30"/>
  <c r="BB37" i="30"/>
  <c r="BB38" i="30"/>
  <c r="BC8" i="30"/>
  <c r="BC9" i="30"/>
  <c r="BC10" i="30"/>
  <c r="BC11" i="30"/>
  <c r="BC12" i="30"/>
  <c r="BC13" i="30"/>
  <c r="BC14" i="30"/>
  <c r="BC15" i="30"/>
  <c r="BC16" i="30"/>
  <c r="BC17" i="30"/>
  <c r="BC18" i="30"/>
  <c r="BC19" i="30"/>
  <c r="BC20" i="30"/>
  <c r="BC21" i="30"/>
  <c r="BC22" i="30"/>
  <c r="BC23" i="30"/>
  <c r="BC24" i="30"/>
  <c r="BC25" i="30"/>
  <c r="BC26" i="30"/>
  <c r="BC27" i="30"/>
  <c r="BC28" i="30"/>
  <c r="BC29" i="30"/>
  <c r="BC30" i="30"/>
  <c r="BC31" i="30"/>
  <c r="BC32" i="30"/>
  <c r="BC33" i="30"/>
  <c r="BC34" i="30"/>
  <c r="BC35" i="30"/>
  <c r="BC36" i="30"/>
  <c r="BC37" i="30"/>
  <c r="BC38" i="30"/>
  <c r="BD8" i="30"/>
  <c r="BD9" i="30"/>
  <c r="BD10" i="30"/>
  <c r="BD11" i="30"/>
  <c r="BD12" i="30"/>
  <c r="BD13" i="30"/>
  <c r="BD14" i="30"/>
  <c r="BD15" i="30"/>
  <c r="BD16" i="30"/>
  <c r="BD17" i="30"/>
  <c r="BD18" i="30"/>
  <c r="BD19" i="30"/>
  <c r="BD20" i="30"/>
  <c r="BD21" i="30"/>
  <c r="BD22" i="30"/>
  <c r="BD23" i="30"/>
  <c r="BD24" i="30"/>
  <c r="BD25" i="30"/>
  <c r="BD26" i="30"/>
  <c r="BD27" i="30"/>
  <c r="BD28" i="30"/>
  <c r="BD29" i="30"/>
  <c r="BD30" i="30"/>
  <c r="BD31" i="30"/>
  <c r="BD32" i="30"/>
  <c r="BD33" i="30"/>
  <c r="BD34" i="30"/>
  <c r="BD35" i="30"/>
  <c r="BD36" i="30"/>
  <c r="BD37" i="30"/>
  <c r="BD38" i="30"/>
  <c r="BE8" i="30"/>
  <c r="BE9" i="30"/>
  <c r="BE10" i="30"/>
  <c r="BE11" i="30"/>
  <c r="BE12" i="30"/>
  <c r="BE13" i="30"/>
  <c r="BE14" i="30"/>
  <c r="BE15" i="30"/>
  <c r="BE16" i="30"/>
  <c r="BE17" i="30"/>
  <c r="BE18" i="30"/>
  <c r="BE19" i="30"/>
  <c r="BE20" i="30"/>
  <c r="BE21" i="30"/>
  <c r="BE22" i="30"/>
  <c r="BE23" i="30"/>
  <c r="BE24" i="30"/>
  <c r="BE25" i="30"/>
  <c r="BE26" i="30"/>
  <c r="BE27" i="30"/>
  <c r="BE28" i="30"/>
  <c r="BE29" i="30"/>
  <c r="BE30" i="30"/>
  <c r="BE31" i="30"/>
  <c r="BE32" i="30"/>
  <c r="BE33" i="30"/>
  <c r="BE34" i="30"/>
  <c r="BE35" i="30"/>
  <c r="BE36" i="30"/>
  <c r="BE37" i="30"/>
  <c r="BE38" i="30"/>
  <c r="BF8" i="30"/>
  <c r="BF9" i="30"/>
  <c r="BF10" i="30"/>
  <c r="BF11" i="30"/>
  <c r="BF12" i="30"/>
  <c r="BF13" i="30"/>
  <c r="BF14" i="30"/>
  <c r="BF15" i="30"/>
  <c r="BF16" i="30"/>
  <c r="BF17" i="30"/>
  <c r="BF18" i="30"/>
  <c r="BF19" i="30"/>
  <c r="BF20" i="30"/>
  <c r="BF21" i="30"/>
  <c r="BF22" i="30"/>
  <c r="BF23" i="30"/>
  <c r="BF24" i="30"/>
  <c r="BF25" i="30"/>
  <c r="BF26" i="30"/>
  <c r="BF27" i="30"/>
  <c r="BF28" i="30"/>
  <c r="BF29" i="30"/>
  <c r="BF30" i="30"/>
  <c r="BF31" i="30"/>
  <c r="BF32" i="30"/>
  <c r="BF33" i="30"/>
  <c r="BF34" i="30"/>
  <c r="BF35" i="30"/>
  <c r="BF36" i="30"/>
  <c r="BF37" i="30"/>
  <c r="BF38" i="30"/>
  <c r="BG8" i="30"/>
  <c r="BG9" i="30"/>
  <c r="BG10" i="30"/>
  <c r="BG11" i="30"/>
  <c r="BG12" i="30"/>
  <c r="BG13" i="30"/>
  <c r="BG14" i="30"/>
  <c r="BG15" i="30"/>
  <c r="BG16" i="30"/>
  <c r="BG17" i="30"/>
  <c r="BG18" i="30"/>
  <c r="BG19" i="30"/>
  <c r="BG20" i="30"/>
  <c r="BG21" i="30"/>
  <c r="BG22" i="30"/>
  <c r="BG23" i="30"/>
  <c r="BG24" i="30"/>
  <c r="BG25" i="30"/>
  <c r="BG26" i="30"/>
  <c r="BG27" i="30"/>
  <c r="BG28" i="30"/>
  <c r="BG29" i="30"/>
  <c r="BG30" i="30"/>
  <c r="BG31" i="30"/>
  <c r="BG32" i="30"/>
  <c r="BG33" i="30"/>
  <c r="BG34" i="30"/>
  <c r="BG35" i="30"/>
  <c r="BG36" i="30"/>
  <c r="BG37" i="30"/>
  <c r="BG38" i="30"/>
  <c r="BH8" i="30"/>
  <c r="BH9" i="30"/>
  <c r="BH10" i="30"/>
  <c r="BH11" i="30"/>
  <c r="BH12" i="30"/>
  <c r="BH13" i="30"/>
  <c r="BH14" i="30"/>
  <c r="BH15" i="30"/>
  <c r="BH16" i="30"/>
  <c r="BH17" i="30"/>
  <c r="BH18" i="30"/>
  <c r="BH19" i="30"/>
  <c r="BH20" i="30"/>
  <c r="BH21" i="30"/>
  <c r="BH22" i="30"/>
  <c r="BH23" i="30"/>
  <c r="BH24" i="30"/>
  <c r="BH25" i="30"/>
  <c r="BH26" i="30"/>
  <c r="BH27" i="30"/>
  <c r="BH28" i="30"/>
  <c r="BH29" i="30"/>
  <c r="BH30" i="30"/>
  <c r="BH31" i="30"/>
  <c r="BH32" i="30"/>
  <c r="BH33" i="30"/>
  <c r="BH34" i="30"/>
  <c r="BH35" i="30"/>
  <c r="BH36" i="30"/>
  <c r="BH37" i="30"/>
  <c r="BH38" i="30"/>
  <c r="BI8" i="30"/>
  <c r="BI9" i="30"/>
  <c r="BI10" i="30"/>
  <c r="BI11" i="30"/>
  <c r="BI12" i="30"/>
  <c r="BI13" i="30"/>
  <c r="BI14" i="30"/>
  <c r="BI15" i="30"/>
  <c r="BI16" i="30"/>
  <c r="BI17" i="30"/>
  <c r="BI18" i="30"/>
  <c r="BI19" i="30"/>
  <c r="BI20" i="30"/>
  <c r="BI21" i="30"/>
  <c r="BI22" i="30"/>
  <c r="BI23" i="30"/>
  <c r="BI24" i="30"/>
  <c r="BI25" i="30"/>
  <c r="BI26" i="30"/>
  <c r="BI27" i="30"/>
  <c r="BI28" i="30"/>
  <c r="BI29" i="30"/>
  <c r="BI30" i="30"/>
  <c r="BI31" i="30"/>
  <c r="BI32" i="30"/>
  <c r="BI33" i="30"/>
  <c r="BI34" i="30"/>
  <c r="BI35" i="30"/>
  <c r="BI36" i="30"/>
  <c r="BI37" i="30"/>
  <c r="BI38" i="30"/>
  <c r="BJ8" i="30"/>
  <c r="BJ9" i="30"/>
  <c r="BJ10" i="30"/>
  <c r="BJ11" i="30"/>
  <c r="BJ12" i="30"/>
  <c r="BJ13" i="30"/>
  <c r="BJ14" i="30"/>
  <c r="BJ15" i="30"/>
  <c r="BJ16" i="30"/>
  <c r="BJ17" i="30"/>
  <c r="BJ18" i="30"/>
  <c r="BJ19" i="30"/>
  <c r="BJ20" i="30"/>
  <c r="BJ21" i="30"/>
  <c r="BJ22" i="30"/>
  <c r="BJ23" i="30"/>
  <c r="BJ24" i="30"/>
  <c r="BJ25" i="30"/>
  <c r="BJ26" i="30"/>
  <c r="BJ27" i="30"/>
  <c r="BJ28" i="30"/>
  <c r="BJ29" i="30"/>
  <c r="BJ30" i="30"/>
  <c r="BJ31" i="30"/>
  <c r="BJ32" i="30"/>
  <c r="BJ33" i="30"/>
  <c r="BJ34" i="30"/>
  <c r="BJ35" i="30"/>
  <c r="BJ36" i="30"/>
  <c r="BJ37" i="30"/>
  <c r="BJ38" i="30"/>
  <c r="BK8" i="30"/>
  <c r="BK9" i="30"/>
  <c r="BK10" i="30"/>
  <c r="BK11" i="30"/>
  <c r="BK12" i="30"/>
  <c r="BK13" i="30"/>
  <c r="BK14" i="30"/>
  <c r="BK15" i="30"/>
  <c r="BK16" i="30"/>
  <c r="BK17" i="30"/>
  <c r="BK18" i="30"/>
  <c r="BK19" i="30"/>
  <c r="BK20" i="30"/>
  <c r="BK21" i="30"/>
  <c r="BK22" i="30"/>
  <c r="BK23" i="30"/>
  <c r="BK24" i="30"/>
  <c r="BK25" i="30"/>
  <c r="BK26" i="30"/>
  <c r="BK27" i="30"/>
  <c r="BK28" i="30"/>
  <c r="BK29" i="30"/>
  <c r="BK30" i="30"/>
  <c r="BK31" i="30"/>
  <c r="BK32" i="30"/>
  <c r="BK33" i="30"/>
  <c r="BK34" i="30"/>
  <c r="BK35" i="30"/>
  <c r="BK36" i="30"/>
  <c r="BK37" i="30"/>
  <c r="BK38" i="30"/>
  <c r="DG13" i="30"/>
  <c r="DG6" i="30"/>
  <c r="DG7" i="30"/>
  <c r="DG8" i="30"/>
  <c r="DG9" i="30"/>
  <c r="DG10" i="30"/>
  <c r="DG11" i="30"/>
  <c r="DG12" i="30"/>
  <c r="DG14" i="30"/>
  <c r="DG15" i="30"/>
  <c r="DG5" i="30"/>
  <c r="CD11" i="13"/>
  <c r="DG5" i="29"/>
  <c r="DG6" i="29"/>
  <c r="DG7" i="29"/>
  <c r="DG8" i="29"/>
  <c r="DG9" i="29"/>
  <c r="DG10" i="29"/>
  <c r="DG11" i="29"/>
  <c r="DG12" i="29"/>
  <c r="DG13" i="29"/>
  <c r="DG14" i="29"/>
  <c r="DG15" i="29"/>
  <c r="DG6" i="28"/>
  <c r="DG8" i="28"/>
  <c r="DG9" i="28"/>
  <c r="DG5" i="28"/>
  <c r="DG7" i="28"/>
  <c r="DG10" i="28"/>
  <c r="DG11" i="28"/>
  <c r="DG12" i="28"/>
  <c r="DG13" i="28"/>
  <c r="DG14" i="28"/>
  <c r="DG15" i="28"/>
  <c r="AH8" i="34"/>
  <c r="AH9" i="34"/>
  <c r="AH10" i="34"/>
  <c r="AH11" i="34"/>
  <c r="AH12" i="34"/>
  <c r="AH13" i="34"/>
  <c r="AH14" i="34"/>
  <c r="AH15" i="34"/>
  <c r="AH16" i="34"/>
  <c r="AH17" i="34"/>
  <c r="AH18" i="34"/>
  <c r="AH19" i="34"/>
  <c r="AH20" i="34"/>
  <c r="AH21" i="34"/>
  <c r="AH22" i="34"/>
  <c r="AH23" i="34"/>
  <c r="AH24" i="34"/>
  <c r="AH25" i="34"/>
  <c r="AH26" i="34"/>
  <c r="AH27" i="34"/>
  <c r="AH28" i="34"/>
  <c r="AH29" i="34"/>
  <c r="AH30" i="34"/>
  <c r="AH31" i="34"/>
  <c r="AH32" i="34"/>
  <c r="AH33" i="34"/>
  <c r="AH34" i="34"/>
  <c r="AH35" i="34"/>
  <c r="AH36" i="34"/>
  <c r="AH37" i="34"/>
  <c r="AH38" i="34"/>
  <c r="AI8" i="34"/>
  <c r="AI9" i="34"/>
  <c r="AI10" i="34"/>
  <c r="AI11" i="34"/>
  <c r="AI12" i="34"/>
  <c r="AI13" i="34"/>
  <c r="AI14" i="34"/>
  <c r="AI15" i="34"/>
  <c r="AI16" i="34"/>
  <c r="AI17" i="34"/>
  <c r="AI18" i="34"/>
  <c r="AI19" i="34"/>
  <c r="AI20" i="34"/>
  <c r="AI21" i="34"/>
  <c r="AI22" i="34"/>
  <c r="AI23" i="34"/>
  <c r="AI24" i="34"/>
  <c r="AI25" i="34"/>
  <c r="AI26" i="34"/>
  <c r="AI27" i="34"/>
  <c r="AI28" i="34"/>
  <c r="AI29" i="34"/>
  <c r="AI30" i="34"/>
  <c r="AI31" i="34"/>
  <c r="AI32" i="34"/>
  <c r="AI33" i="34"/>
  <c r="AI34" i="34"/>
  <c r="AI35" i="34"/>
  <c r="AI36" i="34"/>
  <c r="AI37" i="34"/>
  <c r="AI38" i="34"/>
  <c r="AJ8" i="34"/>
  <c r="AJ9" i="34"/>
  <c r="AJ10" i="34"/>
  <c r="AJ11" i="34"/>
  <c r="AJ12" i="34"/>
  <c r="AJ13" i="34"/>
  <c r="AJ14" i="34"/>
  <c r="AJ15" i="34"/>
  <c r="AJ16" i="34"/>
  <c r="AJ17" i="34"/>
  <c r="AJ18" i="34"/>
  <c r="AJ19" i="34"/>
  <c r="AJ20" i="34"/>
  <c r="AJ21" i="34"/>
  <c r="AJ22" i="34"/>
  <c r="AJ23" i="34"/>
  <c r="AJ24" i="34"/>
  <c r="AJ25" i="34"/>
  <c r="AJ26" i="34"/>
  <c r="AJ27" i="34"/>
  <c r="AJ28" i="34"/>
  <c r="AJ29" i="34"/>
  <c r="AJ30" i="34"/>
  <c r="AJ31" i="34"/>
  <c r="AJ32" i="34"/>
  <c r="AJ33" i="34"/>
  <c r="AJ34" i="34"/>
  <c r="AJ35" i="34"/>
  <c r="AJ36" i="34"/>
  <c r="AJ37" i="34"/>
  <c r="AJ38" i="34"/>
  <c r="AK8" i="34"/>
  <c r="AK9" i="34"/>
  <c r="AK10" i="34"/>
  <c r="AK11" i="34"/>
  <c r="AK12" i="34"/>
  <c r="AK13" i="34"/>
  <c r="AK14" i="34"/>
  <c r="AK15" i="34"/>
  <c r="AK16" i="34"/>
  <c r="AK17" i="34"/>
  <c r="AK18" i="34"/>
  <c r="AK19" i="34"/>
  <c r="AK20" i="34"/>
  <c r="AK21" i="34"/>
  <c r="AK22" i="34"/>
  <c r="AK23" i="34"/>
  <c r="AK24" i="34"/>
  <c r="AK25" i="34"/>
  <c r="AK26" i="34"/>
  <c r="AK27" i="34"/>
  <c r="AK28" i="34"/>
  <c r="AK29" i="34"/>
  <c r="AK30" i="34"/>
  <c r="AK31" i="34"/>
  <c r="AK32" i="34"/>
  <c r="AK33" i="34"/>
  <c r="AK34" i="34"/>
  <c r="AK35" i="34"/>
  <c r="AK36" i="34"/>
  <c r="AK37" i="34"/>
  <c r="AK38" i="34"/>
  <c r="AL8" i="34"/>
  <c r="AL9" i="34"/>
  <c r="AL10" i="34"/>
  <c r="AL11" i="34"/>
  <c r="AL12" i="34"/>
  <c r="AL13" i="34"/>
  <c r="AL14" i="34"/>
  <c r="AL15" i="34"/>
  <c r="AL16" i="34"/>
  <c r="AL17" i="34"/>
  <c r="AL18" i="34"/>
  <c r="AL19" i="34"/>
  <c r="AL20" i="34"/>
  <c r="AL21" i="34"/>
  <c r="AL22" i="34"/>
  <c r="AL23" i="34"/>
  <c r="AL24" i="34"/>
  <c r="AL25" i="34"/>
  <c r="AL26" i="34"/>
  <c r="AL27" i="34"/>
  <c r="AL28" i="34"/>
  <c r="AL29" i="34"/>
  <c r="AL30" i="34"/>
  <c r="AL31" i="34"/>
  <c r="AL32" i="34"/>
  <c r="AL33" i="34"/>
  <c r="AL34" i="34"/>
  <c r="AL35" i="34"/>
  <c r="AL36" i="34"/>
  <c r="AL37" i="34"/>
  <c r="AL38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O8" i="34"/>
  <c r="AO9" i="34"/>
  <c r="AO10" i="34"/>
  <c r="AO11" i="34"/>
  <c r="AO12" i="34"/>
  <c r="AO13" i="34"/>
  <c r="AO14" i="34"/>
  <c r="AO15" i="34"/>
  <c r="AO16" i="34"/>
  <c r="AO17" i="34"/>
  <c r="AO18" i="34"/>
  <c r="AO19" i="34"/>
  <c r="AO20" i="34"/>
  <c r="AO21" i="34"/>
  <c r="AO22" i="34"/>
  <c r="AO23" i="34"/>
  <c r="AO24" i="34"/>
  <c r="AO25" i="34"/>
  <c r="AO26" i="34"/>
  <c r="AO27" i="34"/>
  <c r="AO28" i="34"/>
  <c r="AO29" i="34"/>
  <c r="AO30" i="34"/>
  <c r="AO31" i="34"/>
  <c r="AO32" i="34"/>
  <c r="AO33" i="34"/>
  <c r="AO34" i="34"/>
  <c r="AO35" i="34"/>
  <c r="AO36" i="34"/>
  <c r="AO37" i="34"/>
  <c r="AO38" i="34"/>
  <c r="AP8" i="34"/>
  <c r="AP9" i="34"/>
  <c r="AP10" i="34"/>
  <c r="AP11" i="34"/>
  <c r="AP12" i="34"/>
  <c r="AP13" i="34"/>
  <c r="AP14" i="34"/>
  <c r="AP15" i="34"/>
  <c r="AP16" i="34"/>
  <c r="AP17" i="34"/>
  <c r="AP18" i="34"/>
  <c r="AP19" i="34"/>
  <c r="AP20" i="34"/>
  <c r="AP21" i="34"/>
  <c r="AP22" i="34"/>
  <c r="AP23" i="34"/>
  <c r="AP24" i="34"/>
  <c r="AP25" i="34"/>
  <c r="AP26" i="34"/>
  <c r="AP27" i="34"/>
  <c r="AP28" i="34"/>
  <c r="AP29" i="34"/>
  <c r="AP30" i="34"/>
  <c r="AP31" i="34"/>
  <c r="AP32" i="34"/>
  <c r="AP33" i="34"/>
  <c r="AP34" i="34"/>
  <c r="AP35" i="34"/>
  <c r="AP36" i="34"/>
  <c r="AP37" i="34"/>
  <c r="AP38" i="34"/>
  <c r="AQ8" i="34"/>
  <c r="AQ9" i="34"/>
  <c r="AQ10" i="34"/>
  <c r="AQ11" i="34"/>
  <c r="AQ12" i="34"/>
  <c r="AQ13" i="34"/>
  <c r="AQ14" i="34"/>
  <c r="AQ15" i="34"/>
  <c r="AQ16" i="34"/>
  <c r="AQ17" i="34"/>
  <c r="AQ18" i="34"/>
  <c r="AQ19" i="34"/>
  <c r="AQ20" i="34"/>
  <c r="AQ21" i="34"/>
  <c r="AQ22" i="34"/>
  <c r="AQ23" i="34"/>
  <c r="AQ24" i="34"/>
  <c r="AQ25" i="34"/>
  <c r="AQ26" i="34"/>
  <c r="AQ27" i="34"/>
  <c r="AQ28" i="34"/>
  <c r="AQ29" i="34"/>
  <c r="AQ30" i="34"/>
  <c r="AQ31" i="34"/>
  <c r="AQ32" i="34"/>
  <c r="AQ33" i="34"/>
  <c r="AQ34" i="34"/>
  <c r="AQ35" i="34"/>
  <c r="AQ36" i="34"/>
  <c r="AQ37" i="34"/>
  <c r="AQ38" i="34"/>
  <c r="AR8" i="34"/>
  <c r="AR9" i="34"/>
  <c r="AR10" i="34"/>
  <c r="AR11" i="34"/>
  <c r="AR12" i="34"/>
  <c r="AR13" i="34"/>
  <c r="AR14" i="34"/>
  <c r="AR15" i="34"/>
  <c r="AR16" i="34"/>
  <c r="AR17" i="34"/>
  <c r="AR18" i="34"/>
  <c r="AR19" i="34"/>
  <c r="AR20" i="34"/>
  <c r="AR21" i="34"/>
  <c r="AR22" i="34"/>
  <c r="AR23" i="34"/>
  <c r="AR24" i="34"/>
  <c r="AR25" i="34"/>
  <c r="AR26" i="34"/>
  <c r="AR27" i="34"/>
  <c r="AR28" i="34"/>
  <c r="AR29" i="34"/>
  <c r="AR30" i="34"/>
  <c r="AR31" i="34"/>
  <c r="AR32" i="34"/>
  <c r="AR33" i="34"/>
  <c r="AR34" i="34"/>
  <c r="AR35" i="34"/>
  <c r="AR36" i="34"/>
  <c r="AR37" i="34"/>
  <c r="AR38" i="34"/>
  <c r="AS8" i="34"/>
  <c r="AS9" i="34"/>
  <c r="AS10" i="34"/>
  <c r="AS11" i="34"/>
  <c r="AS12" i="34"/>
  <c r="AS13" i="34"/>
  <c r="AS14" i="34"/>
  <c r="AS15" i="34"/>
  <c r="AS16" i="34"/>
  <c r="AS17" i="34"/>
  <c r="AS18" i="34"/>
  <c r="AS19" i="34"/>
  <c r="AS20" i="34"/>
  <c r="AS21" i="34"/>
  <c r="AS22" i="34"/>
  <c r="AS23" i="34"/>
  <c r="AS24" i="34"/>
  <c r="AS25" i="34"/>
  <c r="AS26" i="34"/>
  <c r="AS27" i="34"/>
  <c r="AS28" i="34"/>
  <c r="AS29" i="34"/>
  <c r="AS30" i="34"/>
  <c r="AS31" i="34"/>
  <c r="AS32" i="34"/>
  <c r="AS33" i="34"/>
  <c r="AS34" i="34"/>
  <c r="AS35" i="34"/>
  <c r="AS36" i="34"/>
  <c r="AS37" i="34"/>
  <c r="AS38" i="34"/>
  <c r="AT8" i="34"/>
  <c r="AT9" i="34"/>
  <c r="AT10" i="34"/>
  <c r="AT11" i="34"/>
  <c r="AT12" i="34"/>
  <c r="AT13" i="34"/>
  <c r="AT14" i="34"/>
  <c r="AT15" i="34"/>
  <c r="AT16" i="34"/>
  <c r="AT17" i="34"/>
  <c r="AT18" i="34"/>
  <c r="AT19" i="34"/>
  <c r="AT20" i="34"/>
  <c r="AT21" i="34"/>
  <c r="AT22" i="34"/>
  <c r="AT23" i="34"/>
  <c r="AT24" i="34"/>
  <c r="AT25" i="34"/>
  <c r="AT26" i="34"/>
  <c r="AT27" i="34"/>
  <c r="AT28" i="34"/>
  <c r="AT29" i="34"/>
  <c r="AT30" i="34"/>
  <c r="AT31" i="34"/>
  <c r="AT32" i="34"/>
  <c r="AT33" i="34"/>
  <c r="AT34" i="34"/>
  <c r="AT35" i="34"/>
  <c r="AT36" i="34"/>
  <c r="AT37" i="34"/>
  <c r="AT38" i="34"/>
  <c r="AU8" i="34"/>
  <c r="AU9" i="34"/>
  <c r="AU10" i="34"/>
  <c r="AU11" i="34"/>
  <c r="AU12" i="34"/>
  <c r="AU13" i="34"/>
  <c r="AU14" i="34"/>
  <c r="AU15" i="34"/>
  <c r="AU16" i="34"/>
  <c r="AU17" i="34"/>
  <c r="AU18" i="34"/>
  <c r="AU19" i="34"/>
  <c r="AU20" i="34"/>
  <c r="AU21" i="34"/>
  <c r="AU22" i="34"/>
  <c r="AU23" i="34"/>
  <c r="AU24" i="34"/>
  <c r="AU25" i="34"/>
  <c r="AU26" i="34"/>
  <c r="AU27" i="34"/>
  <c r="AU28" i="34"/>
  <c r="AU29" i="34"/>
  <c r="AU30" i="34"/>
  <c r="AU31" i="34"/>
  <c r="AU32" i="34"/>
  <c r="AU33" i="34"/>
  <c r="AU34" i="34"/>
  <c r="AU35" i="34"/>
  <c r="AU36" i="34"/>
  <c r="AU37" i="34"/>
  <c r="AU38" i="34"/>
  <c r="AV8" i="34"/>
  <c r="AV9" i="34"/>
  <c r="AV10" i="34"/>
  <c r="AV11" i="34"/>
  <c r="AV12" i="34"/>
  <c r="AV13" i="34"/>
  <c r="AV14" i="34"/>
  <c r="AV15" i="34"/>
  <c r="AV16" i="34"/>
  <c r="AV17" i="34"/>
  <c r="AV18" i="34"/>
  <c r="AV19" i="34"/>
  <c r="AV20" i="34"/>
  <c r="AV21" i="34"/>
  <c r="AV22" i="34"/>
  <c r="AV23" i="34"/>
  <c r="AV24" i="34"/>
  <c r="AV25" i="34"/>
  <c r="AV26" i="34"/>
  <c r="AV27" i="34"/>
  <c r="AV28" i="34"/>
  <c r="AV29" i="34"/>
  <c r="AV30" i="34"/>
  <c r="AV31" i="34"/>
  <c r="AV32" i="34"/>
  <c r="AV33" i="34"/>
  <c r="AV34" i="34"/>
  <c r="AV35" i="34"/>
  <c r="AV36" i="34"/>
  <c r="AV37" i="34"/>
  <c r="AV38" i="34"/>
  <c r="AW8" i="34"/>
  <c r="AW9" i="34"/>
  <c r="AW10" i="34"/>
  <c r="AW11" i="34"/>
  <c r="AW12" i="34"/>
  <c r="AW13" i="34"/>
  <c r="AW14" i="34"/>
  <c r="AW15" i="34"/>
  <c r="AW16" i="34"/>
  <c r="AW17" i="34"/>
  <c r="AW18" i="34"/>
  <c r="AW19" i="34"/>
  <c r="AW20" i="34"/>
  <c r="AW21" i="34"/>
  <c r="AW22" i="34"/>
  <c r="AW23" i="34"/>
  <c r="AW24" i="34"/>
  <c r="AW25" i="34"/>
  <c r="AW26" i="34"/>
  <c r="AW27" i="34"/>
  <c r="AW28" i="34"/>
  <c r="AW29" i="34"/>
  <c r="AW30" i="34"/>
  <c r="AW31" i="34"/>
  <c r="AW32" i="34"/>
  <c r="AW33" i="34"/>
  <c r="AW34" i="34"/>
  <c r="AW35" i="34"/>
  <c r="AW36" i="34"/>
  <c r="AW37" i="34"/>
  <c r="AW38" i="34"/>
  <c r="AX8" i="34"/>
  <c r="AX9" i="34"/>
  <c r="AX10" i="34"/>
  <c r="AX11" i="34"/>
  <c r="AX12" i="34"/>
  <c r="AX13" i="34"/>
  <c r="AX14" i="34"/>
  <c r="AX15" i="34"/>
  <c r="AX16" i="34"/>
  <c r="AX17" i="34"/>
  <c r="AX18" i="34"/>
  <c r="AX19" i="34"/>
  <c r="AX20" i="34"/>
  <c r="AX21" i="34"/>
  <c r="AX22" i="34"/>
  <c r="AX23" i="34"/>
  <c r="AX24" i="34"/>
  <c r="AX25" i="34"/>
  <c r="AX26" i="34"/>
  <c r="AX27" i="34"/>
  <c r="AX28" i="34"/>
  <c r="AX29" i="34"/>
  <c r="AX30" i="34"/>
  <c r="AX31" i="34"/>
  <c r="AX32" i="34"/>
  <c r="AX33" i="34"/>
  <c r="AX34" i="34"/>
  <c r="AX35" i="34"/>
  <c r="AX36" i="34"/>
  <c r="AX37" i="34"/>
  <c r="AX38" i="34"/>
  <c r="AY8" i="34"/>
  <c r="AY9" i="34"/>
  <c r="AY10" i="34"/>
  <c r="AY11" i="34"/>
  <c r="AY12" i="34"/>
  <c r="AY13" i="34"/>
  <c r="AY14" i="34"/>
  <c r="AY15" i="34"/>
  <c r="AY16" i="34"/>
  <c r="AY17" i="34"/>
  <c r="AY18" i="34"/>
  <c r="AY19" i="34"/>
  <c r="AY20" i="34"/>
  <c r="AY21" i="34"/>
  <c r="AY22" i="34"/>
  <c r="AY23" i="34"/>
  <c r="AY24" i="34"/>
  <c r="AY25" i="34"/>
  <c r="AY26" i="34"/>
  <c r="AY27" i="34"/>
  <c r="AY28" i="34"/>
  <c r="AY29" i="34"/>
  <c r="AY30" i="34"/>
  <c r="AY31" i="34"/>
  <c r="AY32" i="34"/>
  <c r="AY33" i="34"/>
  <c r="AY34" i="34"/>
  <c r="AY35" i="34"/>
  <c r="AY36" i="34"/>
  <c r="AY37" i="34"/>
  <c r="AY38" i="34"/>
  <c r="AZ8" i="34"/>
  <c r="AZ9" i="34"/>
  <c r="AZ10" i="34"/>
  <c r="AZ11" i="34"/>
  <c r="AZ12" i="34"/>
  <c r="AZ13" i="34"/>
  <c r="AZ14" i="34"/>
  <c r="AZ15" i="34"/>
  <c r="AZ16" i="34"/>
  <c r="AZ17" i="34"/>
  <c r="AZ18" i="34"/>
  <c r="AZ19" i="34"/>
  <c r="AZ20" i="34"/>
  <c r="AZ21" i="34"/>
  <c r="AZ22" i="34"/>
  <c r="AZ23" i="34"/>
  <c r="AZ24" i="34"/>
  <c r="AZ25" i="34"/>
  <c r="AZ26" i="34"/>
  <c r="AZ27" i="34"/>
  <c r="AZ28" i="34"/>
  <c r="AZ29" i="34"/>
  <c r="AZ30" i="34"/>
  <c r="AZ31" i="34"/>
  <c r="AZ32" i="34"/>
  <c r="AZ33" i="34"/>
  <c r="AZ34" i="34"/>
  <c r="AZ35" i="34"/>
  <c r="AZ36" i="34"/>
  <c r="AZ37" i="34"/>
  <c r="AZ38" i="34"/>
  <c r="BA8" i="34"/>
  <c r="BA9" i="34"/>
  <c r="BA10" i="34"/>
  <c r="BA11" i="34"/>
  <c r="BA12" i="34"/>
  <c r="BA13" i="34"/>
  <c r="BA14" i="34"/>
  <c r="BA15" i="34"/>
  <c r="BA16" i="34"/>
  <c r="BA17" i="34"/>
  <c r="BA18" i="34"/>
  <c r="BA19" i="34"/>
  <c r="BA20" i="34"/>
  <c r="BA21" i="34"/>
  <c r="BA22" i="34"/>
  <c r="BA23" i="34"/>
  <c r="BA24" i="34"/>
  <c r="BA25" i="34"/>
  <c r="BA26" i="34"/>
  <c r="BA27" i="34"/>
  <c r="BA28" i="34"/>
  <c r="BA29" i="34"/>
  <c r="BA30" i="34"/>
  <c r="BA31" i="34"/>
  <c r="BA32" i="34"/>
  <c r="BA33" i="34"/>
  <c r="BA34" i="34"/>
  <c r="BA35" i="34"/>
  <c r="BA36" i="34"/>
  <c r="BA37" i="34"/>
  <c r="BA38" i="34"/>
  <c r="BB8" i="34"/>
  <c r="BB9" i="34"/>
  <c r="BB10" i="34"/>
  <c r="BB11" i="34"/>
  <c r="BB12" i="34"/>
  <c r="BB13" i="34"/>
  <c r="BB14" i="34"/>
  <c r="BB15" i="34"/>
  <c r="BB16" i="34"/>
  <c r="BB17" i="34"/>
  <c r="BB18" i="34"/>
  <c r="BB19" i="34"/>
  <c r="BB20" i="34"/>
  <c r="BB21" i="34"/>
  <c r="BB22" i="34"/>
  <c r="BB23" i="34"/>
  <c r="BB24" i="34"/>
  <c r="BB25" i="34"/>
  <c r="BB26" i="34"/>
  <c r="BB27" i="34"/>
  <c r="BB28" i="34"/>
  <c r="BB29" i="34"/>
  <c r="BB30" i="34"/>
  <c r="BB31" i="34"/>
  <c r="BB32" i="34"/>
  <c r="BB33" i="34"/>
  <c r="BB34" i="34"/>
  <c r="BB35" i="34"/>
  <c r="BB36" i="34"/>
  <c r="BB37" i="34"/>
  <c r="BB38" i="34"/>
  <c r="BC8" i="34"/>
  <c r="BC9" i="34"/>
  <c r="BC10" i="34"/>
  <c r="BC11" i="34"/>
  <c r="BC12" i="34"/>
  <c r="BC13" i="34"/>
  <c r="BC14" i="34"/>
  <c r="BC15" i="34"/>
  <c r="BC16" i="34"/>
  <c r="BC17" i="34"/>
  <c r="BC18" i="34"/>
  <c r="BC19" i="34"/>
  <c r="BC20" i="34"/>
  <c r="BC21" i="34"/>
  <c r="BC22" i="34"/>
  <c r="BC23" i="34"/>
  <c r="BC24" i="34"/>
  <c r="BC25" i="34"/>
  <c r="BC26" i="34"/>
  <c r="BC27" i="34"/>
  <c r="BC28" i="34"/>
  <c r="BC29" i="34"/>
  <c r="BC30" i="34"/>
  <c r="BC31" i="34"/>
  <c r="BC32" i="34"/>
  <c r="BC33" i="34"/>
  <c r="BC34" i="34"/>
  <c r="BC35" i="34"/>
  <c r="BC36" i="34"/>
  <c r="BC37" i="34"/>
  <c r="BC38" i="34"/>
  <c r="BD8" i="34"/>
  <c r="BD9" i="34"/>
  <c r="BD10" i="34"/>
  <c r="BD11" i="34"/>
  <c r="BD12" i="34"/>
  <c r="BD13" i="34"/>
  <c r="BD14" i="34"/>
  <c r="BD15" i="34"/>
  <c r="BD16" i="34"/>
  <c r="BD17" i="34"/>
  <c r="BD18" i="34"/>
  <c r="BD19" i="34"/>
  <c r="BD20" i="34"/>
  <c r="BD21" i="34"/>
  <c r="BD22" i="34"/>
  <c r="BD23" i="34"/>
  <c r="BD24" i="34"/>
  <c r="BD25" i="34"/>
  <c r="BD26" i="34"/>
  <c r="BD27" i="34"/>
  <c r="BD28" i="34"/>
  <c r="BD29" i="34"/>
  <c r="BD30" i="34"/>
  <c r="BD31" i="34"/>
  <c r="BD32" i="34"/>
  <c r="BD33" i="34"/>
  <c r="BD34" i="34"/>
  <c r="BD35" i="34"/>
  <c r="BD36" i="34"/>
  <c r="BD37" i="34"/>
  <c r="BD38" i="34"/>
  <c r="BE8" i="34"/>
  <c r="BE9" i="34"/>
  <c r="BE10" i="34"/>
  <c r="BE11" i="34"/>
  <c r="BE12" i="34"/>
  <c r="BE13" i="34"/>
  <c r="BE14" i="34"/>
  <c r="BE15" i="34"/>
  <c r="BE16" i="34"/>
  <c r="BE17" i="34"/>
  <c r="BE18" i="34"/>
  <c r="BE19" i="34"/>
  <c r="BE20" i="34"/>
  <c r="BE21" i="34"/>
  <c r="BE22" i="34"/>
  <c r="BE23" i="34"/>
  <c r="BE24" i="34"/>
  <c r="BE25" i="34"/>
  <c r="BE26" i="34"/>
  <c r="BE27" i="34"/>
  <c r="BE28" i="34"/>
  <c r="BE29" i="34"/>
  <c r="BE30" i="34"/>
  <c r="BE31" i="34"/>
  <c r="BE32" i="34"/>
  <c r="BE33" i="34"/>
  <c r="BE34" i="34"/>
  <c r="BE35" i="34"/>
  <c r="BE36" i="34"/>
  <c r="BE37" i="34"/>
  <c r="BE38" i="34"/>
  <c r="BF8" i="34"/>
  <c r="BF9" i="34"/>
  <c r="BF10" i="34"/>
  <c r="BF11" i="34"/>
  <c r="BF12" i="34"/>
  <c r="BF13" i="34"/>
  <c r="BF14" i="34"/>
  <c r="BF15" i="34"/>
  <c r="BF16" i="34"/>
  <c r="BF17" i="34"/>
  <c r="BF18" i="34"/>
  <c r="BF19" i="34"/>
  <c r="BF20" i="34"/>
  <c r="BF21" i="34"/>
  <c r="BF22" i="34"/>
  <c r="BF23" i="34"/>
  <c r="BF24" i="34"/>
  <c r="BF25" i="34"/>
  <c r="BF26" i="34"/>
  <c r="BF27" i="34"/>
  <c r="BF28" i="34"/>
  <c r="BF29" i="34"/>
  <c r="BF30" i="34"/>
  <c r="BF31" i="34"/>
  <c r="BF32" i="34"/>
  <c r="BF33" i="34"/>
  <c r="BF34" i="34"/>
  <c r="BF35" i="34"/>
  <c r="BF36" i="34"/>
  <c r="BF37" i="34"/>
  <c r="BF38" i="34"/>
  <c r="BG8" i="34"/>
  <c r="BG9" i="34"/>
  <c r="BG10" i="34"/>
  <c r="BG11" i="34"/>
  <c r="BG12" i="34"/>
  <c r="BG13" i="34"/>
  <c r="BG14" i="34"/>
  <c r="BG15" i="34"/>
  <c r="BG16" i="34"/>
  <c r="BG17" i="34"/>
  <c r="BG18" i="34"/>
  <c r="BG19" i="34"/>
  <c r="BG20" i="34"/>
  <c r="BG21" i="34"/>
  <c r="BG22" i="34"/>
  <c r="BG23" i="34"/>
  <c r="BG24" i="34"/>
  <c r="BG25" i="34"/>
  <c r="BG26" i="34"/>
  <c r="BG27" i="34"/>
  <c r="BG28" i="34"/>
  <c r="BG29" i="34"/>
  <c r="BG30" i="34"/>
  <c r="BG31" i="34"/>
  <c r="BG32" i="34"/>
  <c r="BG33" i="34"/>
  <c r="BG34" i="34"/>
  <c r="BG35" i="34"/>
  <c r="BG36" i="34"/>
  <c r="BG37" i="34"/>
  <c r="BG38" i="34"/>
  <c r="BH8" i="34"/>
  <c r="BH9" i="34"/>
  <c r="BH10" i="34"/>
  <c r="BH11" i="34"/>
  <c r="BH12" i="34"/>
  <c r="BH13" i="34"/>
  <c r="BH14" i="34"/>
  <c r="BH15" i="34"/>
  <c r="BH16" i="34"/>
  <c r="BH17" i="34"/>
  <c r="BH18" i="34"/>
  <c r="BH19" i="34"/>
  <c r="BH20" i="34"/>
  <c r="BH21" i="34"/>
  <c r="BH22" i="34"/>
  <c r="BH23" i="34"/>
  <c r="BH24" i="34"/>
  <c r="BH25" i="34"/>
  <c r="BH26" i="34"/>
  <c r="BH27" i="34"/>
  <c r="BH28" i="34"/>
  <c r="BH29" i="34"/>
  <c r="BH30" i="34"/>
  <c r="BH31" i="34"/>
  <c r="BH32" i="34"/>
  <c r="BH33" i="34"/>
  <c r="BH34" i="34"/>
  <c r="BH35" i="34"/>
  <c r="BH36" i="34"/>
  <c r="BH37" i="34"/>
  <c r="BH38" i="34"/>
  <c r="BI8" i="34"/>
  <c r="BI9" i="34"/>
  <c r="BI10" i="34"/>
  <c r="BI11" i="34"/>
  <c r="BI12" i="34"/>
  <c r="BI13" i="34"/>
  <c r="BI14" i="34"/>
  <c r="BI15" i="34"/>
  <c r="BI16" i="34"/>
  <c r="BI17" i="34"/>
  <c r="BI18" i="34"/>
  <c r="BI19" i="34"/>
  <c r="BI20" i="34"/>
  <c r="BI21" i="34"/>
  <c r="BI22" i="34"/>
  <c r="BI23" i="34"/>
  <c r="BI24" i="34"/>
  <c r="BI25" i="34"/>
  <c r="BI26" i="34"/>
  <c r="BI27" i="34"/>
  <c r="BI28" i="34"/>
  <c r="BI29" i="34"/>
  <c r="BI30" i="34"/>
  <c r="BI31" i="34"/>
  <c r="BI32" i="34"/>
  <c r="BI33" i="34"/>
  <c r="BI34" i="34"/>
  <c r="BI35" i="34"/>
  <c r="BI36" i="34"/>
  <c r="BI37" i="34"/>
  <c r="BI38" i="34"/>
  <c r="BJ8" i="34"/>
  <c r="BJ9" i="34"/>
  <c r="BJ10" i="34"/>
  <c r="BJ11" i="34"/>
  <c r="BJ12" i="34"/>
  <c r="BJ13" i="34"/>
  <c r="BJ14" i="34"/>
  <c r="BJ15" i="34"/>
  <c r="BJ16" i="34"/>
  <c r="BJ17" i="34"/>
  <c r="BJ18" i="34"/>
  <c r="BJ19" i="34"/>
  <c r="BJ20" i="34"/>
  <c r="BJ21" i="34"/>
  <c r="BJ22" i="34"/>
  <c r="BJ23" i="34"/>
  <c r="BJ24" i="34"/>
  <c r="BJ25" i="34"/>
  <c r="BJ26" i="34"/>
  <c r="BJ27" i="34"/>
  <c r="BJ28" i="34"/>
  <c r="BJ29" i="34"/>
  <c r="BJ30" i="34"/>
  <c r="BJ31" i="34"/>
  <c r="BJ32" i="34"/>
  <c r="BJ33" i="34"/>
  <c r="BJ34" i="34"/>
  <c r="BJ35" i="34"/>
  <c r="BJ36" i="34"/>
  <c r="BJ37" i="34"/>
  <c r="BJ38" i="34"/>
  <c r="BK8" i="34"/>
  <c r="BK9" i="34"/>
  <c r="BK10" i="34"/>
  <c r="BK11" i="34"/>
  <c r="BK12" i="34"/>
  <c r="BK13" i="34"/>
  <c r="BK14" i="34"/>
  <c r="BK15" i="34"/>
  <c r="BK16" i="34"/>
  <c r="BK17" i="34"/>
  <c r="BK18" i="34"/>
  <c r="BK19" i="34"/>
  <c r="BK20" i="34"/>
  <c r="BK21" i="34"/>
  <c r="BK22" i="34"/>
  <c r="BK23" i="34"/>
  <c r="BK24" i="34"/>
  <c r="BK25" i="34"/>
  <c r="BK26" i="34"/>
  <c r="BK27" i="34"/>
  <c r="BK28" i="34"/>
  <c r="BK29" i="34"/>
  <c r="BK30" i="34"/>
  <c r="BK31" i="34"/>
  <c r="BK32" i="34"/>
  <c r="BK33" i="34"/>
  <c r="BK34" i="34"/>
  <c r="BK35" i="34"/>
  <c r="BK36" i="34"/>
  <c r="BK37" i="34"/>
  <c r="BK38" i="34"/>
  <c r="DG6" i="34"/>
  <c r="DG7" i="34"/>
  <c r="DG8" i="34"/>
  <c r="DG9" i="34"/>
  <c r="DG10" i="34"/>
  <c r="DG11" i="34"/>
  <c r="DG12" i="34"/>
  <c r="DG13" i="34"/>
  <c r="DG14" i="34"/>
  <c r="DG15" i="34"/>
  <c r="DG5" i="34"/>
  <c r="DG5" i="33"/>
  <c r="DG6" i="33"/>
  <c r="DG7" i="33"/>
  <c r="DG8" i="33"/>
  <c r="DG9" i="33"/>
  <c r="DG10" i="33"/>
  <c r="DG11" i="33"/>
  <c r="DG12" i="33"/>
  <c r="DG13" i="33"/>
  <c r="DG14" i="33"/>
  <c r="DG15" i="33"/>
  <c r="DG5" i="32"/>
  <c r="DG6" i="32"/>
  <c r="DG7" i="32"/>
  <c r="DG8" i="32"/>
  <c r="DG9" i="32"/>
  <c r="DG10" i="32"/>
  <c r="DG11" i="32"/>
  <c r="DG12" i="32"/>
  <c r="DG13" i="32"/>
  <c r="DG14" i="32"/>
  <c r="DG15" i="32"/>
  <c r="DG5" i="31"/>
  <c r="DG6" i="31"/>
  <c r="DG7" i="31"/>
  <c r="DG8" i="31"/>
  <c r="DG9" i="31"/>
  <c r="DG10" i="31"/>
  <c r="DG11" i="31"/>
  <c r="DG12" i="31"/>
  <c r="DG13" i="31"/>
  <c r="DG14" i="31"/>
  <c r="DG15" i="31"/>
  <c r="DG7" i="38"/>
  <c r="DG8" i="38"/>
  <c r="DG9" i="38"/>
  <c r="DG10" i="38"/>
  <c r="DG11" i="38"/>
  <c r="DG12" i="38"/>
  <c r="DG13" i="38"/>
  <c r="DG14" i="38"/>
  <c r="DG15" i="38"/>
  <c r="DG5" i="38"/>
  <c r="AO8" i="38"/>
  <c r="AP8" i="38"/>
  <c r="AQ8" i="38"/>
  <c r="AR8" i="38"/>
  <c r="AS8" i="38"/>
  <c r="AT8" i="38"/>
  <c r="AU8" i="38"/>
  <c r="AV8" i="38"/>
  <c r="AW8" i="38"/>
  <c r="AX8" i="38"/>
  <c r="AY8" i="38"/>
  <c r="AZ8" i="38"/>
  <c r="BA8" i="38"/>
  <c r="BB8" i="38"/>
  <c r="BC8" i="38"/>
  <c r="BD8" i="38"/>
  <c r="BE8" i="38"/>
  <c r="BF8" i="38"/>
  <c r="BG8" i="38"/>
  <c r="BH8" i="38"/>
  <c r="BI8" i="38"/>
  <c r="BJ8" i="38"/>
  <c r="BK8" i="38"/>
  <c r="AH8" i="38"/>
  <c r="AH19" i="38"/>
  <c r="AH11" i="38"/>
  <c r="AH12" i="38"/>
  <c r="AH13" i="38"/>
  <c r="AH14" i="38"/>
  <c r="AH15" i="38"/>
  <c r="AH16" i="38"/>
  <c r="AH17" i="38"/>
  <c r="AH18" i="38"/>
  <c r="AH20" i="38"/>
  <c r="AH21" i="38"/>
  <c r="AH22" i="38"/>
  <c r="AH23" i="38"/>
  <c r="AH24" i="38"/>
  <c r="AH25" i="38"/>
  <c r="AH26" i="38"/>
  <c r="AH27" i="38"/>
  <c r="AH28" i="38"/>
  <c r="AH29" i="38"/>
  <c r="AH30" i="38"/>
  <c r="AH31" i="38"/>
  <c r="AH32" i="38"/>
  <c r="AH9" i="38"/>
  <c r="AH10" i="38"/>
  <c r="AH33" i="38"/>
  <c r="AH34" i="38"/>
  <c r="AH35" i="38"/>
  <c r="AH36" i="38"/>
  <c r="AH37" i="38"/>
  <c r="AH38" i="38"/>
  <c r="AI8" i="38"/>
  <c r="AI19" i="38"/>
  <c r="AI11" i="38"/>
  <c r="AI12" i="38"/>
  <c r="AI13" i="38"/>
  <c r="AI14" i="38"/>
  <c r="AI15" i="38"/>
  <c r="AI16" i="38"/>
  <c r="AI17" i="38"/>
  <c r="AI18" i="38"/>
  <c r="AI20" i="38"/>
  <c r="AI21" i="38"/>
  <c r="AI22" i="38"/>
  <c r="AI23" i="38"/>
  <c r="AI24" i="38"/>
  <c r="AI25" i="38"/>
  <c r="AI26" i="38"/>
  <c r="AI27" i="38"/>
  <c r="AI28" i="38"/>
  <c r="AI29" i="38"/>
  <c r="AI30" i="38"/>
  <c r="AI31" i="38"/>
  <c r="AI32" i="38"/>
  <c r="AI9" i="38"/>
  <c r="AI10" i="38"/>
  <c r="AI33" i="38"/>
  <c r="AI34" i="38"/>
  <c r="AI35" i="38"/>
  <c r="AI36" i="38"/>
  <c r="AI37" i="38"/>
  <c r="AI38" i="38"/>
  <c r="AJ8" i="38"/>
  <c r="AJ19" i="38"/>
  <c r="AJ11" i="38"/>
  <c r="AJ12" i="38"/>
  <c r="AJ13" i="38"/>
  <c r="AJ14" i="38"/>
  <c r="AJ15" i="38"/>
  <c r="AJ16" i="38"/>
  <c r="AJ17" i="38"/>
  <c r="AJ18" i="38"/>
  <c r="AJ20" i="38"/>
  <c r="AJ21" i="38"/>
  <c r="AJ22" i="38"/>
  <c r="AJ23" i="38"/>
  <c r="AJ24" i="38"/>
  <c r="AJ25" i="38"/>
  <c r="AJ26" i="38"/>
  <c r="AJ27" i="38"/>
  <c r="AJ28" i="38"/>
  <c r="AJ29" i="38"/>
  <c r="AJ30" i="38"/>
  <c r="AJ31" i="38"/>
  <c r="AJ32" i="38"/>
  <c r="AJ9" i="38"/>
  <c r="AJ10" i="38"/>
  <c r="AJ33" i="38"/>
  <c r="AJ34" i="38"/>
  <c r="AJ35" i="38"/>
  <c r="AJ36" i="38"/>
  <c r="AJ37" i="38"/>
  <c r="AJ38" i="38"/>
  <c r="AK8" i="38"/>
  <c r="AK19" i="38"/>
  <c r="AK11" i="38"/>
  <c r="AK12" i="38"/>
  <c r="AK13" i="38"/>
  <c r="AK14" i="38"/>
  <c r="AK15" i="38"/>
  <c r="AK16" i="38"/>
  <c r="AK17" i="38"/>
  <c r="AK18" i="38"/>
  <c r="AK20" i="38"/>
  <c r="AK21" i="38"/>
  <c r="AK22" i="38"/>
  <c r="AK23" i="38"/>
  <c r="AK24" i="38"/>
  <c r="AK25" i="38"/>
  <c r="AK26" i="38"/>
  <c r="AK27" i="38"/>
  <c r="AK28" i="38"/>
  <c r="AK29" i="38"/>
  <c r="AK30" i="38"/>
  <c r="AK31" i="38"/>
  <c r="AK32" i="38"/>
  <c r="AK9" i="38"/>
  <c r="AK10" i="38"/>
  <c r="AK33" i="38"/>
  <c r="AK34" i="38"/>
  <c r="AK35" i="38"/>
  <c r="AK36" i="38"/>
  <c r="AK37" i="38"/>
  <c r="AK38" i="38"/>
  <c r="AL8" i="38"/>
  <c r="AL19" i="38"/>
  <c r="AL11" i="38"/>
  <c r="AL12" i="38"/>
  <c r="AL13" i="38"/>
  <c r="AL14" i="38"/>
  <c r="AL15" i="38"/>
  <c r="AL16" i="38"/>
  <c r="AL17" i="38"/>
  <c r="AL18" i="38"/>
  <c r="AL20" i="38"/>
  <c r="AL21" i="38"/>
  <c r="AL22" i="38"/>
  <c r="AL23" i="38"/>
  <c r="AL24" i="38"/>
  <c r="AL25" i="38"/>
  <c r="AL26" i="38"/>
  <c r="AL27" i="38"/>
  <c r="AL28" i="38"/>
  <c r="AL29" i="38"/>
  <c r="AL30" i="38"/>
  <c r="AL31" i="38"/>
  <c r="AL32" i="38"/>
  <c r="AL9" i="38"/>
  <c r="AL10" i="38"/>
  <c r="AL33" i="38"/>
  <c r="AL34" i="38"/>
  <c r="AL35" i="38"/>
  <c r="AL36" i="38"/>
  <c r="AL37" i="38"/>
  <c r="AL38" i="38"/>
  <c r="AM8" i="38"/>
  <c r="AM19" i="38"/>
  <c r="AM11" i="38"/>
  <c r="AM12" i="38"/>
  <c r="AM13" i="38"/>
  <c r="AM14" i="38"/>
  <c r="AM15" i="38"/>
  <c r="AM16" i="38"/>
  <c r="AM17" i="38"/>
  <c r="AM18" i="38"/>
  <c r="AM20" i="38"/>
  <c r="AM21" i="38"/>
  <c r="AM22" i="38"/>
  <c r="AM23" i="38"/>
  <c r="AM24" i="38"/>
  <c r="AM25" i="38"/>
  <c r="AM26" i="38"/>
  <c r="AM27" i="38"/>
  <c r="AM28" i="38"/>
  <c r="AM29" i="38"/>
  <c r="AM30" i="38"/>
  <c r="AM31" i="38"/>
  <c r="AM32" i="38"/>
  <c r="AM9" i="38"/>
  <c r="AM10" i="38"/>
  <c r="AM33" i="38"/>
  <c r="AM34" i="38"/>
  <c r="AM35" i="38"/>
  <c r="AM36" i="38"/>
  <c r="AM37" i="38"/>
  <c r="AM38" i="38"/>
  <c r="AN8" i="38"/>
  <c r="AN19" i="38"/>
  <c r="AN11" i="38"/>
  <c r="AN12" i="38"/>
  <c r="AN13" i="38"/>
  <c r="AN14" i="38"/>
  <c r="AN15" i="38"/>
  <c r="AN16" i="38"/>
  <c r="AN17" i="38"/>
  <c r="AN18" i="38"/>
  <c r="AN20" i="38"/>
  <c r="AN21" i="38"/>
  <c r="AN22" i="38"/>
  <c r="AN23" i="38"/>
  <c r="AN24" i="38"/>
  <c r="AN25" i="38"/>
  <c r="AN26" i="38"/>
  <c r="AN27" i="38"/>
  <c r="AN28" i="38"/>
  <c r="AN29" i="38"/>
  <c r="AN30" i="38"/>
  <c r="AN31" i="38"/>
  <c r="AN32" i="38"/>
  <c r="AN9" i="38"/>
  <c r="AN10" i="38"/>
  <c r="AN33" i="38"/>
  <c r="AN34" i="38"/>
  <c r="AN35" i="38"/>
  <c r="AN36" i="38"/>
  <c r="AN37" i="38"/>
  <c r="AN38" i="38"/>
  <c r="AO19" i="38"/>
  <c r="AO11" i="38"/>
  <c r="AO12" i="38"/>
  <c r="AO13" i="38"/>
  <c r="AO14" i="38"/>
  <c r="AO15" i="38"/>
  <c r="AO16" i="38"/>
  <c r="AO17" i="38"/>
  <c r="AO18" i="38"/>
  <c r="AO20" i="38"/>
  <c r="AO21" i="38"/>
  <c r="AO22" i="38"/>
  <c r="AO23" i="38"/>
  <c r="AO24" i="38"/>
  <c r="AO25" i="38"/>
  <c r="AO26" i="38"/>
  <c r="AO27" i="38"/>
  <c r="AO28" i="38"/>
  <c r="AO29" i="38"/>
  <c r="AO30" i="38"/>
  <c r="AO31" i="38"/>
  <c r="AO32" i="38"/>
  <c r="AO9" i="38"/>
  <c r="AO10" i="38"/>
  <c r="AO33" i="38"/>
  <c r="AO34" i="38"/>
  <c r="AO35" i="38"/>
  <c r="AO36" i="38"/>
  <c r="AO37" i="38"/>
  <c r="AO38" i="38"/>
  <c r="AP19" i="38"/>
  <c r="AP11" i="38"/>
  <c r="AP12" i="38"/>
  <c r="AP13" i="38"/>
  <c r="AP14" i="38"/>
  <c r="AP15" i="38"/>
  <c r="AP16" i="38"/>
  <c r="AP17" i="38"/>
  <c r="AP18" i="38"/>
  <c r="AP20" i="38"/>
  <c r="AP21" i="38"/>
  <c r="AP22" i="38"/>
  <c r="AP23" i="38"/>
  <c r="AP24" i="38"/>
  <c r="AP25" i="38"/>
  <c r="AP26" i="38"/>
  <c r="AP27" i="38"/>
  <c r="AP28" i="38"/>
  <c r="AP29" i="38"/>
  <c r="AP30" i="38"/>
  <c r="AP31" i="38"/>
  <c r="AP32" i="38"/>
  <c r="AP9" i="38"/>
  <c r="AP10" i="38"/>
  <c r="AP33" i="38"/>
  <c r="AP34" i="38"/>
  <c r="AP35" i="38"/>
  <c r="AP36" i="38"/>
  <c r="AP37" i="38"/>
  <c r="AP38" i="38"/>
  <c r="AQ19" i="38"/>
  <c r="AQ11" i="38"/>
  <c r="AQ12" i="38"/>
  <c r="AQ13" i="38"/>
  <c r="AQ14" i="38"/>
  <c r="AQ15" i="38"/>
  <c r="AQ16" i="38"/>
  <c r="AQ17" i="38"/>
  <c r="AQ18" i="38"/>
  <c r="AQ20" i="38"/>
  <c r="AQ21" i="38"/>
  <c r="AQ22" i="38"/>
  <c r="AQ23" i="38"/>
  <c r="AQ24" i="38"/>
  <c r="AQ25" i="38"/>
  <c r="AQ26" i="38"/>
  <c r="AQ27" i="38"/>
  <c r="AQ28" i="38"/>
  <c r="AQ29" i="38"/>
  <c r="AQ30" i="38"/>
  <c r="AQ31" i="38"/>
  <c r="AQ32" i="38"/>
  <c r="AQ9" i="38"/>
  <c r="AQ10" i="38"/>
  <c r="AQ33" i="38"/>
  <c r="AQ34" i="38"/>
  <c r="AQ35" i="38"/>
  <c r="AQ36" i="38"/>
  <c r="AQ37" i="38"/>
  <c r="AQ38" i="38"/>
  <c r="AR19" i="38"/>
  <c r="AR11" i="38"/>
  <c r="AR12" i="38"/>
  <c r="AR13" i="38"/>
  <c r="AR14" i="38"/>
  <c r="AR15" i="38"/>
  <c r="AR16" i="38"/>
  <c r="AR17" i="38"/>
  <c r="AR18" i="38"/>
  <c r="AR20" i="38"/>
  <c r="AR21" i="38"/>
  <c r="AR22" i="38"/>
  <c r="AR23" i="38"/>
  <c r="AR24" i="38"/>
  <c r="AR25" i="38"/>
  <c r="AR26" i="38"/>
  <c r="AR27" i="38"/>
  <c r="AR28" i="38"/>
  <c r="AR29" i="38"/>
  <c r="AR30" i="38"/>
  <c r="AR31" i="38"/>
  <c r="AR32" i="38"/>
  <c r="AR9" i="38"/>
  <c r="AR10" i="38"/>
  <c r="AR33" i="38"/>
  <c r="AR34" i="38"/>
  <c r="AR35" i="38"/>
  <c r="AR36" i="38"/>
  <c r="AR37" i="38"/>
  <c r="AR38" i="38"/>
  <c r="AS19" i="38"/>
  <c r="AS11" i="38"/>
  <c r="AS12" i="38"/>
  <c r="AS13" i="38"/>
  <c r="AS14" i="38"/>
  <c r="AS15" i="38"/>
  <c r="AS16" i="38"/>
  <c r="AS17" i="38"/>
  <c r="AS18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9" i="38"/>
  <c r="AS10" i="38"/>
  <c r="AS33" i="38"/>
  <c r="AS34" i="38"/>
  <c r="AS35" i="38"/>
  <c r="AS36" i="38"/>
  <c r="AS37" i="38"/>
  <c r="AS38" i="38"/>
  <c r="AT19" i="38"/>
  <c r="AT11" i="38"/>
  <c r="AT12" i="38"/>
  <c r="AT13" i="38"/>
  <c r="AT14" i="38"/>
  <c r="AT15" i="38"/>
  <c r="AT16" i="38"/>
  <c r="AT17" i="38"/>
  <c r="AT18" i="38"/>
  <c r="AT20" i="38"/>
  <c r="AT21" i="38"/>
  <c r="AT22" i="38"/>
  <c r="AT23" i="38"/>
  <c r="AT24" i="38"/>
  <c r="AT25" i="38"/>
  <c r="AT26" i="38"/>
  <c r="AT27" i="38"/>
  <c r="AT28" i="38"/>
  <c r="AT29" i="38"/>
  <c r="AT30" i="38"/>
  <c r="AT31" i="38"/>
  <c r="AT32" i="38"/>
  <c r="AT9" i="38"/>
  <c r="AT10" i="38"/>
  <c r="AT33" i="38"/>
  <c r="AT34" i="38"/>
  <c r="AT35" i="38"/>
  <c r="AT36" i="38"/>
  <c r="AT37" i="38"/>
  <c r="AT38" i="38"/>
  <c r="AU19" i="38"/>
  <c r="AU11" i="38"/>
  <c r="AU12" i="38"/>
  <c r="AU13" i="38"/>
  <c r="AU14" i="38"/>
  <c r="AU15" i="38"/>
  <c r="AU16" i="38"/>
  <c r="AU17" i="38"/>
  <c r="AU18" i="38"/>
  <c r="AU20" i="38"/>
  <c r="AU21" i="38"/>
  <c r="AU22" i="38"/>
  <c r="AU23" i="38"/>
  <c r="AU24" i="38"/>
  <c r="AU25" i="38"/>
  <c r="AU26" i="38"/>
  <c r="AU27" i="38"/>
  <c r="AU28" i="38"/>
  <c r="AU29" i="38"/>
  <c r="AU30" i="38"/>
  <c r="AU31" i="38"/>
  <c r="AU32" i="38"/>
  <c r="AU9" i="38"/>
  <c r="AU10" i="38"/>
  <c r="AU33" i="38"/>
  <c r="AU34" i="38"/>
  <c r="AU35" i="38"/>
  <c r="AU36" i="38"/>
  <c r="AU37" i="38"/>
  <c r="AU38" i="38"/>
  <c r="AV19" i="38"/>
  <c r="AV11" i="38"/>
  <c r="AV12" i="38"/>
  <c r="AV13" i="38"/>
  <c r="AV14" i="38"/>
  <c r="AV15" i="38"/>
  <c r="AV16" i="38"/>
  <c r="AV17" i="38"/>
  <c r="AV18" i="38"/>
  <c r="AV20" i="38"/>
  <c r="AV21" i="38"/>
  <c r="AV22" i="38"/>
  <c r="AV23" i="38"/>
  <c r="AV24" i="38"/>
  <c r="AV25" i="38"/>
  <c r="AV26" i="38"/>
  <c r="AV27" i="38"/>
  <c r="AV28" i="38"/>
  <c r="AV29" i="38"/>
  <c r="AV30" i="38"/>
  <c r="AV31" i="38"/>
  <c r="AV32" i="38"/>
  <c r="AV9" i="38"/>
  <c r="AV10" i="38"/>
  <c r="AV33" i="38"/>
  <c r="AV34" i="38"/>
  <c r="AV35" i="38"/>
  <c r="AV36" i="38"/>
  <c r="AV37" i="38"/>
  <c r="AV38" i="38"/>
  <c r="AW19" i="38"/>
  <c r="AW11" i="38"/>
  <c r="AW12" i="38"/>
  <c r="AW13" i="38"/>
  <c r="AW14" i="38"/>
  <c r="AW15" i="38"/>
  <c r="AW16" i="38"/>
  <c r="AW17" i="38"/>
  <c r="AW18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9" i="38"/>
  <c r="AW10" i="38"/>
  <c r="AW33" i="38"/>
  <c r="AW34" i="38"/>
  <c r="AW35" i="38"/>
  <c r="AW36" i="38"/>
  <c r="AW37" i="38"/>
  <c r="AW38" i="38"/>
  <c r="AX19" i="38"/>
  <c r="AX11" i="38"/>
  <c r="AX12" i="38"/>
  <c r="AX13" i="38"/>
  <c r="AX14" i="38"/>
  <c r="AX15" i="38"/>
  <c r="AX16" i="38"/>
  <c r="AX17" i="38"/>
  <c r="AX18" i="38"/>
  <c r="AX20" i="38"/>
  <c r="AX21" i="38"/>
  <c r="AX22" i="38"/>
  <c r="AX23" i="38"/>
  <c r="AX24" i="38"/>
  <c r="AX25" i="38"/>
  <c r="AX26" i="38"/>
  <c r="AX27" i="38"/>
  <c r="AX28" i="38"/>
  <c r="AX29" i="38"/>
  <c r="AX30" i="38"/>
  <c r="AX31" i="38"/>
  <c r="AX32" i="38"/>
  <c r="AX9" i="38"/>
  <c r="AX10" i="38"/>
  <c r="AX33" i="38"/>
  <c r="AX34" i="38"/>
  <c r="AX35" i="38"/>
  <c r="AX36" i="38"/>
  <c r="AX37" i="38"/>
  <c r="AX38" i="38"/>
  <c r="AY19" i="38"/>
  <c r="AY11" i="38"/>
  <c r="AY12" i="38"/>
  <c r="AY13" i="38"/>
  <c r="AY14" i="38"/>
  <c r="AY15" i="38"/>
  <c r="AY16" i="38"/>
  <c r="AY17" i="38"/>
  <c r="AY18" i="38"/>
  <c r="AY20" i="38"/>
  <c r="AY21" i="38"/>
  <c r="AY22" i="38"/>
  <c r="AY23" i="38"/>
  <c r="AY24" i="38"/>
  <c r="AY25" i="38"/>
  <c r="AY26" i="38"/>
  <c r="AY27" i="38"/>
  <c r="AY28" i="38"/>
  <c r="AY29" i="38"/>
  <c r="AY30" i="38"/>
  <c r="AY31" i="38"/>
  <c r="AY32" i="38"/>
  <c r="AY9" i="38"/>
  <c r="AY10" i="38"/>
  <c r="AY33" i="38"/>
  <c r="AY34" i="38"/>
  <c r="AY35" i="38"/>
  <c r="AY36" i="38"/>
  <c r="AY37" i="38"/>
  <c r="AY38" i="38"/>
  <c r="AZ19" i="38"/>
  <c r="AZ11" i="38"/>
  <c r="AZ12" i="38"/>
  <c r="AZ13" i="38"/>
  <c r="AZ14" i="38"/>
  <c r="AZ15" i="38"/>
  <c r="AZ16" i="38"/>
  <c r="AZ17" i="38"/>
  <c r="AZ18" i="38"/>
  <c r="AZ20" i="38"/>
  <c r="AZ21" i="38"/>
  <c r="AZ22" i="38"/>
  <c r="AZ23" i="38"/>
  <c r="AZ24" i="38"/>
  <c r="AZ25" i="38"/>
  <c r="AZ26" i="38"/>
  <c r="AZ27" i="38"/>
  <c r="AZ28" i="38"/>
  <c r="AZ29" i="38"/>
  <c r="AZ30" i="38"/>
  <c r="AZ31" i="38"/>
  <c r="AZ32" i="38"/>
  <c r="AZ9" i="38"/>
  <c r="AZ10" i="38"/>
  <c r="AZ33" i="38"/>
  <c r="AZ34" i="38"/>
  <c r="AZ35" i="38"/>
  <c r="AZ36" i="38"/>
  <c r="AZ37" i="38"/>
  <c r="AZ38" i="38"/>
  <c r="BA19" i="38"/>
  <c r="BA11" i="38"/>
  <c r="BA12" i="38"/>
  <c r="BA13" i="38"/>
  <c r="BA14" i="38"/>
  <c r="BA15" i="38"/>
  <c r="BA16" i="38"/>
  <c r="BA17" i="38"/>
  <c r="BA18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9" i="38"/>
  <c r="BA10" i="38"/>
  <c r="BA33" i="38"/>
  <c r="BA34" i="38"/>
  <c r="BA35" i="38"/>
  <c r="BA36" i="38"/>
  <c r="BA37" i="38"/>
  <c r="BA38" i="38"/>
  <c r="BB19" i="38"/>
  <c r="BB11" i="38"/>
  <c r="BB12" i="38"/>
  <c r="BB13" i="38"/>
  <c r="BB14" i="38"/>
  <c r="BB15" i="38"/>
  <c r="BB16" i="38"/>
  <c r="BB17" i="38"/>
  <c r="BB18" i="38"/>
  <c r="BB20" i="38"/>
  <c r="BB21" i="38"/>
  <c r="BB22" i="38"/>
  <c r="BB23" i="38"/>
  <c r="BB24" i="38"/>
  <c r="BB25" i="38"/>
  <c r="BB26" i="38"/>
  <c r="BB27" i="38"/>
  <c r="BB28" i="38"/>
  <c r="BB29" i="38"/>
  <c r="BB30" i="38"/>
  <c r="BB31" i="38"/>
  <c r="BB32" i="38"/>
  <c r="BB9" i="38"/>
  <c r="BB10" i="38"/>
  <c r="BB33" i="38"/>
  <c r="BB34" i="38"/>
  <c r="BB35" i="38"/>
  <c r="BB36" i="38"/>
  <c r="BB37" i="38"/>
  <c r="BB38" i="38"/>
  <c r="BC19" i="38"/>
  <c r="BC11" i="38"/>
  <c r="BC12" i="38"/>
  <c r="BC13" i="38"/>
  <c r="BC14" i="38"/>
  <c r="BC15" i="38"/>
  <c r="BC16" i="38"/>
  <c r="BC17" i="38"/>
  <c r="BC18" i="38"/>
  <c r="BC20" i="38"/>
  <c r="BC21" i="38"/>
  <c r="BC22" i="38"/>
  <c r="BC23" i="38"/>
  <c r="BC24" i="38"/>
  <c r="BC25" i="38"/>
  <c r="BC26" i="38"/>
  <c r="BC27" i="38"/>
  <c r="BC28" i="38"/>
  <c r="BC29" i="38"/>
  <c r="BC30" i="38"/>
  <c r="BC31" i="38"/>
  <c r="BC32" i="38"/>
  <c r="BC9" i="38"/>
  <c r="BC10" i="38"/>
  <c r="BC33" i="38"/>
  <c r="BC34" i="38"/>
  <c r="BC35" i="38"/>
  <c r="BC36" i="38"/>
  <c r="BC37" i="38"/>
  <c r="BC38" i="38"/>
  <c r="BD19" i="38"/>
  <c r="BD11" i="38"/>
  <c r="BD12" i="38"/>
  <c r="BD13" i="38"/>
  <c r="BD14" i="38"/>
  <c r="BD15" i="38"/>
  <c r="BD16" i="38"/>
  <c r="BD17" i="38"/>
  <c r="BD18" i="38"/>
  <c r="BD20" i="38"/>
  <c r="BD21" i="38"/>
  <c r="BD22" i="38"/>
  <c r="BD23" i="38"/>
  <c r="BD24" i="38"/>
  <c r="BD25" i="38"/>
  <c r="BD26" i="38"/>
  <c r="BD27" i="38"/>
  <c r="BD28" i="38"/>
  <c r="BD29" i="38"/>
  <c r="BD30" i="38"/>
  <c r="BD31" i="38"/>
  <c r="BD32" i="38"/>
  <c r="BD9" i="38"/>
  <c r="BD10" i="38"/>
  <c r="BD33" i="38"/>
  <c r="BD34" i="38"/>
  <c r="BD35" i="38"/>
  <c r="BD36" i="38"/>
  <c r="BD37" i="38"/>
  <c r="BD38" i="38"/>
  <c r="BE19" i="38"/>
  <c r="BE11" i="38"/>
  <c r="BE12" i="38"/>
  <c r="BE13" i="38"/>
  <c r="BE14" i="38"/>
  <c r="BE15" i="38"/>
  <c r="BE16" i="38"/>
  <c r="BE17" i="38"/>
  <c r="BE18" i="38"/>
  <c r="BE20" i="38"/>
  <c r="BE21" i="38"/>
  <c r="BE22" i="38"/>
  <c r="BE23" i="38"/>
  <c r="BE24" i="38"/>
  <c r="BE25" i="38"/>
  <c r="BE26" i="38"/>
  <c r="BE27" i="38"/>
  <c r="BE28" i="38"/>
  <c r="BE29" i="38"/>
  <c r="BE30" i="38"/>
  <c r="BE31" i="38"/>
  <c r="BE32" i="38"/>
  <c r="BE9" i="38"/>
  <c r="BE10" i="38"/>
  <c r="BE33" i="38"/>
  <c r="BE34" i="38"/>
  <c r="BE35" i="38"/>
  <c r="BE36" i="38"/>
  <c r="BE37" i="38"/>
  <c r="BE38" i="38"/>
  <c r="BF19" i="38"/>
  <c r="BF11" i="38"/>
  <c r="BF12" i="38"/>
  <c r="BF13" i="38"/>
  <c r="BF14" i="38"/>
  <c r="BF15" i="38"/>
  <c r="BF16" i="38"/>
  <c r="BF17" i="38"/>
  <c r="BF18" i="38"/>
  <c r="BF20" i="38"/>
  <c r="BF21" i="38"/>
  <c r="BF22" i="38"/>
  <c r="BF23" i="38"/>
  <c r="BF24" i="38"/>
  <c r="BF25" i="38"/>
  <c r="BF26" i="38"/>
  <c r="BF27" i="38"/>
  <c r="BF28" i="38"/>
  <c r="BF29" i="38"/>
  <c r="BF30" i="38"/>
  <c r="BF31" i="38"/>
  <c r="BF32" i="38"/>
  <c r="BF9" i="38"/>
  <c r="BF10" i="38"/>
  <c r="BF33" i="38"/>
  <c r="BF34" i="38"/>
  <c r="BF35" i="38"/>
  <c r="BF36" i="38"/>
  <c r="BF37" i="38"/>
  <c r="BF38" i="38"/>
  <c r="BG19" i="38"/>
  <c r="BG11" i="38"/>
  <c r="BG12" i="38"/>
  <c r="BG13" i="38"/>
  <c r="BG14" i="38"/>
  <c r="BG15" i="38"/>
  <c r="BG16" i="38"/>
  <c r="BG17" i="38"/>
  <c r="BG18" i="38"/>
  <c r="BG20" i="38"/>
  <c r="BG21" i="38"/>
  <c r="BG22" i="38"/>
  <c r="BG23" i="38"/>
  <c r="BG24" i="38"/>
  <c r="BG25" i="38"/>
  <c r="BG26" i="38"/>
  <c r="BG27" i="38"/>
  <c r="BG28" i="38"/>
  <c r="BG29" i="38"/>
  <c r="BG30" i="38"/>
  <c r="BG31" i="38"/>
  <c r="BG32" i="38"/>
  <c r="BG9" i="38"/>
  <c r="BG10" i="38"/>
  <c r="BG33" i="38"/>
  <c r="BG34" i="38"/>
  <c r="BG35" i="38"/>
  <c r="BG36" i="38"/>
  <c r="BG37" i="38"/>
  <c r="BG38" i="38"/>
  <c r="BH19" i="38"/>
  <c r="BH11" i="38"/>
  <c r="BH12" i="38"/>
  <c r="BH13" i="38"/>
  <c r="BH14" i="38"/>
  <c r="BH15" i="38"/>
  <c r="BH16" i="38"/>
  <c r="BH17" i="38"/>
  <c r="BH18" i="38"/>
  <c r="BH20" i="38"/>
  <c r="BH21" i="38"/>
  <c r="BH22" i="38"/>
  <c r="BH23" i="38"/>
  <c r="BH24" i="38"/>
  <c r="BH25" i="38"/>
  <c r="BH26" i="38"/>
  <c r="BH27" i="38"/>
  <c r="BH28" i="38"/>
  <c r="BH29" i="38"/>
  <c r="BH30" i="38"/>
  <c r="BH31" i="38"/>
  <c r="BH32" i="38"/>
  <c r="BH9" i="38"/>
  <c r="BH10" i="38"/>
  <c r="BH33" i="38"/>
  <c r="BH34" i="38"/>
  <c r="BH35" i="38"/>
  <c r="BH36" i="38"/>
  <c r="BH37" i="38"/>
  <c r="BH38" i="38"/>
  <c r="BI19" i="38"/>
  <c r="BI11" i="38"/>
  <c r="BI12" i="38"/>
  <c r="BI13" i="38"/>
  <c r="BI14" i="38"/>
  <c r="BI15" i="38"/>
  <c r="BI16" i="38"/>
  <c r="BI17" i="38"/>
  <c r="BI18" i="38"/>
  <c r="BI20" i="38"/>
  <c r="BI21" i="38"/>
  <c r="BI22" i="38"/>
  <c r="BI23" i="38"/>
  <c r="BI24" i="38"/>
  <c r="BI25" i="38"/>
  <c r="BI26" i="38"/>
  <c r="BI27" i="38"/>
  <c r="BI28" i="38"/>
  <c r="BI29" i="38"/>
  <c r="BI30" i="38"/>
  <c r="BI31" i="38"/>
  <c r="BI32" i="38"/>
  <c r="BI9" i="38"/>
  <c r="BI10" i="38"/>
  <c r="BI33" i="38"/>
  <c r="BI34" i="38"/>
  <c r="BI35" i="38"/>
  <c r="BI36" i="38"/>
  <c r="BI37" i="38"/>
  <c r="BI38" i="38"/>
  <c r="BJ19" i="38"/>
  <c r="BJ11" i="38"/>
  <c r="BJ12" i="38"/>
  <c r="BJ13" i="38"/>
  <c r="BJ14" i="38"/>
  <c r="BJ15" i="38"/>
  <c r="BJ16" i="38"/>
  <c r="BJ17" i="38"/>
  <c r="BJ18" i="38"/>
  <c r="BJ20" i="38"/>
  <c r="BJ21" i="38"/>
  <c r="BJ22" i="38"/>
  <c r="BJ23" i="38"/>
  <c r="BJ24" i="38"/>
  <c r="BJ25" i="38"/>
  <c r="BJ26" i="38"/>
  <c r="BJ27" i="38"/>
  <c r="BJ28" i="38"/>
  <c r="BJ29" i="38"/>
  <c r="BJ30" i="38"/>
  <c r="BJ31" i="38"/>
  <c r="BJ32" i="38"/>
  <c r="BJ9" i="38"/>
  <c r="BJ10" i="38"/>
  <c r="BJ33" i="38"/>
  <c r="BJ34" i="38"/>
  <c r="BJ35" i="38"/>
  <c r="BJ36" i="38"/>
  <c r="BJ37" i="38"/>
  <c r="BJ38" i="38"/>
  <c r="BK19" i="38"/>
  <c r="BK11" i="38"/>
  <c r="BK12" i="38"/>
  <c r="BK13" i="38"/>
  <c r="BK14" i="38"/>
  <c r="BK15" i="38"/>
  <c r="BK16" i="38"/>
  <c r="BK17" i="38"/>
  <c r="BK18" i="38"/>
  <c r="BK20" i="38"/>
  <c r="BK21" i="38"/>
  <c r="BK22" i="38"/>
  <c r="BK23" i="38"/>
  <c r="BK24" i="38"/>
  <c r="BK25" i="38"/>
  <c r="BK26" i="38"/>
  <c r="BK27" i="38"/>
  <c r="BK28" i="38"/>
  <c r="BK29" i="38"/>
  <c r="BK30" i="38"/>
  <c r="BK31" i="38"/>
  <c r="BK32" i="38"/>
  <c r="BK9" i="38"/>
  <c r="BK10" i="38"/>
  <c r="BK33" i="38"/>
  <c r="BK34" i="38"/>
  <c r="BK35" i="38"/>
  <c r="BK36" i="38"/>
  <c r="BK37" i="38"/>
  <c r="BK38" i="38"/>
  <c r="DG5" i="37"/>
  <c r="DG6" i="37"/>
  <c r="DG7" i="37"/>
  <c r="DG8" i="37"/>
  <c r="DG9" i="37"/>
  <c r="DG10" i="37"/>
  <c r="DG11" i="37"/>
  <c r="DG12" i="37"/>
  <c r="DG13" i="37"/>
  <c r="DG14" i="37"/>
  <c r="DG15" i="37"/>
  <c r="DG5" i="36"/>
  <c r="DG6" i="36"/>
  <c r="DG7" i="36"/>
  <c r="DG8" i="36"/>
  <c r="DG9" i="36"/>
  <c r="DG10" i="36"/>
  <c r="DG11" i="36"/>
  <c r="DG12" i="36"/>
  <c r="DG13" i="36"/>
  <c r="DG14" i="36"/>
  <c r="DG15" i="36"/>
  <c r="DG5" i="35"/>
  <c r="DG6" i="35"/>
  <c r="DG7" i="35"/>
  <c r="DG8" i="35"/>
  <c r="DG9" i="35"/>
  <c r="DG10" i="35"/>
  <c r="DG11" i="35"/>
  <c r="DG12" i="35"/>
  <c r="DG13" i="35"/>
  <c r="DG14" i="35"/>
  <c r="DG15" i="35"/>
  <c r="AH8" i="28"/>
  <c r="AH9" i="28"/>
  <c r="AH11" i="28"/>
  <c r="AH12" i="28"/>
  <c r="AH13" i="28"/>
  <c r="AH14" i="28"/>
  <c r="AH15" i="28"/>
  <c r="AH16" i="28"/>
  <c r="AH17" i="28"/>
  <c r="AH18" i="28"/>
  <c r="AH19" i="28"/>
  <c r="AH20" i="28"/>
  <c r="AH21" i="28"/>
  <c r="AH22" i="28"/>
  <c r="AH23" i="28"/>
  <c r="AH24" i="28"/>
  <c r="AH25" i="28"/>
  <c r="AH26" i="28"/>
  <c r="AH27" i="28"/>
  <c r="AH28" i="28"/>
  <c r="AH29" i="28"/>
  <c r="AH30" i="28"/>
  <c r="AH31" i="28"/>
  <c r="AH32" i="28"/>
  <c r="AH33" i="28"/>
  <c r="AH34" i="28"/>
  <c r="AH35" i="28"/>
  <c r="AH36" i="28"/>
  <c r="AH37" i="28"/>
  <c r="AH38" i="28"/>
  <c r="AI8" i="28"/>
  <c r="AI9" i="28"/>
  <c r="AI10" i="28"/>
  <c r="AI11" i="28"/>
  <c r="AI12" i="28"/>
  <c r="AI13" i="28"/>
  <c r="AI14" i="28"/>
  <c r="AI15" i="28"/>
  <c r="AI16" i="28"/>
  <c r="AI17" i="28"/>
  <c r="AI18" i="28"/>
  <c r="AI19" i="28"/>
  <c r="AI20" i="28"/>
  <c r="AI21" i="28"/>
  <c r="AI22" i="28"/>
  <c r="AI23" i="28"/>
  <c r="AI24" i="28"/>
  <c r="AI25" i="28"/>
  <c r="AI26" i="28"/>
  <c r="AI27" i="28"/>
  <c r="AI28" i="28"/>
  <c r="AI29" i="28"/>
  <c r="AI30" i="28"/>
  <c r="AI31" i="28"/>
  <c r="AI32" i="28"/>
  <c r="AI33" i="28"/>
  <c r="AI34" i="28"/>
  <c r="AI35" i="28"/>
  <c r="AI36" i="28"/>
  <c r="AI37" i="28"/>
  <c r="AI38" i="28"/>
  <c r="AJ8" i="28"/>
  <c r="AJ9" i="28"/>
  <c r="AJ10" i="28"/>
  <c r="AJ11" i="28"/>
  <c r="AJ12" i="28"/>
  <c r="AJ13" i="28"/>
  <c r="AJ14" i="28"/>
  <c r="AJ15" i="28"/>
  <c r="AJ16" i="28"/>
  <c r="AJ17" i="28"/>
  <c r="AJ18" i="28"/>
  <c r="AJ19" i="28"/>
  <c r="AJ20" i="28"/>
  <c r="AJ21" i="28"/>
  <c r="AJ22" i="28"/>
  <c r="AJ23" i="28"/>
  <c r="AJ24" i="28"/>
  <c r="AJ25" i="28"/>
  <c r="AJ26" i="28"/>
  <c r="AJ27" i="28"/>
  <c r="AJ28" i="28"/>
  <c r="AJ29" i="28"/>
  <c r="AJ30" i="28"/>
  <c r="AJ31" i="28"/>
  <c r="AJ32" i="28"/>
  <c r="AJ33" i="28"/>
  <c r="AJ34" i="28"/>
  <c r="AJ35" i="28"/>
  <c r="AJ36" i="28"/>
  <c r="AJ37" i="28"/>
  <c r="AJ38" i="28"/>
  <c r="AK8" i="28"/>
  <c r="AK9" i="28"/>
  <c r="AK10" i="28"/>
  <c r="AK11" i="28"/>
  <c r="AK12" i="28"/>
  <c r="AK13" i="28"/>
  <c r="AK14" i="28"/>
  <c r="AK15" i="28"/>
  <c r="AK16" i="28"/>
  <c r="AK17" i="28"/>
  <c r="AK18" i="28"/>
  <c r="AK19" i="28"/>
  <c r="AK20" i="28"/>
  <c r="AK21" i="28"/>
  <c r="AK22" i="28"/>
  <c r="AK23" i="28"/>
  <c r="AK24" i="28"/>
  <c r="AK25" i="28"/>
  <c r="AK26" i="28"/>
  <c r="AK27" i="28"/>
  <c r="AK28" i="28"/>
  <c r="AK29" i="28"/>
  <c r="AK30" i="28"/>
  <c r="AK31" i="28"/>
  <c r="AK32" i="28"/>
  <c r="AK33" i="28"/>
  <c r="AK34" i="28"/>
  <c r="AK35" i="28"/>
  <c r="AK36" i="28"/>
  <c r="AK37" i="28"/>
  <c r="AK38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M8" i="28"/>
  <c r="AM9" i="28"/>
  <c r="AM10" i="28"/>
  <c r="AM11" i="28"/>
  <c r="AM12" i="28"/>
  <c r="AM13" i="28"/>
  <c r="AM14" i="28"/>
  <c r="AM15" i="28"/>
  <c r="AM16" i="28"/>
  <c r="AM17" i="28"/>
  <c r="AM18" i="28"/>
  <c r="AM19" i="28"/>
  <c r="AM20" i="28"/>
  <c r="AM21" i="28"/>
  <c r="AM22" i="28"/>
  <c r="AM23" i="28"/>
  <c r="AM24" i="28"/>
  <c r="AM25" i="28"/>
  <c r="AM26" i="28"/>
  <c r="AM27" i="28"/>
  <c r="AM28" i="28"/>
  <c r="AM29" i="28"/>
  <c r="AM30" i="28"/>
  <c r="AM31" i="28"/>
  <c r="AM32" i="28"/>
  <c r="AM33" i="28"/>
  <c r="AM34" i="28"/>
  <c r="AM35" i="28"/>
  <c r="AM36" i="28"/>
  <c r="AM37" i="28"/>
  <c r="AM38" i="28"/>
  <c r="AN8" i="28"/>
  <c r="AN9" i="28"/>
  <c r="AN10" i="28"/>
  <c r="AN11" i="28"/>
  <c r="AN12" i="28"/>
  <c r="AN13" i="28"/>
  <c r="AN14" i="28"/>
  <c r="AN15" i="28"/>
  <c r="AN16" i="28"/>
  <c r="AN17" i="28"/>
  <c r="AN18" i="28"/>
  <c r="AN19" i="28"/>
  <c r="AN20" i="28"/>
  <c r="AN21" i="28"/>
  <c r="AN22" i="28"/>
  <c r="AN23" i="28"/>
  <c r="AN24" i="28"/>
  <c r="AN25" i="28"/>
  <c r="AN26" i="28"/>
  <c r="AN27" i="28"/>
  <c r="AN28" i="28"/>
  <c r="AN29" i="28"/>
  <c r="AN30" i="28"/>
  <c r="AN31" i="28"/>
  <c r="AN32" i="28"/>
  <c r="AN33" i="28"/>
  <c r="AN34" i="28"/>
  <c r="AN35" i="28"/>
  <c r="AN36" i="28"/>
  <c r="AN37" i="28"/>
  <c r="AN38" i="28"/>
  <c r="AO8" i="28"/>
  <c r="AO9" i="28"/>
  <c r="AO10" i="28"/>
  <c r="AO11" i="28"/>
  <c r="AO12" i="28"/>
  <c r="AO13" i="28"/>
  <c r="AO14" i="28"/>
  <c r="AO15" i="28"/>
  <c r="AO16" i="28"/>
  <c r="AO17" i="28"/>
  <c r="AO18" i="28"/>
  <c r="AO19" i="28"/>
  <c r="AO20" i="28"/>
  <c r="AO21" i="28"/>
  <c r="AO22" i="28"/>
  <c r="AO23" i="28"/>
  <c r="AO24" i="28"/>
  <c r="AO25" i="28"/>
  <c r="AO26" i="28"/>
  <c r="AO27" i="28"/>
  <c r="AO28" i="28"/>
  <c r="AO29" i="28"/>
  <c r="AO30" i="28"/>
  <c r="AO31" i="28"/>
  <c r="AO32" i="28"/>
  <c r="AO33" i="28"/>
  <c r="AO34" i="28"/>
  <c r="AO35" i="28"/>
  <c r="AO36" i="28"/>
  <c r="AO37" i="28"/>
  <c r="AO38" i="28"/>
  <c r="AP8" i="28"/>
  <c r="AP9" i="28"/>
  <c r="AP10" i="28"/>
  <c r="AP11" i="28"/>
  <c r="AP12" i="28"/>
  <c r="AP13" i="28"/>
  <c r="AP14" i="28"/>
  <c r="AP15" i="28"/>
  <c r="AP16" i="28"/>
  <c r="AP17" i="28"/>
  <c r="AP18" i="28"/>
  <c r="AP19" i="28"/>
  <c r="AP20" i="28"/>
  <c r="AP21" i="28"/>
  <c r="AP22" i="28"/>
  <c r="AP23" i="28"/>
  <c r="AP24" i="28"/>
  <c r="AP25" i="28"/>
  <c r="AP26" i="28"/>
  <c r="AP27" i="28"/>
  <c r="AP28" i="28"/>
  <c r="AP29" i="28"/>
  <c r="AP30" i="28"/>
  <c r="AP31" i="28"/>
  <c r="AP32" i="28"/>
  <c r="AP33" i="28"/>
  <c r="AP34" i="28"/>
  <c r="AP35" i="28"/>
  <c r="AP36" i="28"/>
  <c r="AP37" i="28"/>
  <c r="AP38" i="28"/>
  <c r="AQ8" i="28"/>
  <c r="AQ9" i="28"/>
  <c r="AQ10" i="28"/>
  <c r="AQ11" i="28"/>
  <c r="AQ12" i="28"/>
  <c r="AQ13" i="28"/>
  <c r="AQ14" i="28"/>
  <c r="AQ15" i="28"/>
  <c r="AQ16" i="28"/>
  <c r="AQ17" i="28"/>
  <c r="AQ18" i="28"/>
  <c r="AQ19" i="28"/>
  <c r="AQ20" i="28"/>
  <c r="AQ21" i="28"/>
  <c r="AQ22" i="28"/>
  <c r="AQ23" i="28"/>
  <c r="AQ24" i="28"/>
  <c r="AQ25" i="28"/>
  <c r="AQ26" i="28"/>
  <c r="AQ27" i="28"/>
  <c r="AQ28" i="28"/>
  <c r="AQ29" i="28"/>
  <c r="AQ30" i="28"/>
  <c r="AQ31" i="28"/>
  <c r="AQ32" i="28"/>
  <c r="AQ33" i="28"/>
  <c r="AQ34" i="28"/>
  <c r="AQ35" i="28"/>
  <c r="AQ36" i="28"/>
  <c r="AQ37" i="28"/>
  <c r="AQ38" i="28"/>
  <c r="AR8" i="28"/>
  <c r="AR9" i="28"/>
  <c r="AR10" i="28"/>
  <c r="AR11" i="28"/>
  <c r="AR12" i="28"/>
  <c r="AR13" i="28"/>
  <c r="AR14" i="28"/>
  <c r="AR15" i="28"/>
  <c r="AR16" i="28"/>
  <c r="AR17" i="28"/>
  <c r="AR18" i="28"/>
  <c r="AR19" i="28"/>
  <c r="AR20" i="28"/>
  <c r="AR21" i="28"/>
  <c r="AR22" i="28"/>
  <c r="AR23" i="28"/>
  <c r="AR24" i="28"/>
  <c r="AR25" i="28"/>
  <c r="AR26" i="28"/>
  <c r="AR27" i="28"/>
  <c r="AR28" i="28"/>
  <c r="AR29" i="28"/>
  <c r="AR30" i="28"/>
  <c r="AR31" i="28"/>
  <c r="AR32" i="28"/>
  <c r="AR33" i="28"/>
  <c r="AR34" i="28"/>
  <c r="AR35" i="28"/>
  <c r="AR36" i="28"/>
  <c r="AR37" i="28"/>
  <c r="AR38" i="28"/>
  <c r="AS8" i="28"/>
  <c r="AS9" i="28"/>
  <c r="AS10" i="28"/>
  <c r="AS11" i="28"/>
  <c r="AS12" i="28"/>
  <c r="AS13" i="28"/>
  <c r="AS14" i="28"/>
  <c r="AS15" i="28"/>
  <c r="AS16" i="28"/>
  <c r="AS17" i="28"/>
  <c r="AS18" i="28"/>
  <c r="AS19" i="28"/>
  <c r="AS20" i="28"/>
  <c r="AS21" i="28"/>
  <c r="AS22" i="28"/>
  <c r="AS23" i="28"/>
  <c r="AS24" i="28"/>
  <c r="AS25" i="28"/>
  <c r="AS26" i="28"/>
  <c r="AS27" i="28"/>
  <c r="AS28" i="28"/>
  <c r="AS29" i="28"/>
  <c r="AS30" i="28"/>
  <c r="AS31" i="28"/>
  <c r="AS32" i="28"/>
  <c r="AS33" i="28"/>
  <c r="AS34" i="28"/>
  <c r="AS35" i="28"/>
  <c r="AS36" i="28"/>
  <c r="AS37" i="28"/>
  <c r="AS38" i="28"/>
  <c r="AT8" i="28"/>
  <c r="AT9" i="28"/>
  <c r="AT10" i="28"/>
  <c r="AT11" i="28"/>
  <c r="AT12" i="28"/>
  <c r="AT13" i="28"/>
  <c r="AT14" i="28"/>
  <c r="AT15" i="28"/>
  <c r="AT16" i="28"/>
  <c r="AT17" i="28"/>
  <c r="AT18" i="28"/>
  <c r="AT19" i="28"/>
  <c r="AT20" i="28"/>
  <c r="AT21" i="28"/>
  <c r="AT22" i="28"/>
  <c r="AT23" i="28"/>
  <c r="AT24" i="28"/>
  <c r="AT25" i="28"/>
  <c r="AT26" i="28"/>
  <c r="AT27" i="28"/>
  <c r="AT28" i="28"/>
  <c r="AT29" i="28"/>
  <c r="AT30" i="28"/>
  <c r="AT31" i="28"/>
  <c r="AT32" i="28"/>
  <c r="AT33" i="28"/>
  <c r="AT34" i="28"/>
  <c r="AT35" i="28"/>
  <c r="AT36" i="28"/>
  <c r="AT37" i="28"/>
  <c r="AT38" i="28"/>
  <c r="AU8" i="28"/>
  <c r="AU9" i="28"/>
  <c r="AU10" i="28"/>
  <c r="AU11" i="28"/>
  <c r="AU12" i="28"/>
  <c r="AU13" i="28"/>
  <c r="AU14" i="28"/>
  <c r="AU15" i="28"/>
  <c r="AU16" i="28"/>
  <c r="AU17" i="28"/>
  <c r="AU18" i="28"/>
  <c r="AU19" i="28"/>
  <c r="AU20" i="28"/>
  <c r="AU21" i="28"/>
  <c r="AU22" i="28"/>
  <c r="AU23" i="28"/>
  <c r="AU24" i="28"/>
  <c r="AU25" i="28"/>
  <c r="AU26" i="28"/>
  <c r="AU27" i="28"/>
  <c r="AU28" i="28"/>
  <c r="AU29" i="28"/>
  <c r="AU30" i="28"/>
  <c r="AU31" i="28"/>
  <c r="AU32" i="28"/>
  <c r="AU33" i="28"/>
  <c r="AU34" i="28"/>
  <c r="AU35" i="28"/>
  <c r="AU36" i="28"/>
  <c r="AU37" i="28"/>
  <c r="AU38" i="28"/>
  <c r="AV8" i="28"/>
  <c r="AV9" i="28"/>
  <c r="AV10" i="28"/>
  <c r="AV11" i="28"/>
  <c r="AV12" i="28"/>
  <c r="AV13" i="28"/>
  <c r="AV14" i="28"/>
  <c r="AV15" i="28"/>
  <c r="AV16" i="28"/>
  <c r="AV17" i="28"/>
  <c r="AV18" i="28"/>
  <c r="AV19" i="28"/>
  <c r="AV20" i="28"/>
  <c r="AV21" i="28"/>
  <c r="AV22" i="28"/>
  <c r="AV23" i="28"/>
  <c r="AV24" i="28"/>
  <c r="AV25" i="28"/>
  <c r="AV26" i="28"/>
  <c r="AV27" i="28"/>
  <c r="AV28" i="28"/>
  <c r="AV29" i="28"/>
  <c r="AV30" i="28"/>
  <c r="AV31" i="28"/>
  <c r="AV32" i="28"/>
  <c r="AV33" i="28"/>
  <c r="AV34" i="28"/>
  <c r="AV35" i="28"/>
  <c r="AV36" i="28"/>
  <c r="AV37" i="28"/>
  <c r="AV38" i="28"/>
  <c r="AW8" i="28"/>
  <c r="AW9" i="28"/>
  <c r="AW10" i="28"/>
  <c r="AW11" i="28"/>
  <c r="AW12" i="28"/>
  <c r="AW13" i="28"/>
  <c r="AW14" i="28"/>
  <c r="AW15" i="28"/>
  <c r="AW16" i="28"/>
  <c r="AW17" i="28"/>
  <c r="AW18" i="28"/>
  <c r="AW19" i="28"/>
  <c r="AW20" i="28"/>
  <c r="AW21" i="28"/>
  <c r="AW22" i="28"/>
  <c r="AW23" i="28"/>
  <c r="AW24" i="28"/>
  <c r="AW25" i="28"/>
  <c r="AW26" i="28"/>
  <c r="AW27" i="28"/>
  <c r="AW28" i="28"/>
  <c r="AW29" i="28"/>
  <c r="AW30" i="28"/>
  <c r="AW31" i="28"/>
  <c r="AW32" i="28"/>
  <c r="AW33" i="28"/>
  <c r="AW34" i="28"/>
  <c r="AW35" i="28"/>
  <c r="AW36" i="28"/>
  <c r="AW37" i="28"/>
  <c r="AW38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Y8" i="28"/>
  <c r="AY9" i="28"/>
  <c r="AY10" i="28"/>
  <c r="AY11" i="28"/>
  <c r="AY12" i="28"/>
  <c r="AY13" i="28"/>
  <c r="AY14" i="28"/>
  <c r="AY15" i="28"/>
  <c r="AY16" i="28"/>
  <c r="AY17" i="28"/>
  <c r="AY18" i="28"/>
  <c r="AY19" i="28"/>
  <c r="AY20" i="28"/>
  <c r="AY21" i="28"/>
  <c r="AY22" i="28"/>
  <c r="AY23" i="28"/>
  <c r="AY24" i="28"/>
  <c r="AY25" i="28"/>
  <c r="AY26" i="28"/>
  <c r="AY27" i="28"/>
  <c r="AY28" i="28"/>
  <c r="AY29" i="28"/>
  <c r="AY30" i="28"/>
  <c r="AY31" i="28"/>
  <c r="AY32" i="28"/>
  <c r="AY33" i="28"/>
  <c r="AY34" i="28"/>
  <c r="AY35" i="28"/>
  <c r="AY36" i="28"/>
  <c r="AY37" i="28"/>
  <c r="AY38" i="28"/>
  <c r="AZ8" i="28"/>
  <c r="AZ9" i="28"/>
  <c r="AZ10" i="28"/>
  <c r="AZ11" i="28"/>
  <c r="AZ12" i="28"/>
  <c r="AZ13" i="28"/>
  <c r="AZ14" i="28"/>
  <c r="AZ15" i="28"/>
  <c r="AZ16" i="28"/>
  <c r="AZ17" i="28"/>
  <c r="AZ18" i="28"/>
  <c r="AZ19" i="28"/>
  <c r="AZ20" i="28"/>
  <c r="AZ21" i="28"/>
  <c r="AZ22" i="28"/>
  <c r="AZ23" i="28"/>
  <c r="AZ24" i="28"/>
  <c r="AZ25" i="28"/>
  <c r="AZ26" i="28"/>
  <c r="AZ27" i="28"/>
  <c r="AZ28" i="28"/>
  <c r="AZ29" i="28"/>
  <c r="AZ30" i="28"/>
  <c r="AZ31" i="28"/>
  <c r="AZ32" i="28"/>
  <c r="AZ33" i="28"/>
  <c r="AZ34" i="28"/>
  <c r="AZ35" i="28"/>
  <c r="AZ36" i="28"/>
  <c r="AZ37" i="28"/>
  <c r="AZ38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B8" i="28"/>
  <c r="BB9" i="28"/>
  <c r="BB10" i="28"/>
  <c r="BB11" i="28"/>
  <c r="BB12" i="28"/>
  <c r="BB13" i="28"/>
  <c r="BB14" i="28"/>
  <c r="BB15" i="28"/>
  <c r="BB16" i="28"/>
  <c r="BB17" i="28"/>
  <c r="BB18" i="28"/>
  <c r="BB19" i="28"/>
  <c r="BB20" i="28"/>
  <c r="BB21" i="28"/>
  <c r="BB22" i="28"/>
  <c r="BB23" i="28"/>
  <c r="BB24" i="28"/>
  <c r="BB25" i="28"/>
  <c r="BB26" i="28"/>
  <c r="BB27" i="28"/>
  <c r="BB28" i="28"/>
  <c r="BB29" i="28"/>
  <c r="BB30" i="28"/>
  <c r="BB31" i="28"/>
  <c r="BB32" i="28"/>
  <c r="BB33" i="28"/>
  <c r="BB34" i="28"/>
  <c r="BB35" i="28"/>
  <c r="BB36" i="28"/>
  <c r="BB37" i="28"/>
  <c r="BB38" i="28"/>
  <c r="BC8" i="28"/>
  <c r="BC9" i="28"/>
  <c r="BC10" i="28"/>
  <c r="BC11" i="28"/>
  <c r="BC12" i="28"/>
  <c r="BC13" i="28"/>
  <c r="BC14" i="28"/>
  <c r="BC15" i="28"/>
  <c r="BC16" i="28"/>
  <c r="BC17" i="28"/>
  <c r="BC18" i="28"/>
  <c r="BC19" i="28"/>
  <c r="BC20" i="28"/>
  <c r="BC21" i="28"/>
  <c r="BC22" i="28"/>
  <c r="BC23" i="28"/>
  <c r="BC24" i="28"/>
  <c r="BC25" i="28"/>
  <c r="BC26" i="28"/>
  <c r="BC27" i="28"/>
  <c r="BC28" i="28"/>
  <c r="BC29" i="28"/>
  <c r="BC30" i="28"/>
  <c r="BC31" i="28"/>
  <c r="BC32" i="28"/>
  <c r="BC33" i="28"/>
  <c r="BC34" i="28"/>
  <c r="BC35" i="28"/>
  <c r="BC36" i="28"/>
  <c r="BC37" i="28"/>
  <c r="BC38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E8" i="28"/>
  <c r="BE9" i="28"/>
  <c r="BE10" i="28"/>
  <c r="BE11" i="28"/>
  <c r="BE12" i="28"/>
  <c r="BE13" i="28"/>
  <c r="BE14" i="28"/>
  <c r="BE15" i="28"/>
  <c r="BE16" i="28"/>
  <c r="BE17" i="28"/>
  <c r="BE18" i="28"/>
  <c r="BE19" i="28"/>
  <c r="BE20" i="28"/>
  <c r="BE21" i="28"/>
  <c r="BE22" i="28"/>
  <c r="BE23" i="28"/>
  <c r="BE24" i="28"/>
  <c r="BE25" i="28"/>
  <c r="BE26" i="28"/>
  <c r="BE27" i="28"/>
  <c r="BE28" i="28"/>
  <c r="BE29" i="28"/>
  <c r="BE30" i="28"/>
  <c r="BE31" i="28"/>
  <c r="BE32" i="28"/>
  <c r="BE33" i="28"/>
  <c r="BE34" i="28"/>
  <c r="BE35" i="28"/>
  <c r="BE36" i="28"/>
  <c r="BE37" i="28"/>
  <c r="BE38" i="28"/>
  <c r="BF8" i="28"/>
  <c r="BF9" i="28"/>
  <c r="BF10" i="28"/>
  <c r="BF11" i="28"/>
  <c r="BF12" i="28"/>
  <c r="BF13" i="28"/>
  <c r="BF14" i="28"/>
  <c r="BF15" i="28"/>
  <c r="BF16" i="28"/>
  <c r="BF17" i="28"/>
  <c r="BF18" i="28"/>
  <c r="BF19" i="28"/>
  <c r="BF20" i="28"/>
  <c r="BF21" i="28"/>
  <c r="BF22" i="28"/>
  <c r="BF23" i="28"/>
  <c r="BF24" i="28"/>
  <c r="BF25" i="28"/>
  <c r="BF26" i="28"/>
  <c r="BF27" i="28"/>
  <c r="BF28" i="28"/>
  <c r="BF29" i="28"/>
  <c r="BF30" i="28"/>
  <c r="BF31" i="28"/>
  <c r="BF32" i="28"/>
  <c r="BF33" i="28"/>
  <c r="BF34" i="28"/>
  <c r="BF35" i="28"/>
  <c r="BF36" i="28"/>
  <c r="BF37" i="28"/>
  <c r="BF38" i="28"/>
  <c r="BG8" i="28"/>
  <c r="BG9" i="28"/>
  <c r="BG10" i="28"/>
  <c r="BG11" i="28"/>
  <c r="BG12" i="28"/>
  <c r="BG13" i="28"/>
  <c r="BG14" i="28"/>
  <c r="BG15" i="28"/>
  <c r="BG16" i="28"/>
  <c r="BG17" i="28"/>
  <c r="BG18" i="28"/>
  <c r="BG19" i="28"/>
  <c r="BG20" i="28"/>
  <c r="BG21" i="28"/>
  <c r="BG22" i="28"/>
  <c r="BG23" i="28"/>
  <c r="BG24" i="28"/>
  <c r="BG25" i="28"/>
  <c r="BG26" i="28"/>
  <c r="BG27" i="28"/>
  <c r="BG28" i="28"/>
  <c r="BG29" i="28"/>
  <c r="BG30" i="28"/>
  <c r="BG31" i="28"/>
  <c r="BG32" i="28"/>
  <c r="BG33" i="28"/>
  <c r="BG34" i="28"/>
  <c r="BG35" i="28"/>
  <c r="BG36" i="28"/>
  <c r="BG37" i="28"/>
  <c r="BG38" i="28"/>
  <c r="BH8" i="28"/>
  <c r="BH9" i="28"/>
  <c r="BH10" i="28"/>
  <c r="BH11" i="28"/>
  <c r="BH12" i="28"/>
  <c r="BH13" i="28"/>
  <c r="BH14" i="28"/>
  <c r="BH15" i="28"/>
  <c r="BH16" i="28"/>
  <c r="BH17" i="28"/>
  <c r="BH18" i="28"/>
  <c r="BH19" i="28"/>
  <c r="BH20" i="28"/>
  <c r="BH21" i="28"/>
  <c r="BH22" i="28"/>
  <c r="BH23" i="28"/>
  <c r="BH24" i="28"/>
  <c r="BH25" i="28"/>
  <c r="BH26" i="28"/>
  <c r="BH27" i="28"/>
  <c r="BH28" i="28"/>
  <c r="BH29" i="28"/>
  <c r="BH30" i="28"/>
  <c r="BH31" i="28"/>
  <c r="BH32" i="28"/>
  <c r="BH33" i="28"/>
  <c r="BH34" i="28"/>
  <c r="BH35" i="28"/>
  <c r="BH36" i="28"/>
  <c r="BH37" i="28"/>
  <c r="BH38" i="28"/>
  <c r="BI8" i="28"/>
  <c r="BI9" i="28"/>
  <c r="BI10" i="28"/>
  <c r="BI11" i="28"/>
  <c r="BI12" i="28"/>
  <c r="BI13" i="28"/>
  <c r="BI14" i="28"/>
  <c r="BI15" i="28"/>
  <c r="BI16" i="28"/>
  <c r="BI17" i="28"/>
  <c r="BI18" i="28"/>
  <c r="BI19" i="28"/>
  <c r="BI20" i="28"/>
  <c r="BI21" i="28"/>
  <c r="BI22" i="28"/>
  <c r="BI23" i="28"/>
  <c r="BI24" i="28"/>
  <c r="BI25" i="28"/>
  <c r="BI26" i="28"/>
  <c r="BI27" i="28"/>
  <c r="BI28" i="28"/>
  <c r="BI29" i="28"/>
  <c r="BI30" i="28"/>
  <c r="BI31" i="28"/>
  <c r="BI32" i="28"/>
  <c r="BI33" i="28"/>
  <c r="BI34" i="28"/>
  <c r="BI35" i="28"/>
  <c r="BI36" i="28"/>
  <c r="BI37" i="28"/>
  <c r="BI38" i="28"/>
  <c r="BJ8" i="28"/>
  <c r="BJ9" i="28"/>
  <c r="BJ10" i="28"/>
  <c r="BJ11" i="28"/>
  <c r="BJ12" i="28"/>
  <c r="BJ13" i="28"/>
  <c r="BJ14" i="28"/>
  <c r="BJ15" i="28"/>
  <c r="BJ16" i="28"/>
  <c r="BJ17" i="28"/>
  <c r="BJ18" i="28"/>
  <c r="BJ19" i="28"/>
  <c r="BJ20" i="28"/>
  <c r="BJ21" i="28"/>
  <c r="BJ22" i="28"/>
  <c r="BJ23" i="28"/>
  <c r="BJ24" i="28"/>
  <c r="BJ25" i="28"/>
  <c r="BJ26" i="28"/>
  <c r="BJ27" i="28"/>
  <c r="BJ28" i="28"/>
  <c r="BJ29" i="28"/>
  <c r="BJ30" i="28"/>
  <c r="BJ31" i="28"/>
  <c r="BJ32" i="28"/>
  <c r="BJ33" i="28"/>
  <c r="BJ34" i="28"/>
  <c r="BJ35" i="28"/>
  <c r="BJ36" i="28"/>
  <c r="BJ37" i="28"/>
  <c r="BJ38" i="28"/>
  <c r="BK8" i="28"/>
  <c r="BK9" i="28"/>
  <c r="BK10" i="28"/>
  <c r="BK11" i="28"/>
  <c r="BK12" i="28"/>
  <c r="BK13" i="28"/>
  <c r="BK14" i="28"/>
  <c r="BK15" i="28"/>
  <c r="BK16" i="28"/>
  <c r="BK17" i="28"/>
  <c r="BK18" i="28"/>
  <c r="BK19" i="28"/>
  <c r="BK20" i="28"/>
  <c r="BK21" i="28"/>
  <c r="BK22" i="28"/>
  <c r="BK23" i="28"/>
  <c r="BK24" i="28"/>
  <c r="BK25" i="28"/>
  <c r="BK26" i="28"/>
  <c r="BK27" i="28"/>
  <c r="BK28" i="28"/>
  <c r="BK29" i="28"/>
  <c r="BK30" i="28"/>
  <c r="BK31" i="28"/>
  <c r="BK32" i="28"/>
  <c r="BK33" i="28"/>
  <c r="BK34" i="28"/>
  <c r="BK35" i="28"/>
  <c r="BK36" i="28"/>
  <c r="BK37" i="28"/>
  <c r="BK38" i="28"/>
  <c r="Z41" i="28"/>
  <c r="AH8" i="33"/>
  <c r="AH9" i="33"/>
  <c r="AH10" i="33"/>
  <c r="AH11" i="33"/>
  <c r="AH12" i="33"/>
  <c r="AH13" i="33"/>
  <c r="AH14" i="33"/>
  <c r="AH15" i="33"/>
  <c r="AH16" i="33"/>
  <c r="AH17" i="33"/>
  <c r="AH18" i="33"/>
  <c r="AH19" i="33"/>
  <c r="AH20" i="33"/>
  <c r="AH21" i="33"/>
  <c r="AH22" i="33"/>
  <c r="AH23" i="33"/>
  <c r="AH24" i="33"/>
  <c r="AH25" i="33"/>
  <c r="AH26" i="33"/>
  <c r="AH27" i="33"/>
  <c r="AH28" i="33"/>
  <c r="AH29" i="33"/>
  <c r="AH30" i="33"/>
  <c r="AH31" i="33"/>
  <c r="AH32" i="33"/>
  <c r="AH33" i="33"/>
  <c r="AH34" i="33"/>
  <c r="AH35" i="33"/>
  <c r="AH36" i="33"/>
  <c r="AH37" i="33"/>
  <c r="AH38" i="33"/>
  <c r="AI8" i="33"/>
  <c r="AI9" i="33"/>
  <c r="AI10" i="33"/>
  <c r="AI11" i="33"/>
  <c r="AI12" i="33"/>
  <c r="AI13" i="33"/>
  <c r="AI14" i="33"/>
  <c r="AI15" i="33"/>
  <c r="AI16" i="33"/>
  <c r="AI17" i="33"/>
  <c r="AI18" i="33"/>
  <c r="AI19" i="33"/>
  <c r="AI20" i="33"/>
  <c r="AI21" i="33"/>
  <c r="AI22" i="33"/>
  <c r="AI23" i="33"/>
  <c r="AI24" i="33"/>
  <c r="AI25" i="33"/>
  <c r="AI26" i="33"/>
  <c r="AI27" i="33"/>
  <c r="AI28" i="33"/>
  <c r="AI29" i="33"/>
  <c r="AI30" i="33"/>
  <c r="AI31" i="33"/>
  <c r="AI32" i="33"/>
  <c r="AI33" i="33"/>
  <c r="AI34" i="33"/>
  <c r="AI35" i="33"/>
  <c r="AI36" i="33"/>
  <c r="AI37" i="33"/>
  <c r="AI38" i="33"/>
  <c r="AJ8" i="33"/>
  <c r="AJ9" i="33"/>
  <c r="AJ10" i="33"/>
  <c r="AJ11" i="33"/>
  <c r="AJ12" i="33"/>
  <c r="AJ13" i="33"/>
  <c r="AJ14" i="33"/>
  <c r="AJ15" i="33"/>
  <c r="AJ16" i="33"/>
  <c r="AJ17" i="33"/>
  <c r="AJ18" i="33"/>
  <c r="AJ19" i="33"/>
  <c r="AJ20" i="33"/>
  <c r="AJ21" i="33"/>
  <c r="AJ22" i="33"/>
  <c r="AJ23" i="33"/>
  <c r="AJ24" i="33"/>
  <c r="AJ25" i="33"/>
  <c r="AJ26" i="33"/>
  <c r="AJ27" i="33"/>
  <c r="AJ28" i="33"/>
  <c r="AJ29" i="33"/>
  <c r="AJ30" i="33"/>
  <c r="AJ31" i="33"/>
  <c r="AJ32" i="33"/>
  <c r="AJ33" i="33"/>
  <c r="AJ34" i="33"/>
  <c r="AJ35" i="33"/>
  <c r="AJ36" i="33"/>
  <c r="AJ37" i="33"/>
  <c r="AJ38" i="33"/>
  <c r="AK8" i="33"/>
  <c r="AK9" i="33"/>
  <c r="AK10" i="33"/>
  <c r="AK11" i="33"/>
  <c r="AK12" i="33"/>
  <c r="AK13" i="33"/>
  <c r="AK14" i="33"/>
  <c r="AK15" i="33"/>
  <c r="AK16" i="33"/>
  <c r="AK17" i="33"/>
  <c r="AK18" i="33"/>
  <c r="AK19" i="33"/>
  <c r="AK20" i="33"/>
  <c r="AK21" i="33"/>
  <c r="AK22" i="33"/>
  <c r="AK23" i="33"/>
  <c r="AK24" i="33"/>
  <c r="AK25" i="33"/>
  <c r="AK26" i="33"/>
  <c r="AK27" i="33"/>
  <c r="AK28" i="33"/>
  <c r="AK29" i="33"/>
  <c r="AK30" i="33"/>
  <c r="AK31" i="33"/>
  <c r="AK32" i="33"/>
  <c r="AK33" i="33"/>
  <c r="AK34" i="33"/>
  <c r="AK35" i="33"/>
  <c r="AK36" i="33"/>
  <c r="AK37" i="33"/>
  <c r="AK38" i="33"/>
  <c r="AL8" i="33"/>
  <c r="AL9" i="33"/>
  <c r="AL10" i="33"/>
  <c r="AL11" i="33"/>
  <c r="AL12" i="33"/>
  <c r="AL13" i="33"/>
  <c r="AL14" i="33"/>
  <c r="AL15" i="33"/>
  <c r="AL16" i="33"/>
  <c r="AL17" i="33"/>
  <c r="AL18" i="33"/>
  <c r="AL19" i="33"/>
  <c r="AL20" i="33"/>
  <c r="AL21" i="33"/>
  <c r="AL22" i="33"/>
  <c r="AL23" i="33"/>
  <c r="AL24" i="33"/>
  <c r="AL25" i="33"/>
  <c r="AL26" i="33"/>
  <c r="AL27" i="33"/>
  <c r="AL28" i="33"/>
  <c r="AL29" i="33"/>
  <c r="AL30" i="33"/>
  <c r="AL31" i="33"/>
  <c r="AL32" i="33"/>
  <c r="AL33" i="33"/>
  <c r="AL34" i="33"/>
  <c r="AL35" i="33"/>
  <c r="AL36" i="33"/>
  <c r="AL37" i="33"/>
  <c r="AL38" i="33"/>
  <c r="AM8" i="33"/>
  <c r="AM9" i="33"/>
  <c r="AM10" i="33"/>
  <c r="AM11" i="33"/>
  <c r="AM12" i="33"/>
  <c r="AM13" i="33"/>
  <c r="AM14" i="33"/>
  <c r="AM15" i="33"/>
  <c r="AM16" i="33"/>
  <c r="AM17" i="33"/>
  <c r="AM18" i="33"/>
  <c r="AM19" i="33"/>
  <c r="AM20" i="33"/>
  <c r="AM21" i="33"/>
  <c r="AM22" i="33"/>
  <c r="AM23" i="33"/>
  <c r="AM24" i="33"/>
  <c r="AM25" i="33"/>
  <c r="AM26" i="33"/>
  <c r="AM27" i="33"/>
  <c r="AM28" i="33"/>
  <c r="AM29" i="33"/>
  <c r="AM30" i="33"/>
  <c r="AM31" i="33"/>
  <c r="AM32" i="33"/>
  <c r="AM33" i="33"/>
  <c r="AM34" i="33"/>
  <c r="AM35" i="33"/>
  <c r="AM36" i="33"/>
  <c r="AM37" i="33"/>
  <c r="AM38" i="33"/>
  <c r="AN8" i="33"/>
  <c r="AN9" i="33"/>
  <c r="AN10" i="33"/>
  <c r="AN11" i="33"/>
  <c r="AN12" i="33"/>
  <c r="AN13" i="33"/>
  <c r="AN14" i="33"/>
  <c r="AN15" i="33"/>
  <c r="AN16" i="33"/>
  <c r="AN17" i="33"/>
  <c r="AN18" i="33"/>
  <c r="AN19" i="33"/>
  <c r="AN20" i="33"/>
  <c r="AN21" i="33"/>
  <c r="AN22" i="33"/>
  <c r="AN23" i="33"/>
  <c r="AN24" i="33"/>
  <c r="AN25" i="33"/>
  <c r="AN26" i="33"/>
  <c r="AN27" i="33"/>
  <c r="AN28" i="33"/>
  <c r="AN29" i="33"/>
  <c r="AN30" i="33"/>
  <c r="AN31" i="33"/>
  <c r="AN32" i="33"/>
  <c r="AN33" i="33"/>
  <c r="AN34" i="33"/>
  <c r="AN35" i="33"/>
  <c r="AN36" i="33"/>
  <c r="AN37" i="33"/>
  <c r="AN38" i="33"/>
  <c r="AO8" i="33"/>
  <c r="AO9" i="33"/>
  <c r="AO10" i="33"/>
  <c r="AO11" i="33"/>
  <c r="AO12" i="33"/>
  <c r="AO13" i="33"/>
  <c r="AO14" i="33"/>
  <c r="AO15" i="33"/>
  <c r="AO16" i="33"/>
  <c r="AO17" i="33"/>
  <c r="AO18" i="33"/>
  <c r="AO19" i="33"/>
  <c r="AO20" i="33"/>
  <c r="AO21" i="33"/>
  <c r="AO22" i="33"/>
  <c r="AO23" i="33"/>
  <c r="AO24" i="33"/>
  <c r="AO25" i="33"/>
  <c r="AO26" i="33"/>
  <c r="AO27" i="33"/>
  <c r="AO28" i="33"/>
  <c r="AO29" i="33"/>
  <c r="AO30" i="33"/>
  <c r="AO31" i="33"/>
  <c r="AO32" i="33"/>
  <c r="AO33" i="33"/>
  <c r="AO34" i="33"/>
  <c r="AO35" i="33"/>
  <c r="AO36" i="33"/>
  <c r="AO37" i="33"/>
  <c r="AO38" i="33"/>
  <c r="AP8" i="33"/>
  <c r="AP9" i="33"/>
  <c r="AP10" i="33"/>
  <c r="AP11" i="33"/>
  <c r="AP12" i="33"/>
  <c r="AP13" i="33"/>
  <c r="AP14" i="33"/>
  <c r="AP15" i="33"/>
  <c r="AP16" i="33"/>
  <c r="AP17" i="33"/>
  <c r="AP18" i="33"/>
  <c r="AP19" i="33"/>
  <c r="AP20" i="33"/>
  <c r="AP21" i="33"/>
  <c r="AP22" i="33"/>
  <c r="AP23" i="33"/>
  <c r="AP24" i="33"/>
  <c r="AP25" i="33"/>
  <c r="AP26" i="33"/>
  <c r="AP27" i="33"/>
  <c r="AP28" i="33"/>
  <c r="AP29" i="33"/>
  <c r="AP30" i="33"/>
  <c r="AP31" i="33"/>
  <c r="AP32" i="33"/>
  <c r="AP33" i="33"/>
  <c r="AP34" i="33"/>
  <c r="AP35" i="33"/>
  <c r="AP36" i="33"/>
  <c r="AP37" i="33"/>
  <c r="AP38" i="33"/>
  <c r="AQ8" i="33"/>
  <c r="AQ9" i="33"/>
  <c r="AQ10" i="33"/>
  <c r="AQ11" i="33"/>
  <c r="AQ12" i="33"/>
  <c r="AQ13" i="33"/>
  <c r="AQ14" i="33"/>
  <c r="AQ15" i="33"/>
  <c r="AQ16" i="33"/>
  <c r="AQ17" i="33"/>
  <c r="AQ18" i="33"/>
  <c r="AQ19" i="33"/>
  <c r="AQ20" i="33"/>
  <c r="AQ21" i="33"/>
  <c r="AQ22" i="33"/>
  <c r="AQ23" i="33"/>
  <c r="AQ24" i="33"/>
  <c r="AQ25" i="33"/>
  <c r="AQ26" i="33"/>
  <c r="AQ27" i="33"/>
  <c r="AQ28" i="33"/>
  <c r="AQ29" i="33"/>
  <c r="AQ30" i="33"/>
  <c r="AQ31" i="33"/>
  <c r="AQ32" i="33"/>
  <c r="AQ33" i="33"/>
  <c r="AQ34" i="33"/>
  <c r="AQ35" i="33"/>
  <c r="AQ36" i="33"/>
  <c r="AQ37" i="33"/>
  <c r="AQ38" i="33"/>
  <c r="AR8" i="33"/>
  <c r="AR9" i="33"/>
  <c r="AR10" i="33"/>
  <c r="AR11" i="33"/>
  <c r="AR12" i="33"/>
  <c r="AR13" i="33"/>
  <c r="AR14" i="33"/>
  <c r="AR15" i="33"/>
  <c r="AR16" i="33"/>
  <c r="AR17" i="33"/>
  <c r="AR18" i="33"/>
  <c r="AR19" i="33"/>
  <c r="AR20" i="33"/>
  <c r="AR21" i="33"/>
  <c r="AR22" i="33"/>
  <c r="AR23" i="33"/>
  <c r="AR24" i="33"/>
  <c r="AR25" i="33"/>
  <c r="AR26" i="33"/>
  <c r="AR27" i="33"/>
  <c r="AR28" i="33"/>
  <c r="AR29" i="33"/>
  <c r="AR30" i="33"/>
  <c r="AR31" i="33"/>
  <c r="AR32" i="33"/>
  <c r="AR33" i="33"/>
  <c r="AR34" i="33"/>
  <c r="AR35" i="33"/>
  <c r="AR36" i="33"/>
  <c r="AR37" i="33"/>
  <c r="AR38" i="33"/>
  <c r="AS8" i="33"/>
  <c r="AS9" i="33"/>
  <c r="AS10" i="33"/>
  <c r="AS11" i="33"/>
  <c r="AS12" i="33"/>
  <c r="AS13" i="33"/>
  <c r="AS14" i="33"/>
  <c r="AS15" i="33"/>
  <c r="AS16" i="33"/>
  <c r="AS17" i="33"/>
  <c r="AS18" i="33"/>
  <c r="AS19" i="33"/>
  <c r="AS20" i="33"/>
  <c r="AS21" i="33"/>
  <c r="AS22" i="33"/>
  <c r="AS23" i="33"/>
  <c r="AS24" i="33"/>
  <c r="AS25" i="33"/>
  <c r="AS26" i="33"/>
  <c r="AS27" i="33"/>
  <c r="AS28" i="33"/>
  <c r="AS29" i="33"/>
  <c r="AS30" i="33"/>
  <c r="AS31" i="33"/>
  <c r="AS32" i="33"/>
  <c r="AS33" i="33"/>
  <c r="AS34" i="33"/>
  <c r="AS35" i="33"/>
  <c r="AS36" i="33"/>
  <c r="AS37" i="33"/>
  <c r="AS38" i="33"/>
  <c r="AT8" i="33"/>
  <c r="AT9" i="33"/>
  <c r="AT10" i="33"/>
  <c r="AT11" i="33"/>
  <c r="AT12" i="33"/>
  <c r="AT13" i="33"/>
  <c r="AT14" i="33"/>
  <c r="AT15" i="33"/>
  <c r="AT16" i="33"/>
  <c r="AT17" i="33"/>
  <c r="AT18" i="33"/>
  <c r="AT19" i="33"/>
  <c r="AT20" i="33"/>
  <c r="AT21" i="33"/>
  <c r="AT22" i="33"/>
  <c r="AT23" i="33"/>
  <c r="AT24" i="33"/>
  <c r="AT25" i="33"/>
  <c r="AT26" i="33"/>
  <c r="AT27" i="33"/>
  <c r="AT28" i="33"/>
  <c r="AT29" i="33"/>
  <c r="AT30" i="33"/>
  <c r="AT31" i="33"/>
  <c r="AT32" i="33"/>
  <c r="AT33" i="33"/>
  <c r="AT34" i="33"/>
  <c r="AT35" i="33"/>
  <c r="AT36" i="33"/>
  <c r="AT37" i="33"/>
  <c r="AT38" i="33"/>
  <c r="AU8" i="33"/>
  <c r="AU9" i="33"/>
  <c r="AU10" i="33"/>
  <c r="AU11" i="33"/>
  <c r="AU12" i="33"/>
  <c r="AU13" i="33"/>
  <c r="AU14" i="33"/>
  <c r="AU15" i="33"/>
  <c r="AU16" i="33"/>
  <c r="AU17" i="33"/>
  <c r="AU18" i="33"/>
  <c r="AU19" i="33"/>
  <c r="AU20" i="33"/>
  <c r="AU21" i="33"/>
  <c r="AU22" i="33"/>
  <c r="AU23" i="33"/>
  <c r="AU24" i="33"/>
  <c r="AU25" i="33"/>
  <c r="AU26" i="33"/>
  <c r="AU27" i="33"/>
  <c r="AU28" i="33"/>
  <c r="AU29" i="33"/>
  <c r="AU30" i="33"/>
  <c r="AU31" i="33"/>
  <c r="AU32" i="33"/>
  <c r="AU33" i="33"/>
  <c r="AU34" i="33"/>
  <c r="AU35" i="33"/>
  <c r="AU36" i="33"/>
  <c r="AU37" i="33"/>
  <c r="AU38" i="33"/>
  <c r="AV8" i="33"/>
  <c r="AV9" i="33"/>
  <c r="AV10" i="33"/>
  <c r="AV11" i="33"/>
  <c r="AV12" i="33"/>
  <c r="AV13" i="33"/>
  <c r="AV14" i="33"/>
  <c r="AV15" i="33"/>
  <c r="AV16" i="33"/>
  <c r="AV17" i="33"/>
  <c r="AV18" i="33"/>
  <c r="AV19" i="33"/>
  <c r="AV20" i="33"/>
  <c r="AV21" i="33"/>
  <c r="AV22" i="33"/>
  <c r="AV23" i="33"/>
  <c r="AV24" i="33"/>
  <c r="AV25" i="33"/>
  <c r="AV26" i="33"/>
  <c r="AV27" i="33"/>
  <c r="AV28" i="33"/>
  <c r="AV29" i="33"/>
  <c r="AV30" i="33"/>
  <c r="AV31" i="33"/>
  <c r="AV32" i="33"/>
  <c r="AV33" i="33"/>
  <c r="AV34" i="33"/>
  <c r="AV35" i="33"/>
  <c r="AV36" i="33"/>
  <c r="AV37" i="33"/>
  <c r="AV38" i="33"/>
  <c r="AW8" i="33"/>
  <c r="AW9" i="33"/>
  <c r="AW10" i="33"/>
  <c r="AW11" i="33"/>
  <c r="AW12" i="33"/>
  <c r="AW13" i="33"/>
  <c r="AW14" i="33"/>
  <c r="AW15" i="33"/>
  <c r="AW16" i="33"/>
  <c r="AW17" i="33"/>
  <c r="AW18" i="33"/>
  <c r="AW19" i="33"/>
  <c r="AW20" i="33"/>
  <c r="AW21" i="33"/>
  <c r="AW22" i="33"/>
  <c r="AW23" i="33"/>
  <c r="AW24" i="33"/>
  <c r="AW25" i="33"/>
  <c r="AW26" i="33"/>
  <c r="AW27" i="33"/>
  <c r="AW28" i="33"/>
  <c r="AW29" i="33"/>
  <c r="AW30" i="33"/>
  <c r="AW31" i="33"/>
  <c r="AW32" i="33"/>
  <c r="AW33" i="33"/>
  <c r="AW34" i="33"/>
  <c r="AW35" i="33"/>
  <c r="AW36" i="33"/>
  <c r="AW37" i="33"/>
  <c r="AW38" i="33"/>
  <c r="AX8" i="33"/>
  <c r="AX9" i="33"/>
  <c r="AX10" i="33"/>
  <c r="AX11" i="33"/>
  <c r="AX12" i="33"/>
  <c r="AX13" i="33"/>
  <c r="AX14" i="33"/>
  <c r="AX15" i="33"/>
  <c r="AX16" i="33"/>
  <c r="AX17" i="33"/>
  <c r="AX18" i="33"/>
  <c r="AX19" i="33"/>
  <c r="AX20" i="33"/>
  <c r="AX21" i="33"/>
  <c r="AX22" i="33"/>
  <c r="AX23" i="33"/>
  <c r="AX24" i="33"/>
  <c r="AX25" i="33"/>
  <c r="AX26" i="33"/>
  <c r="AX27" i="33"/>
  <c r="AX28" i="33"/>
  <c r="AX29" i="33"/>
  <c r="AX30" i="33"/>
  <c r="AX31" i="33"/>
  <c r="AX32" i="33"/>
  <c r="AX33" i="33"/>
  <c r="AX34" i="33"/>
  <c r="AX35" i="33"/>
  <c r="AX36" i="33"/>
  <c r="AX37" i="33"/>
  <c r="AX38" i="33"/>
  <c r="AY8" i="33"/>
  <c r="AY9" i="33"/>
  <c r="AY10" i="33"/>
  <c r="AY11" i="33"/>
  <c r="AY12" i="33"/>
  <c r="AY13" i="33"/>
  <c r="AY14" i="33"/>
  <c r="AY15" i="33"/>
  <c r="AY16" i="33"/>
  <c r="AY17" i="33"/>
  <c r="AY18" i="33"/>
  <c r="AY19" i="33"/>
  <c r="AY20" i="33"/>
  <c r="AY21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34" i="33"/>
  <c r="AY35" i="33"/>
  <c r="AY36" i="33"/>
  <c r="AY37" i="33"/>
  <c r="AY38" i="33"/>
  <c r="AZ8" i="33"/>
  <c r="AZ9" i="33"/>
  <c r="AZ10" i="33"/>
  <c r="AZ11" i="33"/>
  <c r="AZ12" i="33"/>
  <c r="AZ13" i="33"/>
  <c r="AZ14" i="33"/>
  <c r="AZ15" i="33"/>
  <c r="AZ16" i="33"/>
  <c r="AZ17" i="33"/>
  <c r="AZ18" i="33"/>
  <c r="AZ19" i="33"/>
  <c r="AZ20" i="33"/>
  <c r="AZ21" i="33"/>
  <c r="AZ22" i="33"/>
  <c r="AZ23" i="33"/>
  <c r="AZ24" i="33"/>
  <c r="AZ25" i="33"/>
  <c r="AZ26" i="33"/>
  <c r="AZ27" i="33"/>
  <c r="AZ28" i="33"/>
  <c r="AZ29" i="33"/>
  <c r="AZ30" i="33"/>
  <c r="AZ31" i="33"/>
  <c r="AZ32" i="33"/>
  <c r="AZ33" i="33"/>
  <c r="AZ34" i="33"/>
  <c r="AZ35" i="33"/>
  <c r="AZ36" i="33"/>
  <c r="AZ37" i="33"/>
  <c r="AZ38" i="33"/>
  <c r="BA8" i="33"/>
  <c r="BA9" i="33"/>
  <c r="BA10" i="33"/>
  <c r="BA11" i="33"/>
  <c r="BA12" i="33"/>
  <c r="BA13" i="33"/>
  <c r="BA14" i="33"/>
  <c r="BA15" i="33"/>
  <c r="BA16" i="33"/>
  <c r="BA17" i="33"/>
  <c r="BA18" i="33"/>
  <c r="BA19" i="33"/>
  <c r="BA20" i="33"/>
  <c r="BA21" i="33"/>
  <c r="BA22" i="33"/>
  <c r="BA23" i="33"/>
  <c r="BA24" i="33"/>
  <c r="BA25" i="33"/>
  <c r="BA26" i="33"/>
  <c r="BA27" i="33"/>
  <c r="BA28" i="33"/>
  <c r="BA29" i="33"/>
  <c r="BA30" i="33"/>
  <c r="BA31" i="33"/>
  <c r="BA32" i="33"/>
  <c r="BA33" i="33"/>
  <c r="BA34" i="33"/>
  <c r="BA35" i="33"/>
  <c r="BA36" i="33"/>
  <c r="BA37" i="33"/>
  <c r="BA38" i="33"/>
  <c r="BB8" i="33"/>
  <c r="BB9" i="33"/>
  <c r="BB10" i="33"/>
  <c r="BB11" i="33"/>
  <c r="BB12" i="33"/>
  <c r="BB13" i="33"/>
  <c r="BB14" i="33"/>
  <c r="BB15" i="33"/>
  <c r="BB16" i="33"/>
  <c r="BB17" i="33"/>
  <c r="BB18" i="33"/>
  <c r="BB19" i="33"/>
  <c r="BB20" i="33"/>
  <c r="BB21" i="33"/>
  <c r="BB22" i="33"/>
  <c r="BB23" i="33"/>
  <c r="BB24" i="33"/>
  <c r="BB25" i="33"/>
  <c r="BB26" i="33"/>
  <c r="BB27" i="33"/>
  <c r="BB28" i="33"/>
  <c r="BB29" i="33"/>
  <c r="BB30" i="33"/>
  <c r="BB31" i="33"/>
  <c r="BB32" i="33"/>
  <c r="BB33" i="33"/>
  <c r="BB34" i="33"/>
  <c r="BB35" i="33"/>
  <c r="BB36" i="33"/>
  <c r="BB37" i="33"/>
  <c r="BB38" i="33"/>
  <c r="BC8" i="33"/>
  <c r="BC9" i="33"/>
  <c r="BC10" i="33"/>
  <c r="BC11" i="33"/>
  <c r="BC12" i="33"/>
  <c r="BC13" i="33"/>
  <c r="BC14" i="33"/>
  <c r="BC15" i="33"/>
  <c r="BC16" i="33"/>
  <c r="BC17" i="33"/>
  <c r="BC18" i="33"/>
  <c r="BC19" i="33"/>
  <c r="BC20" i="33"/>
  <c r="BC21" i="33"/>
  <c r="BC22" i="33"/>
  <c r="BC23" i="33"/>
  <c r="BC24" i="33"/>
  <c r="BC25" i="33"/>
  <c r="BC26" i="33"/>
  <c r="BC27" i="33"/>
  <c r="BC28" i="33"/>
  <c r="BC29" i="33"/>
  <c r="BC30" i="33"/>
  <c r="BC31" i="33"/>
  <c r="BC32" i="33"/>
  <c r="BC33" i="33"/>
  <c r="BC34" i="33"/>
  <c r="BC35" i="33"/>
  <c r="BC36" i="33"/>
  <c r="BC37" i="33"/>
  <c r="BC38" i="33"/>
  <c r="BD8" i="33"/>
  <c r="BD9" i="33"/>
  <c r="BD10" i="33"/>
  <c r="BD11" i="33"/>
  <c r="BD12" i="33"/>
  <c r="BD13" i="33"/>
  <c r="BD14" i="33"/>
  <c r="BD15" i="33"/>
  <c r="BD16" i="33"/>
  <c r="BD17" i="33"/>
  <c r="BD18" i="33"/>
  <c r="BD19" i="33"/>
  <c r="BD20" i="33"/>
  <c r="BD21" i="33"/>
  <c r="BD22" i="33"/>
  <c r="BD23" i="33"/>
  <c r="BD24" i="33"/>
  <c r="BD25" i="33"/>
  <c r="BD26" i="33"/>
  <c r="BD27" i="33"/>
  <c r="BD28" i="33"/>
  <c r="BD29" i="33"/>
  <c r="BD30" i="33"/>
  <c r="BD31" i="33"/>
  <c r="BD32" i="33"/>
  <c r="BD33" i="33"/>
  <c r="BD34" i="33"/>
  <c r="BD35" i="33"/>
  <c r="BD36" i="33"/>
  <c r="BD37" i="33"/>
  <c r="BD38" i="33"/>
  <c r="BE8" i="33"/>
  <c r="BE9" i="33"/>
  <c r="BE10" i="33"/>
  <c r="BE11" i="33"/>
  <c r="BE12" i="33"/>
  <c r="BE13" i="33"/>
  <c r="BE14" i="33"/>
  <c r="BE15" i="33"/>
  <c r="BE16" i="33"/>
  <c r="BE17" i="33"/>
  <c r="BE18" i="33"/>
  <c r="BE19" i="33"/>
  <c r="BE20" i="33"/>
  <c r="BE21" i="33"/>
  <c r="BE22" i="33"/>
  <c r="BE23" i="33"/>
  <c r="BE24" i="33"/>
  <c r="BE25" i="33"/>
  <c r="BE26" i="33"/>
  <c r="BE27" i="33"/>
  <c r="BE28" i="33"/>
  <c r="BE29" i="33"/>
  <c r="BE30" i="33"/>
  <c r="BE31" i="33"/>
  <c r="BE32" i="33"/>
  <c r="BE33" i="33"/>
  <c r="BE34" i="33"/>
  <c r="BE35" i="33"/>
  <c r="BE36" i="33"/>
  <c r="BE37" i="33"/>
  <c r="BE38" i="33"/>
  <c r="BF8" i="33"/>
  <c r="BF9" i="33"/>
  <c r="BF10" i="33"/>
  <c r="BF11" i="33"/>
  <c r="BF12" i="33"/>
  <c r="BF13" i="33"/>
  <c r="BF14" i="33"/>
  <c r="BF15" i="33"/>
  <c r="BF16" i="33"/>
  <c r="BF17" i="33"/>
  <c r="BF18" i="33"/>
  <c r="BF19" i="33"/>
  <c r="BF20" i="33"/>
  <c r="BF21" i="33"/>
  <c r="BF22" i="33"/>
  <c r="BF23" i="33"/>
  <c r="BF24" i="33"/>
  <c r="BF25" i="33"/>
  <c r="BF26" i="33"/>
  <c r="BF27" i="33"/>
  <c r="BF28" i="33"/>
  <c r="BF29" i="33"/>
  <c r="BF30" i="33"/>
  <c r="BF31" i="33"/>
  <c r="BF32" i="33"/>
  <c r="BF33" i="33"/>
  <c r="BF34" i="33"/>
  <c r="BF35" i="33"/>
  <c r="BF36" i="33"/>
  <c r="BF37" i="33"/>
  <c r="BF38" i="33"/>
  <c r="BG8" i="33"/>
  <c r="BG9" i="33"/>
  <c r="BG10" i="33"/>
  <c r="BG11" i="33"/>
  <c r="BG12" i="33"/>
  <c r="BG13" i="33"/>
  <c r="BG14" i="33"/>
  <c r="BG15" i="33"/>
  <c r="BG16" i="33"/>
  <c r="BG17" i="33"/>
  <c r="BG18" i="33"/>
  <c r="BG19" i="33"/>
  <c r="BG20" i="33"/>
  <c r="BG21" i="33"/>
  <c r="BG22" i="33"/>
  <c r="BG23" i="33"/>
  <c r="BG24" i="33"/>
  <c r="BG25" i="33"/>
  <c r="BG26" i="33"/>
  <c r="BG27" i="33"/>
  <c r="BG28" i="33"/>
  <c r="BG29" i="33"/>
  <c r="BG30" i="33"/>
  <c r="BG31" i="33"/>
  <c r="BG32" i="33"/>
  <c r="BG33" i="33"/>
  <c r="BG34" i="33"/>
  <c r="BG35" i="33"/>
  <c r="BG36" i="33"/>
  <c r="BG37" i="33"/>
  <c r="BG38" i="33"/>
  <c r="BH8" i="33"/>
  <c r="BH9" i="33"/>
  <c r="BH10" i="33"/>
  <c r="BH11" i="33"/>
  <c r="BH12" i="33"/>
  <c r="BH13" i="33"/>
  <c r="BH14" i="33"/>
  <c r="BH15" i="33"/>
  <c r="BH16" i="33"/>
  <c r="BH17" i="33"/>
  <c r="BH18" i="33"/>
  <c r="BH19" i="33"/>
  <c r="BH20" i="33"/>
  <c r="BH21" i="33"/>
  <c r="BH22" i="33"/>
  <c r="BH23" i="33"/>
  <c r="BH24" i="33"/>
  <c r="BH25" i="33"/>
  <c r="BH26" i="33"/>
  <c r="BH27" i="33"/>
  <c r="BH28" i="33"/>
  <c r="BH29" i="33"/>
  <c r="BH30" i="33"/>
  <c r="BH31" i="33"/>
  <c r="BH32" i="33"/>
  <c r="BH33" i="33"/>
  <c r="BH34" i="33"/>
  <c r="BH35" i="33"/>
  <c r="BH36" i="33"/>
  <c r="BH37" i="33"/>
  <c r="BH38" i="33"/>
  <c r="BI8" i="33"/>
  <c r="BI9" i="33"/>
  <c r="BI10" i="33"/>
  <c r="BI11" i="33"/>
  <c r="BI12" i="33"/>
  <c r="BI13" i="33"/>
  <c r="BI14" i="33"/>
  <c r="BI15" i="33"/>
  <c r="BI16" i="33"/>
  <c r="BI17" i="33"/>
  <c r="BI18" i="33"/>
  <c r="BI19" i="33"/>
  <c r="BI20" i="33"/>
  <c r="BI21" i="33"/>
  <c r="BI22" i="33"/>
  <c r="BI23" i="33"/>
  <c r="BI24" i="33"/>
  <c r="BI25" i="33"/>
  <c r="BI26" i="33"/>
  <c r="BI27" i="33"/>
  <c r="BI28" i="33"/>
  <c r="BI29" i="33"/>
  <c r="BI30" i="33"/>
  <c r="BI31" i="33"/>
  <c r="BI32" i="33"/>
  <c r="BI33" i="33"/>
  <c r="BI34" i="33"/>
  <c r="BI35" i="33"/>
  <c r="BI36" i="33"/>
  <c r="BI37" i="33"/>
  <c r="BI38" i="33"/>
  <c r="BJ8" i="33"/>
  <c r="BJ9" i="33"/>
  <c r="BJ10" i="33"/>
  <c r="BJ11" i="33"/>
  <c r="BJ12" i="33"/>
  <c r="BJ13" i="33"/>
  <c r="BJ14" i="33"/>
  <c r="BJ15" i="33"/>
  <c r="BJ16" i="33"/>
  <c r="BJ17" i="33"/>
  <c r="BJ18" i="33"/>
  <c r="BJ19" i="33"/>
  <c r="BJ20" i="33"/>
  <c r="BJ21" i="33"/>
  <c r="BJ22" i="33"/>
  <c r="BJ23" i="33"/>
  <c r="BJ24" i="33"/>
  <c r="BJ25" i="33"/>
  <c r="BJ26" i="33"/>
  <c r="BJ27" i="33"/>
  <c r="BJ28" i="33"/>
  <c r="BJ29" i="33"/>
  <c r="BJ30" i="33"/>
  <c r="BJ31" i="33"/>
  <c r="BJ32" i="33"/>
  <c r="BJ33" i="33"/>
  <c r="BJ34" i="33"/>
  <c r="BJ35" i="33"/>
  <c r="BJ36" i="33"/>
  <c r="BJ37" i="33"/>
  <c r="BJ38" i="33"/>
  <c r="BK8" i="33"/>
  <c r="BK9" i="33"/>
  <c r="BK10" i="33"/>
  <c r="BK11" i="33"/>
  <c r="BK12" i="33"/>
  <c r="BK13" i="33"/>
  <c r="BK14" i="33"/>
  <c r="BK15" i="33"/>
  <c r="BK16" i="33"/>
  <c r="BK17" i="33"/>
  <c r="BK18" i="33"/>
  <c r="BK19" i="33"/>
  <c r="BK20" i="33"/>
  <c r="BK21" i="33"/>
  <c r="BK22" i="33"/>
  <c r="BK23" i="33"/>
  <c r="BK24" i="33"/>
  <c r="BK25" i="33"/>
  <c r="BK26" i="33"/>
  <c r="BK27" i="33"/>
  <c r="BK28" i="33"/>
  <c r="BK29" i="33"/>
  <c r="BK30" i="33"/>
  <c r="BK31" i="33"/>
  <c r="BK32" i="33"/>
  <c r="BK33" i="33"/>
  <c r="BK34" i="33"/>
  <c r="BK35" i="33"/>
  <c r="BK36" i="33"/>
  <c r="BK37" i="33"/>
  <c r="BK38" i="33"/>
  <c r="AH8" i="32"/>
  <c r="AH9" i="32"/>
  <c r="AH10" i="32"/>
  <c r="AH11" i="32"/>
  <c r="AH12" i="32"/>
  <c r="AH13" i="32"/>
  <c r="AH14" i="32"/>
  <c r="AH15" i="32"/>
  <c r="AH16" i="32"/>
  <c r="AH17" i="32"/>
  <c r="AH18" i="32"/>
  <c r="AH19" i="32"/>
  <c r="AH20" i="32"/>
  <c r="AH21" i="32"/>
  <c r="AH22" i="32"/>
  <c r="AH23" i="32"/>
  <c r="AH24" i="32"/>
  <c r="AH25" i="32"/>
  <c r="AH26" i="32"/>
  <c r="AH27" i="32"/>
  <c r="AH28" i="32"/>
  <c r="AH29" i="32"/>
  <c r="AH30" i="32"/>
  <c r="AH31" i="32"/>
  <c r="AH32" i="32"/>
  <c r="AH33" i="32"/>
  <c r="AH34" i="32"/>
  <c r="AH35" i="32"/>
  <c r="AH36" i="32"/>
  <c r="AH37" i="32"/>
  <c r="AH38" i="32"/>
  <c r="AI8" i="32"/>
  <c r="AI9" i="32"/>
  <c r="AI10" i="32"/>
  <c r="AI11" i="32"/>
  <c r="AI12" i="32"/>
  <c r="AI13" i="32"/>
  <c r="AI14" i="32"/>
  <c r="AI15" i="32"/>
  <c r="AI16" i="32"/>
  <c r="AI17" i="32"/>
  <c r="AI18" i="32"/>
  <c r="AI19" i="32"/>
  <c r="AI20" i="32"/>
  <c r="AI21" i="32"/>
  <c r="AI22" i="32"/>
  <c r="AI23" i="32"/>
  <c r="AI24" i="32"/>
  <c r="AI25" i="32"/>
  <c r="AI26" i="32"/>
  <c r="AI27" i="32"/>
  <c r="AI28" i="32"/>
  <c r="AI29" i="32"/>
  <c r="AI30" i="32"/>
  <c r="AI31" i="32"/>
  <c r="AI32" i="32"/>
  <c r="AI33" i="32"/>
  <c r="AI34" i="32"/>
  <c r="AI35" i="32"/>
  <c r="AI36" i="32"/>
  <c r="AI37" i="32"/>
  <c r="AI38" i="32"/>
  <c r="AJ8" i="32"/>
  <c r="AJ9" i="32"/>
  <c r="AJ10" i="32"/>
  <c r="AJ11" i="32"/>
  <c r="AJ12" i="32"/>
  <c r="AJ13" i="32"/>
  <c r="AJ14" i="32"/>
  <c r="AJ15" i="32"/>
  <c r="AJ16" i="32"/>
  <c r="AJ17" i="32"/>
  <c r="AJ18" i="32"/>
  <c r="AJ19" i="32"/>
  <c r="AJ20" i="32"/>
  <c r="AJ21" i="32"/>
  <c r="AJ22" i="32"/>
  <c r="AJ23" i="32"/>
  <c r="AJ24" i="32"/>
  <c r="AJ25" i="32"/>
  <c r="AJ26" i="32"/>
  <c r="AJ27" i="32"/>
  <c r="AJ28" i="32"/>
  <c r="AJ29" i="32"/>
  <c r="AJ30" i="32"/>
  <c r="AJ31" i="32"/>
  <c r="AJ32" i="32"/>
  <c r="AJ33" i="32"/>
  <c r="AJ34" i="32"/>
  <c r="AJ35" i="32"/>
  <c r="AJ36" i="32"/>
  <c r="AJ37" i="32"/>
  <c r="AJ38" i="32"/>
  <c r="AK8" i="32"/>
  <c r="AK9" i="32"/>
  <c r="AK10" i="32"/>
  <c r="AK11" i="32"/>
  <c r="AK12" i="32"/>
  <c r="AK13" i="32"/>
  <c r="AK14" i="32"/>
  <c r="AK15" i="32"/>
  <c r="AK16" i="32"/>
  <c r="AK17" i="32"/>
  <c r="AK18" i="32"/>
  <c r="AK19" i="32"/>
  <c r="AK20" i="32"/>
  <c r="AK21" i="32"/>
  <c r="AK22" i="32"/>
  <c r="AK23" i="32"/>
  <c r="AK24" i="32"/>
  <c r="AK25" i="32"/>
  <c r="AK26" i="32"/>
  <c r="AK27" i="32"/>
  <c r="AK28" i="32"/>
  <c r="AK29" i="32"/>
  <c r="AK30" i="32"/>
  <c r="AK31" i="32"/>
  <c r="AK32" i="32"/>
  <c r="AK33" i="32"/>
  <c r="AK34" i="32"/>
  <c r="AK35" i="32"/>
  <c r="AK36" i="32"/>
  <c r="AK37" i="32"/>
  <c r="AK38" i="32"/>
  <c r="AL8" i="32"/>
  <c r="AL9" i="32"/>
  <c r="AL10" i="32"/>
  <c r="AL11" i="32"/>
  <c r="AL12" i="32"/>
  <c r="AL13" i="32"/>
  <c r="AL14" i="32"/>
  <c r="AL15" i="32"/>
  <c r="AL16" i="32"/>
  <c r="AL17" i="32"/>
  <c r="AL18" i="32"/>
  <c r="AL19" i="32"/>
  <c r="AL20" i="32"/>
  <c r="AL21" i="32"/>
  <c r="AL22" i="32"/>
  <c r="AL23" i="32"/>
  <c r="AL24" i="32"/>
  <c r="AL25" i="32"/>
  <c r="AL26" i="32"/>
  <c r="AL27" i="32"/>
  <c r="AL28" i="32"/>
  <c r="AL29" i="32"/>
  <c r="AL30" i="32"/>
  <c r="AL31" i="32"/>
  <c r="AL32" i="32"/>
  <c r="AL33" i="32"/>
  <c r="AL34" i="32"/>
  <c r="AL35" i="32"/>
  <c r="AL36" i="32"/>
  <c r="AL37" i="32"/>
  <c r="AL38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N8" i="32"/>
  <c r="AN9" i="32"/>
  <c r="AN10" i="32"/>
  <c r="AN11" i="32"/>
  <c r="AN12" i="32"/>
  <c r="AN13" i="32"/>
  <c r="AN14" i="32"/>
  <c r="AN15" i="32"/>
  <c r="AN16" i="32"/>
  <c r="AN17" i="32"/>
  <c r="AN18" i="32"/>
  <c r="AN19" i="32"/>
  <c r="AN20" i="32"/>
  <c r="AN21" i="32"/>
  <c r="AN22" i="32"/>
  <c r="AN23" i="32"/>
  <c r="AN24" i="32"/>
  <c r="AN25" i="32"/>
  <c r="AN26" i="32"/>
  <c r="AN27" i="32"/>
  <c r="AN28" i="32"/>
  <c r="AN29" i="32"/>
  <c r="AN30" i="32"/>
  <c r="AN31" i="32"/>
  <c r="AN32" i="32"/>
  <c r="AN33" i="32"/>
  <c r="AN34" i="32"/>
  <c r="AN35" i="32"/>
  <c r="AN36" i="32"/>
  <c r="AN37" i="32"/>
  <c r="AN38" i="32"/>
  <c r="AO8" i="32"/>
  <c r="AO9" i="32"/>
  <c r="AO10" i="32"/>
  <c r="AO11" i="32"/>
  <c r="AO12" i="32"/>
  <c r="AO13" i="32"/>
  <c r="AO14" i="32"/>
  <c r="AO15" i="32"/>
  <c r="AO16" i="32"/>
  <c r="AO17" i="32"/>
  <c r="AO18" i="32"/>
  <c r="AO19" i="32"/>
  <c r="AO20" i="32"/>
  <c r="AO21" i="32"/>
  <c r="AO22" i="32"/>
  <c r="AO23" i="32"/>
  <c r="AO24" i="32"/>
  <c r="AO25" i="32"/>
  <c r="AO26" i="32"/>
  <c r="AO27" i="32"/>
  <c r="AO28" i="32"/>
  <c r="AO29" i="32"/>
  <c r="AO30" i="32"/>
  <c r="AO31" i="32"/>
  <c r="AO32" i="32"/>
  <c r="AO33" i="32"/>
  <c r="AO34" i="32"/>
  <c r="AO35" i="32"/>
  <c r="AO36" i="32"/>
  <c r="AO37" i="32"/>
  <c r="AO38" i="32"/>
  <c r="AP8" i="32"/>
  <c r="AP9" i="32"/>
  <c r="AP10" i="32"/>
  <c r="AP11" i="32"/>
  <c r="AP12" i="32"/>
  <c r="AP13" i="32"/>
  <c r="AP14" i="32"/>
  <c r="AP15" i="32"/>
  <c r="AP16" i="32"/>
  <c r="AP17" i="32"/>
  <c r="AP18" i="32"/>
  <c r="AP19" i="32"/>
  <c r="AP20" i="32"/>
  <c r="AP21" i="32"/>
  <c r="AP22" i="32"/>
  <c r="AP23" i="32"/>
  <c r="AP24" i="32"/>
  <c r="AP25" i="32"/>
  <c r="AP26" i="32"/>
  <c r="AP27" i="32"/>
  <c r="AP28" i="32"/>
  <c r="AP29" i="32"/>
  <c r="AP30" i="32"/>
  <c r="AP31" i="32"/>
  <c r="AP32" i="32"/>
  <c r="AP33" i="32"/>
  <c r="AP34" i="32"/>
  <c r="AP35" i="32"/>
  <c r="AP36" i="32"/>
  <c r="AP37" i="32"/>
  <c r="AP38" i="32"/>
  <c r="AQ8" i="32"/>
  <c r="AQ9" i="32"/>
  <c r="AQ10" i="32"/>
  <c r="AQ11" i="32"/>
  <c r="AQ12" i="32"/>
  <c r="AQ13" i="32"/>
  <c r="AQ14" i="32"/>
  <c r="AQ15" i="32"/>
  <c r="AQ16" i="32"/>
  <c r="AQ17" i="32"/>
  <c r="AQ18" i="32"/>
  <c r="AQ19" i="32"/>
  <c r="AQ20" i="32"/>
  <c r="AQ21" i="32"/>
  <c r="AQ22" i="32"/>
  <c r="AQ23" i="32"/>
  <c r="AQ24" i="32"/>
  <c r="AQ25" i="32"/>
  <c r="AQ26" i="32"/>
  <c r="AQ27" i="32"/>
  <c r="AQ28" i="32"/>
  <c r="AQ29" i="32"/>
  <c r="AQ30" i="32"/>
  <c r="AQ31" i="32"/>
  <c r="AQ32" i="32"/>
  <c r="AQ33" i="32"/>
  <c r="AQ34" i="32"/>
  <c r="AQ35" i="32"/>
  <c r="AQ36" i="32"/>
  <c r="AQ37" i="32"/>
  <c r="AQ38" i="32"/>
  <c r="AR8" i="32"/>
  <c r="AR9" i="32"/>
  <c r="AR10" i="32"/>
  <c r="AR11" i="32"/>
  <c r="AR12" i="32"/>
  <c r="AR13" i="32"/>
  <c r="AR14" i="32"/>
  <c r="AR15" i="32"/>
  <c r="AR16" i="32"/>
  <c r="AR17" i="32"/>
  <c r="AR18" i="32"/>
  <c r="AR19" i="32"/>
  <c r="AR20" i="32"/>
  <c r="AR21" i="32"/>
  <c r="AR22" i="32"/>
  <c r="AR23" i="32"/>
  <c r="AR24" i="32"/>
  <c r="AR25" i="32"/>
  <c r="AR26" i="32"/>
  <c r="AR27" i="32"/>
  <c r="AR28" i="32"/>
  <c r="AR29" i="32"/>
  <c r="AR30" i="32"/>
  <c r="AR31" i="32"/>
  <c r="AR32" i="32"/>
  <c r="AR33" i="32"/>
  <c r="AR34" i="32"/>
  <c r="AR35" i="32"/>
  <c r="AR36" i="32"/>
  <c r="AR37" i="32"/>
  <c r="AR38" i="32"/>
  <c r="AS8" i="32"/>
  <c r="AS9" i="32"/>
  <c r="AS10" i="32"/>
  <c r="AS11" i="32"/>
  <c r="AS12" i="32"/>
  <c r="AS13" i="32"/>
  <c r="AS14" i="32"/>
  <c r="AS15" i="32"/>
  <c r="AS16" i="32"/>
  <c r="AS17" i="32"/>
  <c r="AS18" i="32"/>
  <c r="AS19" i="32"/>
  <c r="AS20" i="32"/>
  <c r="AS21" i="32"/>
  <c r="AS22" i="32"/>
  <c r="AS23" i="32"/>
  <c r="AS24" i="32"/>
  <c r="AS25" i="32"/>
  <c r="AS26" i="32"/>
  <c r="AS27" i="32"/>
  <c r="AS28" i="32"/>
  <c r="AS29" i="32"/>
  <c r="AS30" i="32"/>
  <c r="AS31" i="32"/>
  <c r="AS32" i="32"/>
  <c r="AS33" i="32"/>
  <c r="AS34" i="32"/>
  <c r="AS35" i="32"/>
  <c r="AS36" i="32"/>
  <c r="AS37" i="32"/>
  <c r="AS38" i="32"/>
  <c r="AT8" i="32"/>
  <c r="AT9" i="32"/>
  <c r="AT10" i="32"/>
  <c r="AT11" i="32"/>
  <c r="AT12" i="32"/>
  <c r="AT13" i="32"/>
  <c r="AT14" i="32"/>
  <c r="AT15" i="32"/>
  <c r="AT16" i="32"/>
  <c r="AT17" i="32"/>
  <c r="AT18" i="32"/>
  <c r="AT19" i="32"/>
  <c r="AT20" i="32"/>
  <c r="AT21" i="32"/>
  <c r="AT22" i="32"/>
  <c r="AT23" i="32"/>
  <c r="AT24" i="32"/>
  <c r="AT25" i="32"/>
  <c r="AT26" i="32"/>
  <c r="AT27" i="32"/>
  <c r="AT28" i="32"/>
  <c r="AT29" i="32"/>
  <c r="AT30" i="32"/>
  <c r="AT31" i="32"/>
  <c r="AT32" i="32"/>
  <c r="AT33" i="32"/>
  <c r="AT34" i="32"/>
  <c r="AT35" i="32"/>
  <c r="AT36" i="32"/>
  <c r="AT37" i="32"/>
  <c r="AT38" i="32"/>
  <c r="AU8" i="32"/>
  <c r="AU9" i="32"/>
  <c r="AU10" i="32"/>
  <c r="AU11" i="32"/>
  <c r="AU12" i="32"/>
  <c r="AU13" i="32"/>
  <c r="AU14" i="32"/>
  <c r="AU15" i="32"/>
  <c r="AU16" i="32"/>
  <c r="AU17" i="32"/>
  <c r="AU18" i="32"/>
  <c r="AU19" i="32"/>
  <c r="AU20" i="32"/>
  <c r="AU21" i="32"/>
  <c r="AU22" i="32"/>
  <c r="AU23" i="32"/>
  <c r="AU24" i="32"/>
  <c r="AU25" i="32"/>
  <c r="AU26" i="32"/>
  <c r="AU27" i="32"/>
  <c r="AU28" i="32"/>
  <c r="AU29" i="32"/>
  <c r="AU30" i="32"/>
  <c r="AU31" i="32"/>
  <c r="AU32" i="32"/>
  <c r="AU33" i="32"/>
  <c r="AU34" i="32"/>
  <c r="AU35" i="32"/>
  <c r="AU36" i="32"/>
  <c r="AU37" i="32"/>
  <c r="AU38" i="32"/>
  <c r="AV8" i="32"/>
  <c r="AV9" i="32"/>
  <c r="AV10" i="32"/>
  <c r="AV11" i="32"/>
  <c r="AV12" i="32"/>
  <c r="AV13" i="32"/>
  <c r="AV14" i="32"/>
  <c r="AV15" i="32"/>
  <c r="AV16" i="32"/>
  <c r="AV17" i="32"/>
  <c r="AV18" i="32"/>
  <c r="AV19" i="32"/>
  <c r="AV20" i="32"/>
  <c r="AV21" i="32"/>
  <c r="AV22" i="32"/>
  <c r="AV23" i="32"/>
  <c r="AV24" i="32"/>
  <c r="AV25" i="32"/>
  <c r="AV26" i="32"/>
  <c r="AV27" i="32"/>
  <c r="AV28" i="32"/>
  <c r="AV29" i="32"/>
  <c r="AV30" i="32"/>
  <c r="AV31" i="32"/>
  <c r="AV32" i="32"/>
  <c r="AV33" i="32"/>
  <c r="AV34" i="32"/>
  <c r="AV35" i="32"/>
  <c r="AV36" i="32"/>
  <c r="AV37" i="32"/>
  <c r="AV38" i="32"/>
  <c r="AW8" i="32"/>
  <c r="AW9" i="32"/>
  <c r="AW10" i="32"/>
  <c r="AW11" i="32"/>
  <c r="AW12" i="32"/>
  <c r="AW13" i="32"/>
  <c r="AW14" i="32"/>
  <c r="AW15" i="32"/>
  <c r="AW16" i="32"/>
  <c r="AW17" i="32"/>
  <c r="AW18" i="32"/>
  <c r="AW19" i="32"/>
  <c r="AW20" i="32"/>
  <c r="AW21" i="32"/>
  <c r="AW22" i="32"/>
  <c r="AW23" i="32"/>
  <c r="AW24" i="32"/>
  <c r="AW25" i="32"/>
  <c r="AW26" i="32"/>
  <c r="AW27" i="32"/>
  <c r="AW28" i="32"/>
  <c r="AW29" i="32"/>
  <c r="AW30" i="32"/>
  <c r="AW31" i="32"/>
  <c r="AW32" i="32"/>
  <c r="AW33" i="32"/>
  <c r="AW34" i="32"/>
  <c r="AW35" i="32"/>
  <c r="AW36" i="32"/>
  <c r="AW37" i="32"/>
  <c r="AW38" i="32"/>
  <c r="AX8" i="32"/>
  <c r="AX9" i="32"/>
  <c r="AX10" i="32"/>
  <c r="AX11" i="32"/>
  <c r="AX12" i="32"/>
  <c r="AX13" i="32"/>
  <c r="AX14" i="32"/>
  <c r="AX15" i="32"/>
  <c r="AX16" i="32"/>
  <c r="AX17" i="32"/>
  <c r="AX18" i="32"/>
  <c r="AX19" i="32"/>
  <c r="AX20" i="32"/>
  <c r="AX21" i="32"/>
  <c r="AX22" i="32"/>
  <c r="AX23" i="32"/>
  <c r="AX24" i="32"/>
  <c r="AX25" i="32"/>
  <c r="AX26" i="32"/>
  <c r="AX27" i="32"/>
  <c r="AX28" i="32"/>
  <c r="AX29" i="32"/>
  <c r="AX30" i="32"/>
  <c r="AX31" i="32"/>
  <c r="AX32" i="32"/>
  <c r="AX33" i="32"/>
  <c r="AX34" i="32"/>
  <c r="AX35" i="32"/>
  <c r="AX36" i="32"/>
  <c r="AX37" i="32"/>
  <c r="AX38" i="32"/>
  <c r="AY8" i="32"/>
  <c r="AY9" i="32"/>
  <c r="AY10" i="32"/>
  <c r="AY11" i="32"/>
  <c r="AY12" i="32"/>
  <c r="AY13" i="32"/>
  <c r="AY14" i="32"/>
  <c r="AY15" i="32"/>
  <c r="AY16" i="32"/>
  <c r="AY17" i="32"/>
  <c r="AY18" i="32"/>
  <c r="AY19" i="32"/>
  <c r="AY20" i="32"/>
  <c r="AY21" i="32"/>
  <c r="AY22" i="32"/>
  <c r="AY23" i="32"/>
  <c r="AY24" i="32"/>
  <c r="AY25" i="32"/>
  <c r="AY26" i="32"/>
  <c r="AY27" i="32"/>
  <c r="AY28" i="32"/>
  <c r="AY29" i="32"/>
  <c r="AY30" i="32"/>
  <c r="AY31" i="32"/>
  <c r="AY32" i="32"/>
  <c r="AY33" i="32"/>
  <c r="AY34" i="32"/>
  <c r="AY35" i="32"/>
  <c r="AY36" i="32"/>
  <c r="AY37" i="32"/>
  <c r="AY38" i="32"/>
  <c r="AZ8" i="32"/>
  <c r="AZ9" i="32"/>
  <c r="AZ10" i="32"/>
  <c r="AZ11" i="32"/>
  <c r="AZ12" i="32"/>
  <c r="AZ13" i="32"/>
  <c r="AZ14" i="32"/>
  <c r="AZ15" i="32"/>
  <c r="AZ16" i="32"/>
  <c r="AZ17" i="32"/>
  <c r="AZ18" i="32"/>
  <c r="AZ19" i="32"/>
  <c r="AZ20" i="32"/>
  <c r="AZ21" i="32"/>
  <c r="AZ22" i="32"/>
  <c r="AZ23" i="32"/>
  <c r="AZ24" i="32"/>
  <c r="AZ25" i="32"/>
  <c r="AZ26" i="32"/>
  <c r="AZ27" i="32"/>
  <c r="AZ28" i="32"/>
  <c r="AZ29" i="32"/>
  <c r="AZ30" i="32"/>
  <c r="AZ31" i="32"/>
  <c r="AZ32" i="32"/>
  <c r="AZ33" i="32"/>
  <c r="AZ34" i="32"/>
  <c r="AZ35" i="32"/>
  <c r="AZ36" i="32"/>
  <c r="AZ37" i="32"/>
  <c r="AZ38" i="32"/>
  <c r="BA8" i="32"/>
  <c r="BA9" i="32"/>
  <c r="BA10" i="32"/>
  <c r="BA11" i="32"/>
  <c r="BA12" i="32"/>
  <c r="BA13" i="32"/>
  <c r="BA14" i="32"/>
  <c r="BA15" i="32"/>
  <c r="BA16" i="32"/>
  <c r="BA17" i="32"/>
  <c r="BA18" i="32"/>
  <c r="BA19" i="32"/>
  <c r="BA20" i="32"/>
  <c r="BA21" i="32"/>
  <c r="BA22" i="32"/>
  <c r="BA23" i="32"/>
  <c r="BA24" i="32"/>
  <c r="BA25" i="32"/>
  <c r="BA26" i="32"/>
  <c r="BA27" i="32"/>
  <c r="BA28" i="32"/>
  <c r="BA29" i="32"/>
  <c r="BA30" i="32"/>
  <c r="BA31" i="32"/>
  <c r="BA32" i="32"/>
  <c r="BA33" i="32"/>
  <c r="BA34" i="32"/>
  <c r="BA35" i="32"/>
  <c r="BA36" i="32"/>
  <c r="BA37" i="32"/>
  <c r="BA38" i="32"/>
  <c r="BB8" i="32"/>
  <c r="BB9" i="32"/>
  <c r="BB10" i="32"/>
  <c r="BB11" i="32"/>
  <c r="BB12" i="32"/>
  <c r="BB13" i="32"/>
  <c r="BB14" i="32"/>
  <c r="BB15" i="32"/>
  <c r="BB16" i="32"/>
  <c r="BB17" i="32"/>
  <c r="BB18" i="32"/>
  <c r="BB19" i="32"/>
  <c r="BB20" i="32"/>
  <c r="BB21" i="32"/>
  <c r="BB22" i="32"/>
  <c r="BB23" i="32"/>
  <c r="BB24" i="32"/>
  <c r="BB25" i="32"/>
  <c r="BB26" i="32"/>
  <c r="BB27" i="32"/>
  <c r="BB28" i="32"/>
  <c r="BB29" i="32"/>
  <c r="BB30" i="32"/>
  <c r="BB31" i="32"/>
  <c r="BB32" i="32"/>
  <c r="BB33" i="32"/>
  <c r="BB34" i="32"/>
  <c r="BB35" i="32"/>
  <c r="BB36" i="32"/>
  <c r="BB37" i="32"/>
  <c r="BB38" i="32"/>
  <c r="BC8" i="32"/>
  <c r="BC9" i="32"/>
  <c r="BC10" i="32"/>
  <c r="BC11" i="32"/>
  <c r="BC12" i="32"/>
  <c r="BC13" i="32"/>
  <c r="BC14" i="32"/>
  <c r="BC15" i="32"/>
  <c r="BC16" i="32"/>
  <c r="BC17" i="32"/>
  <c r="BC18" i="32"/>
  <c r="BC19" i="32"/>
  <c r="BC20" i="32"/>
  <c r="BC21" i="32"/>
  <c r="BC22" i="32"/>
  <c r="BC23" i="32"/>
  <c r="BC24" i="32"/>
  <c r="BC25" i="32"/>
  <c r="BC26" i="32"/>
  <c r="BC27" i="32"/>
  <c r="BC28" i="32"/>
  <c r="BC29" i="32"/>
  <c r="BC30" i="32"/>
  <c r="BC31" i="32"/>
  <c r="BC32" i="32"/>
  <c r="BC33" i="32"/>
  <c r="BC34" i="32"/>
  <c r="BC35" i="32"/>
  <c r="BC36" i="32"/>
  <c r="BC37" i="32"/>
  <c r="BC38" i="32"/>
  <c r="BD8" i="32"/>
  <c r="BD9" i="32"/>
  <c r="BD10" i="32"/>
  <c r="BD11" i="32"/>
  <c r="BD12" i="32"/>
  <c r="BD13" i="32"/>
  <c r="BD14" i="32"/>
  <c r="BD15" i="32"/>
  <c r="BD16" i="32"/>
  <c r="BD17" i="32"/>
  <c r="BD18" i="32"/>
  <c r="BD19" i="32"/>
  <c r="BD20" i="32"/>
  <c r="BD21" i="32"/>
  <c r="BD22" i="32"/>
  <c r="BD23" i="32"/>
  <c r="BD24" i="32"/>
  <c r="BD25" i="32"/>
  <c r="BD26" i="32"/>
  <c r="BD27" i="32"/>
  <c r="BD28" i="32"/>
  <c r="BD29" i="32"/>
  <c r="BD30" i="32"/>
  <c r="BD31" i="32"/>
  <c r="BD32" i="32"/>
  <c r="BD33" i="32"/>
  <c r="BD34" i="32"/>
  <c r="BD35" i="32"/>
  <c r="BD36" i="32"/>
  <c r="BD37" i="32"/>
  <c r="BD38" i="32"/>
  <c r="BE8" i="32"/>
  <c r="BE9" i="32"/>
  <c r="BE10" i="32"/>
  <c r="BE11" i="32"/>
  <c r="BE12" i="32"/>
  <c r="BE13" i="32"/>
  <c r="BE14" i="32"/>
  <c r="BE15" i="32"/>
  <c r="BE16" i="32"/>
  <c r="BE17" i="32"/>
  <c r="BE18" i="32"/>
  <c r="BE19" i="32"/>
  <c r="BE20" i="32"/>
  <c r="BE21" i="32"/>
  <c r="BE22" i="32"/>
  <c r="BE23" i="32"/>
  <c r="BE24" i="32"/>
  <c r="BE25" i="32"/>
  <c r="BE26" i="32"/>
  <c r="BE27" i="32"/>
  <c r="BE28" i="32"/>
  <c r="BE29" i="32"/>
  <c r="BE30" i="32"/>
  <c r="BE31" i="32"/>
  <c r="BE32" i="32"/>
  <c r="BE33" i="32"/>
  <c r="BE34" i="32"/>
  <c r="BE35" i="32"/>
  <c r="BE36" i="32"/>
  <c r="BE37" i="32"/>
  <c r="BE38" i="32"/>
  <c r="BF8" i="32"/>
  <c r="BF9" i="32"/>
  <c r="BF10" i="32"/>
  <c r="BF11" i="32"/>
  <c r="BF12" i="32"/>
  <c r="BF13" i="32"/>
  <c r="BF14" i="32"/>
  <c r="BF15" i="32"/>
  <c r="BF16" i="32"/>
  <c r="BF17" i="32"/>
  <c r="BF18" i="32"/>
  <c r="BF19" i="32"/>
  <c r="BF20" i="32"/>
  <c r="BF21" i="32"/>
  <c r="BF22" i="32"/>
  <c r="BF23" i="32"/>
  <c r="BF24" i="32"/>
  <c r="BF25" i="32"/>
  <c r="BF26" i="32"/>
  <c r="BF27" i="32"/>
  <c r="BF28" i="32"/>
  <c r="BF29" i="32"/>
  <c r="BF30" i="32"/>
  <c r="BF31" i="32"/>
  <c r="BF32" i="32"/>
  <c r="BF33" i="32"/>
  <c r="BF34" i="32"/>
  <c r="BF35" i="32"/>
  <c r="BF36" i="32"/>
  <c r="BF37" i="32"/>
  <c r="BF38" i="32"/>
  <c r="BG8" i="32"/>
  <c r="BG9" i="32"/>
  <c r="BG10" i="32"/>
  <c r="BG11" i="32"/>
  <c r="BG12" i="32"/>
  <c r="BG13" i="32"/>
  <c r="BG14" i="32"/>
  <c r="BG15" i="32"/>
  <c r="BG16" i="32"/>
  <c r="BG17" i="32"/>
  <c r="BG18" i="32"/>
  <c r="BG19" i="32"/>
  <c r="BG20" i="32"/>
  <c r="BG21" i="32"/>
  <c r="BG22" i="32"/>
  <c r="BG23" i="32"/>
  <c r="BG24" i="32"/>
  <c r="BG25" i="32"/>
  <c r="BG26" i="32"/>
  <c r="BG27" i="32"/>
  <c r="BG28" i="32"/>
  <c r="BG29" i="32"/>
  <c r="BG30" i="32"/>
  <c r="BG31" i="32"/>
  <c r="BG32" i="32"/>
  <c r="BG33" i="32"/>
  <c r="BG34" i="32"/>
  <c r="BG35" i="32"/>
  <c r="BG36" i="32"/>
  <c r="BG37" i="32"/>
  <c r="BG38" i="32"/>
  <c r="BH8" i="32"/>
  <c r="BH9" i="32"/>
  <c r="BH10" i="32"/>
  <c r="BH11" i="32"/>
  <c r="BH12" i="32"/>
  <c r="BH13" i="32"/>
  <c r="BH14" i="32"/>
  <c r="BH15" i="32"/>
  <c r="BH16" i="32"/>
  <c r="BH17" i="32"/>
  <c r="BH18" i="32"/>
  <c r="BH19" i="32"/>
  <c r="BH20" i="32"/>
  <c r="BH21" i="32"/>
  <c r="BH22" i="32"/>
  <c r="BH23" i="32"/>
  <c r="BH24" i="32"/>
  <c r="BH25" i="32"/>
  <c r="BH26" i="32"/>
  <c r="BH27" i="32"/>
  <c r="BH28" i="32"/>
  <c r="BH29" i="32"/>
  <c r="BH30" i="32"/>
  <c r="BH31" i="32"/>
  <c r="BH32" i="32"/>
  <c r="BH33" i="32"/>
  <c r="BH34" i="32"/>
  <c r="BH35" i="32"/>
  <c r="BH36" i="32"/>
  <c r="BH37" i="32"/>
  <c r="BH38" i="32"/>
  <c r="BI8" i="32"/>
  <c r="BI9" i="32"/>
  <c r="BI10" i="32"/>
  <c r="BI11" i="32"/>
  <c r="BI12" i="32"/>
  <c r="BI13" i="32"/>
  <c r="BI14" i="32"/>
  <c r="BI15" i="32"/>
  <c r="BI16" i="32"/>
  <c r="BI17" i="32"/>
  <c r="BI18" i="32"/>
  <c r="BI19" i="32"/>
  <c r="BI20" i="32"/>
  <c r="BI21" i="32"/>
  <c r="BI22" i="32"/>
  <c r="BI23" i="32"/>
  <c r="BI24" i="32"/>
  <c r="BI25" i="32"/>
  <c r="BI26" i="32"/>
  <c r="BI27" i="32"/>
  <c r="BI28" i="32"/>
  <c r="BI29" i="32"/>
  <c r="BI30" i="32"/>
  <c r="BI31" i="32"/>
  <c r="BI32" i="32"/>
  <c r="BI33" i="32"/>
  <c r="BI34" i="32"/>
  <c r="BI35" i="32"/>
  <c r="BI36" i="32"/>
  <c r="BI37" i="32"/>
  <c r="BI38" i="32"/>
  <c r="BJ8" i="32"/>
  <c r="BJ9" i="32"/>
  <c r="BJ10" i="32"/>
  <c r="BJ11" i="32"/>
  <c r="BJ12" i="32"/>
  <c r="BJ13" i="32"/>
  <c r="BJ14" i="32"/>
  <c r="BJ15" i="32"/>
  <c r="BJ16" i="32"/>
  <c r="BJ17" i="32"/>
  <c r="BJ18" i="32"/>
  <c r="BJ19" i="32"/>
  <c r="BJ20" i="32"/>
  <c r="BJ21" i="32"/>
  <c r="BJ22" i="32"/>
  <c r="BJ23" i="32"/>
  <c r="BJ24" i="32"/>
  <c r="BJ25" i="32"/>
  <c r="BJ26" i="32"/>
  <c r="BJ27" i="32"/>
  <c r="BJ28" i="32"/>
  <c r="BJ29" i="32"/>
  <c r="BJ30" i="32"/>
  <c r="BJ31" i="32"/>
  <c r="BJ32" i="32"/>
  <c r="BJ33" i="32"/>
  <c r="BJ34" i="32"/>
  <c r="BJ35" i="32"/>
  <c r="BJ36" i="32"/>
  <c r="BJ37" i="32"/>
  <c r="BJ38" i="32"/>
  <c r="BK8" i="32"/>
  <c r="BK9" i="32"/>
  <c r="BK10" i="32"/>
  <c r="BK11" i="32"/>
  <c r="BK12" i="32"/>
  <c r="BK13" i="32"/>
  <c r="BK14" i="32"/>
  <c r="BK15" i="32"/>
  <c r="BK16" i="32"/>
  <c r="BK17" i="32"/>
  <c r="BK18" i="32"/>
  <c r="BK19" i="32"/>
  <c r="BK20" i="32"/>
  <c r="BK21" i="32"/>
  <c r="BK22" i="32"/>
  <c r="BK23" i="32"/>
  <c r="BK24" i="32"/>
  <c r="BK25" i="32"/>
  <c r="BK26" i="32"/>
  <c r="BK27" i="32"/>
  <c r="BK28" i="32"/>
  <c r="BK29" i="32"/>
  <c r="BK30" i="32"/>
  <c r="BK31" i="32"/>
  <c r="BK32" i="32"/>
  <c r="BK33" i="32"/>
  <c r="BK34" i="32"/>
  <c r="BK35" i="32"/>
  <c r="BK36" i="32"/>
  <c r="BK37" i="32"/>
  <c r="BK38" i="32"/>
  <c r="AH8" i="29"/>
  <c r="AH9" i="29"/>
  <c r="AH10" i="29"/>
  <c r="AH11" i="29"/>
  <c r="AH12" i="29"/>
  <c r="AH13" i="29"/>
  <c r="AH14" i="29"/>
  <c r="AH15" i="29"/>
  <c r="AH16" i="29"/>
  <c r="AH17" i="29"/>
  <c r="AH18" i="29"/>
  <c r="AH19" i="29"/>
  <c r="AH20" i="29"/>
  <c r="AH21" i="29"/>
  <c r="AH22" i="29"/>
  <c r="AH23" i="29"/>
  <c r="AH24" i="29"/>
  <c r="AH25" i="29"/>
  <c r="AH26" i="29"/>
  <c r="AH27" i="29"/>
  <c r="AH28" i="29"/>
  <c r="AH29" i="29"/>
  <c r="AH30" i="29"/>
  <c r="AH31" i="29"/>
  <c r="AH32" i="29"/>
  <c r="AH33" i="29"/>
  <c r="AH34" i="29"/>
  <c r="AH35" i="29"/>
  <c r="AH36" i="29"/>
  <c r="AH37" i="29"/>
  <c r="AH38" i="29"/>
  <c r="AI8" i="29"/>
  <c r="AI9" i="29"/>
  <c r="AI10" i="29"/>
  <c r="AI11" i="29"/>
  <c r="AI12" i="29"/>
  <c r="AI13" i="29"/>
  <c r="AI14" i="29"/>
  <c r="AI15" i="29"/>
  <c r="AI16" i="29"/>
  <c r="AI17" i="29"/>
  <c r="AI18" i="29"/>
  <c r="AI19" i="29"/>
  <c r="AI20" i="29"/>
  <c r="AI21" i="29"/>
  <c r="AI22" i="29"/>
  <c r="AI23" i="29"/>
  <c r="AI24" i="29"/>
  <c r="AI25" i="29"/>
  <c r="AI26" i="29"/>
  <c r="AI27" i="29"/>
  <c r="AI28" i="29"/>
  <c r="AI29" i="29"/>
  <c r="AI30" i="29"/>
  <c r="AI31" i="29"/>
  <c r="AI32" i="29"/>
  <c r="AI33" i="29"/>
  <c r="AI34" i="29"/>
  <c r="AI35" i="29"/>
  <c r="AI36" i="29"/>
  <c r="AI37" i="29"/>
  <c r="AI38" i="29"/>
  <c r="AJ8" i="29"/>
  <c r="AJ9" i="29"/>
  <c r="AJ10" i="29"/>
  <c r="AJ11" i="29"/>
  <c r="AJ12" i="29"/>
  <c r="AJ13" i="29"/>
  <c r="AJ14" i="29"/>
  <c r="AJ15" i="29"/>
  <c r="AJ16" i="29"/>
  <c r="AJ17" i="29"/>
  <c r="AJ18" i="29"/>
  <c r="AJ19" i="29"/>
  <c r="AJ20" i="29"/>
  <c r="AJ21" i="29"/>
  <c r="AJ22" i="29"/>
  <c r="AJ23" i="29"/>
  <c r="AJ24" i="29"/>
  <c r="AJ25" i="29"/>
  <c r="AJ26" i="29"/>
  <c r="AJ27" i="29"/>
  <c r="AJ28" i="29"/>
  <c r="AJ29" i="29"/>
  <c r="AJ30" i="29"/>
  <c r="AJ31" i="29"/>
  <c r="AJ32" i="29"/>
  <c r="AJ33" i="29"/>
  <c r="AJ34" i="29"/>
  <c r="AJ35" i="29"/>
  <c r="AJ36" i="29"/>
  <c r="AJ37" i="29"/>
  <c r="AJ38" i="29"/>
  <c r="AK8" i="29"/>
  <c r="AK9" i="29"/>
  <c r="AK10" i="29"/>
  <c r="AK11" i="29"/>
  <c r="AK12" i="29"/>
  <c r="AK13" i="29"/>
  <c r="AK14" i="29"/>
  <c r="AK15" i="29"/>
  <c r="AK16" i="29"/>
  <c r="AK17" i="29"/>
  <c r="AK18" i="29"/>
  <c r="AK19" i="29"/>
  <c r="AK20" i="29"/>
  <c r="AK21" i="29"/>
  <c r="AK22" i="29"/>
  <c r="AK23" i="29"/>
  <c r="AK24" i="29"/>
  <c r="AK25" i="29"/>
  <c r="AK26" i="29"/>
  <c r="AK27" i="29"/>
  <c r="AK28" i="29"/>
  <c r="AK29" i="29"/>
  <c r="AK30" i="29"/>
  <c r="AK31" i="29"/>
  <c r="AK32" i="29"/>
  <c r="AK33" i="29"/>
  <c r="AK34" i="29"/>
  <c r="AK35" i="29"/>
  <c r="AK36" i="29"/>
  <c r="AK37" i="29"/>
  <c r="AK38" i="29"/>
  <c r="AL8" i="29"/>
  <c r="AL9" i="29"/>
  <c r="AL10" i="29"/>
  <c r="AL11" i="29"/>
  <c r="AL12" i="29"/>
  <c r="AL13" i="29"/>
  <c r="AL14" i="29"/>
  <c r="AL15" i="29"/>
  <c r="AL16" i="29"/>
  <c r="AL17" i="29"/>
  <c r="AL18" i="29"/>
  <c r="AL19" i="29"/>
  <c r="AL20" i="29"/>
  <c r="AL21" i="29"/>
  <c r="AL22" i="29"/>
  <c r="AL23" i="29"/>
  <c r="AL24" i="29"/>
  <c r="AL25" i="29"/>
  <c r="AL26" i="29"/>
  <c r="AL27" i="29"/>
  <c r="AL28" i="29"/>
  <c r="AL29" i="29"/>
  <c r="AL30" i="29"/>
  <c r="AL31" i="29"/>
  <c r="AL32" i="29"/>
  <c r="AL33" i="29"/>
  <c r="AL34" i="29"/>
  <c r="AL35" i="29"/>
  <c r="AL36" i="29"/>
  <c r="AL37" i="29"/>
  <c r="AL38" i="29"/>
  <c r="AM8" i="29"/>
  <c r="AM9" i="29"/>
  <c r="AM10" i="29"/>
  <c r="AM11" i="29"/>
  <c r="AM12" i="29"/>
  <c r="AM13" i="29"/>
  <c r="AM14" i="29"/>
  <c r="AM15" i="29"/>
  <c r="AM16" i="29"/>
  <c r="AM17" i="29"/>
  <c r="AM18" i="29"/>
  <c r="AM19" i="29"/>
  <c r="AM20" i="29"/>
  <c r="AM21" i="29"/>
  <c r="AM22" i="29"/>
  <c r="AM23" i="29"/>
  <c r="AM24" i="29"/>
  <c r="AM25" i="29"/>
  <c r="AM26" i="29"/>
  <c r="AM27" i="29"/>
  <c r="AM28" i="29"/>
  <c r="AM29" i="29"/>
  <c r="AM30" i="29"/>
  <c r="AM31" i="29"/>
  <c r="AM32" i="29"/>
  <c r="AM33" i="29"/>
  <c r="AM34" i="29"/>
  <c r="AM35" i="29"/>
  <c r="AM36" i="29"/>
  <c r="AM37" i="29"/>
  <c r="AM38" i="29"/>
  <c r="AN8" i="29"/>
  <c r="AN9" i="29"/>
  <c r="AN10" i="29"/>
  <c r="AN11" i="29"/>
  <c r="AN12" i="29"/>
  <c r="AN13" i="29"/>
  <c r="AN14" i="29"/>
  <c r="AN15" i="29"/>
  <c r="AN16" i="29"/>
  <c r="AN17" i="29"/>
  <c r="AN18" i="29"/>
  <c r="AN19" i="29"/>
  <c r="AN20" i="29"/>
  <c r="AN21" i="29"/>
  <c r="AN22" i="29"/>
  <c r="AN23" i="29"/>
  <c r="AN24" i="29"/>
  <c r="AN25" i="29"/>
  <c r="AN26" i="29"/>
  <c r="AN27" i="29"/>
  <c r="AN28" i="29"/>
  <c r="AN29" i="29"/>
  <c r="AN30" i="29"/>
  <c r="AN31" i="29"/>
  <c r="AN32" i="29"/>
  <c r="AN33" i="29"/>
  <c r="AN34" i="29"/>
  <c r="AN35" i="29"/>
  <c r="AN36" i="29"/>
  <c r="AN37" i="29"/>
  <c r="AN38" i="29"/>
  <c r="AO8" i="29"/>
  <c r="AO9" i="29"/>
  <c r="AO10" i="29"/>
  <c r="AO11" i="29"/>
  <c r="AO12" i="29"/>
  <c r="AO13" i="29"/>
  <c r="AO14" i="29"/>
  <c r="AO15" i="29"/>
  <c r="AO16" i="29"/>
  <c r="AO17" i="29"/>
  <c r="AO18" i="29"/>
  <c r="AO19" i="29"/>
  <c r="AO20" i="29"/>
  <c r="AO21" i="29"/>
  <c r="AO22" i="29"/>
  <c r="AO23" i="29"/>
  <c r="AO24" i="29"/>
  <c r="AO25" i="29"/>
  <c r="AO26" i="29"/>
  <c r="AO27" i="29"/>
  <c r="AO28" i="29"/>
  <c r="AO29" i="29"/>
  <c r="AO30" i="29"/>
  <c r="AO31" i="29"/>
  <c r="AO32" i="29"/>
  <c r="AO33" i="29"/>
  <c r="AO34" i="29"/>
  <c r="AO35" i="29"/>
  <c r="AO36" i="29"/>
  <c r="AO37" i="29"/>
  <c r="AO38" i="29"/>
  <c r="AP8" i="29"/>
  <c r="AP9" i="29"/>
  <c r="AP10" i="29"/>
  <c r="AP11" i="29"/>
  <c r="AP12" i="29"/>
  <c r="AP13" i="29"/>
  <c r="AP14" i="29"/>
  <c r="AP15" i="29"/>
  <c r="AP16" i="29"/>
  <c r="AP17" i="29"/>
  <c r="AP18" i="29"/>
  <c r="AP19" i="29"/>
  <c r="AP20" i="29"/>
  <c r="AP21" i="29"/>
  <c r="AP22" i="29"/>
  <c r="AP23" i="29"/>
  <c r="AP24" i="29"/>
  <c r="AP25" i="29"/>
  <c r="AP26" i="29"/>
  <c r="AP27" i="29"/>
  <c r="AP28" i="29"/>
  <c r="AP29" i="29"/>
  <c r="AP30" i="29"/>
  <c r="AP31" i="29"/>
  <c r="AP32" i="29"/>
  <c r="AP33" i="29"/>
  <c r="AP34" i="29"/>
  <c r="AP35" i="29"/>
  <c r="AP36" i="29"/>
  <c r="AP37" i="29"/>
  <c r="AP38" i="29"/>
  <c r="AQ8" i="29"/>
  <c r="AQ9" i="29"/>
  <c r="AQ10" i="29"/>
  <c r="AQ11" i="29"/>
  <c r="AQ12" i="29"/>
  <c r="AQ13" i="29"/>
  <c r="AQ14" i="29"/>
  <c r="AQ15" i="29"/>
  <c r="AQ16" i="29"/>
  <c r="AQ17" i="29"/>
  <c r="AQ18" i="29"/>
  <c r="AQ19" i="29"/>
  <c r="AQ20" i="29"/>
  <c r="AQ21" i="29"/>
  <c r="AQ22" i="29"/>
  <c r="AQ23" i="29"/>
  <c r="AQ24" i="29"/>
  <c r="AQ25" i="29"/>
  <c r="AQ26" i="29"/>
  <c r="AQ27" i="29"/>
  <c r="AQ28" i="29"/>
  <c r="AQ29" i="29"/>
  <c r="AQ30" i="29"/>
  <c r="AQ31" i="29"/>
  <c r="AQ32" i="29"/>
  <c r="AQ33" i="29"/>
  <c r="AQ34" i="29"/>
  <c r="AQ35" i="29"/>
  <c r="AQ36" i="29"/>
  <c r="AQ37" i="29"/>
  <c r="AQ38" i="29"/>
  <c r="AR8" i="29"/>
  <c r="AR9" i="29"/>
  <c r="AR10" i="29"/>
  <c r="AR11" i="29"/>
  <c r="AR12" i="29"/>
  <c r="AR13" i="29"/>
  <c r="AR14" i="29"/>
  <c r="AR15" i="29"/>
  <c r="AR16" i="29"/>
  <c r="AR17" i="29"/>
  <c r="AR18" i="29"/>
  <c r="AR19" i="29"/>
  <c r="AR20" i="29"/>
  <c r="AR21" i="29"/>
  <c r="AR22" i="29"/>
  <c r="AR23" i="29"/>
  <c r="AR24" i="29"/>
  <c r="AR25" i="29"/>
  <c r="AR26" i="29"/>
  <c r="AR27" i="29"/>
  <c r="AR28" i="29"/>
  <c r="AR29" i="29"/>
  <c r="AR30" i="29"/>
  <c r="AR31" i="29"/>
  <c r="AR32" i="29"/>
  <c r="AR33" i="29"/>
  <c r="AR34" i="29"/>
  <c r="AR35" i="29"/>
  <c r="AR36" i="29"/>
  <c r="AR37" i="29"/>
  <c r="AR38" i="29"/>
  <c r="AS8" i="29"/>
  <c r="AS9" i="29"/>
  <c r="AS10" i="29"/>
  <c r="AS11" i="29"/>
  <c r="AS12" i="29"/>
  <c r="AS13" i="29"/>
  <c r="AS14" i="29"/>
  <c r="AS15" i="29"/>
  <c r="AS16" i="29"/>
  <c r="AS17" i="29"/>
  <c r="AS18" i="29"/>
  <c r="AS19" i="29"/>
  <c r="AS20" i="29"/>
  <c r="AS21" i="29"/>
  <c r="AS22" i="29"/>
  <c r="AS23" i="29"/>
  <c r="AS24" i="29"/>
  <c r="AS25" i="29"/>
  <c r="AS26" i="29"/>
  <c r="AS27" i="29"/>
  <c r="AS28" i="29"/>
  <c r="AS29" i="29"/>
  <c r="AS30" i="29"/>
  <c r="AS31" i="29"/>
  <c r="AS32" i="29"/>
  <c r="AS33" i="29"/>
  <c r="AS34" i="29"/>
  <c r="AS35" i="29"/>
  <c r="AS36" i="29"/>
  <c r="AS37" i="29"/>
  <c r="AS38" i="29"/>
  <c r="AT8" i="29"/>
  <c r="AT9" i="29"/>
  <c r="AT10" i="29"/>
  <c r="AT11" i="29"/>
  <c r="AT12" i="29"/>
  <c r="AT13" i="29"/>
  <c r="AT14" i="29"/>
  <c r="AT15" i="29"/>
  <c r="AT16" i="29"/>
  <c r="AT17" i="29"/>
  <c r="AT18" i="29"/>
  <c r="AT19" i="29"/>
  <c r="AT20" i="29"/>
  <c r="AT21" i="29"/>
  <c r="AT22" i="29"/>
  <c r="AT23" i="29"/>
  <c r="AT24" i="29"/>
  <c r="AT25" i="29"/>
  <c r="AT26" i="29"/>
  <c r="AT27" i="29"/>
  <c r="AT28" i="29"/>
  <c r="AT29" i="29"/>
  <c r="AT30" i="29"/>
  <c r="AT31" i="29"/>
  <c r="AT32" i="29"/>
  <c r="AT33" i="29"/>
  <c r="AT34" i="29"/>
  <c r="AT35" i="29"/>
  <c r="AT36" i="29"/>
  <c r="AT37" i="29"/>
  <c r="AT38" i="29"/>
  <c r="AU8" i="29"/>
  <c r="AU9" i="29"/>
  <c r="AU10" i="29"/>
  <c r="AU11" i="29"/>
  <c r="AU12" i="29"/>
  <c r="AU13" i="29"/>
  <c r="AU14" i="29"/>
  <c r="AU15" i="29"/>
  <c r="AU16" i="29"/>
  <c r="AU17" i="29"/>
  <c r="AU18" i="29"/>
  <c r="AU19" i="29"/>
  <c r="AU20" i="29"/>
  <c r="AU21" i="29"/>
  <c r="AU22" i="29"/>
  <c r="AU23" i="29"/>
  <c r="AU24" i="29"/>
  <c r="AU25" i="29"/>
  <c r="AU26" i="29"/>
  <c r="AU27" i="29"/>
  <c r="AU28" i="29"/>
  <c r="AU29" i="29"/>
  <c r="AU30" i="29"/>
  <c r="AU31" i="29"/>
  <c r="AU32" i="29"/>
  <c r="AU33" i="29"/>
  <c r="AU34" i="29"/>
  <c r="AU35" i="29"/>
  <c r="AU36" i="29"/>
  <c r="AU37" i="29"/>
  <c r="AU38" i="29"/>
  <c r="AV8" i="29"/>
  <c r="AV9" i="29"/>
  <c r="AV10" i="29"/>
  <c r="AV11" i="29"/>
  <c r="AV12" i="29"/>
  <c r="AV13" i="29"/>
  <c r="AV14" i="29"/>
  <c r="AV15" i="29"/>
  <c r="AV16" i="29"/>
  <c r="AV17" i="29"/>
  <c r="AV18" i="29"/>
  <c r="AV19" i="29"/>
  <c r="AV20" i="29"/>
  <c r="AV21" i="29"/>
  <c r="AV22" i="29"/>
  <c r="AV23" i="29"/>
  <c r="AV24" i="29"/>
  <c r="AV25" i="29"/>
  <c r="AV26" i="29"/>
  <c r="AV27" i="29"/>
  <c r="AV28" i="29"/>
  <c r="AV29" i="29"/>
  <c r="AV30" i="29"/>
  <c r="AV31" i="29"/>
  <c r="AV32" i="29"/>
  <c r="AV33" i="29"/>
  <c r="AV34" i="29"/>
  <c r="AV35" i="29"/>
  <c r="AV36" i="29"/>
  <c r="AV37" i="29"/>
  <c r="AV38" i="29"/>
  <c r="AW8" i="29"/>
  <c r="AW9" i="29"/>
  <c r="AW10" i="29"/>
  <c r="AW11" i="29"/>
  <c r="AW12" i="29"/>
  <c r="AW13" i="29"/>
  <c r="AW14" i="29"/>
  <c r="AW15" i="29"/>
  <c r="AW16" i="29"/>
  <c r="AW17" i="29"/>
  <c r="AW18" i="29"/>
  <c r="AW19" i="29"/>
  <c r="AW20" i="29"/>
  <c r="AW21" i="29"/>
  <c r="AW22" i="29"/>
  <c r="AW23" i="29"/>
  <c r="AW24" i="29"/>
  <c r="AW25" i="29"/>
  <c r="AW26" i="29"/>
  <c r="AW27" i="29"/>
  <c r="AW28" i="29"/>
  <c r="AW29" i="29"/>
  <c r="AW30" i="29"/>
  <c r="AW31" i="29"/>
  <c r="AW32" i="29"/>
  <c r="AW33" i="29"/>
  <c r="AW34" i="29"/>
  <c r="AW35" i="29"/>
  <c r="AW36" i="29"/>
  <c r="AW37" i="29"/>
  <c r="AW38" i="29"/>
  <c r="AX8" i="29"/>
  <c r="AX9" i="29"/>
  <c r="AX10" i="29"/>
  <c r="AX11" i="29"/>
  <c r="AX12" i="29"/>
  <c r="AX13" i="29"/>
  <c r="AX14" i="29"/>
  <c r="AX15" i="29"/>
  <c r="AX16" i="29"/>
  <c r="AX17" i="29"/>
  <c r="AX18" i="29"/>
  <c r="AX19" i="29"/>
  <c r="AX20" i="29"/>
  <c r="AX21" i="29"/>
  <c r="AX22" i="29"/>
  <c r="AX23" i="29"/>
  <c r="AX24" i="29"/>
  <c r="AX25" i="29"/>
  <c r="AX26" i="29"/>
  <c r="AX27" i="29"/>
  <c r="AX28" i="29"/>
  <c r="AX29" i="29"/>
  <c r="AX30" i="29"/>
  <c r="AX31" i="29"/>
  <c r="AX32" i="29"/>
  <c r="AX33" i="29"/>
  <c r="AX34" i="29"/>
  <c r="AX35" i="29"/>
  <c r="AX36" i="29"/>
  <c r="AX37" i="29"/>
  <c r="AX38" i="29"/>
  <c r="AY8" i="29"/>
  <c r="AY9" i="29"/>
  <c r="AY10" i="29"/>
  <c r="AY11" i="29"/>
  <c r="AY12" i="29"/>
  <c r="AY13" i="29"/>
  <c r="AY14" i="29"/>
  <c r="AY15" i="29"/>
  <c r="AY16" i="29"/>
  <c r="AY17" i="29"/>
  <c r="AY18" i="29"/>
  <c r="AY19" i="29"/>
  <c r="AY20" i="29"/>
  <c r="AY21" i="29"/>
  <c r="AY22" i="29"/>
  <c r="AY23" i="29"/>
  <c r="AY24" i="29"/>
  <c r="AY25" i="29"/>
  <c r="AY26" i="29"/>
  <c r="AY27" i="29"/>
  <c r="AY28" i="29"/>
  <c r="AY29" i="29"/>
  <c r="AY30" i="29"/>
  <c r="AY31" i="29"/>
  <c r="AY32" i="29"/>
  <c r="AY33" i="29"/>
  <c r="AY34" i="29"/>
  <c r="AY35" i="29"/>
  <c r="AY36" i="29"/>
  <c r="AY37" i="29"/>
  <c r="AY38" i="29"/>
  <c r="AZ8" i="29"/>
  <c r="AZ9" i="29"/>
  <c r="AZ10" i="29"/>
  <c r="AZ11" i="29"/>
  <c r="AZ12" i="29"/>
  <c r="AZ13" i="29"/>
  <c r="AZ14" i="29"/>
  <c r="AZ15" i="29"/>
  <c r="AZ16" i="29"/>
  <c r="AZ17" i="29"/>
  <c r="AZ18" i="29"/>
  <c r="AZ19" i="29"/>
  <c r="AZ20" i="29"/>
  <c r="AZ21" i="29"/>
  <c r="AZ22" i="29"/>
  <c r="AZ23" i="29"/>
  <c r="AZ24" i="29"/>
  <c r="AZ25" i="29"/>
  <c r="AZ26" i="29"/>
  <c r="AZ27" i="29"/>
  <c r="AZ28" i="29"/>
  <c r="AZ29" i="29"/>
  <c r="AZ30" i="29"/>
  <c r="AZ31" i="29"/>
  <c r="AZ32" i="29"/>
  <c r="AZ33" i="29"/>
  <c r="AZ34" i="29"/>
  <c r="AZ35" i="29"/>
  <c r="AZ36" i="29"/>
  <c r="AZ37" i="29"/>
  <c r="AZ38" i="29"/>
  <c r="BA8" i="29"/>
  <c r="BA9" i="29"/>
  <c r="BA10" i="29"/>
  <c r="BA11" i="29"/>
  <c r="BA12" i="29"/>
  <c r="BA13" i="29"/>
  <c r="BA14" i="29"/>
  <c r="BA15" i="29"/>
  <c r="BA16" i="29"/>
  <c r="BA17" i="29"/>
  <c r="BA18" i="29"/>
  <c r="BA19" i="29"/>
  <c r="BA20" i="29"/>
  <c r="BA21" i="29"/>
  <c r="BA22" i="29"/>
  <c r="BA23" i="29"/>
  <c r="BA24" i="29"/>
  <c r="BA25" i="29"/>
  <c r="BA26" i="29"/>
  <c r="BA27" i="29"/>
  <c r="BA28" i="29"/>
  <c r="BA29" i="29"/>
  <c r="BA30" i="29"/>
  <c r="BA31" i="29"/>
  <c r="BA32" i="29"/>
  <c r="BA33" i="29"/>
  <c r="BA34" i="29"/>
  <c r="BA35" i="29"/>
  <c r="BA36" i="29"/>
  <c r="BA37" i="29"/>
  <c r="BA38" i="29"/>
  <c r="BB8" i="29"/>
  <c r="BB9" i="29"/>
  <c r="BB10" i="29"/>
  <c r="BB11" i="29"/>
  <c r="BB12" i="29"/>
  <c r="BB13" i="29"/>
  <c r="BB14" i="29"/>
  <c r="BB15" i="29"/>
  <c r="BB16" i="29"/>
  <c r="BB17" i="29"/>
  <c r="BB18" i="29"/>
  <c r="BB19" i="29"/>
  <c r="BB20" i="29"/>
  <c r="BB21" i="29"/>
  <c r="BB22" i="29"/>
  <c r="BB23" i="29"/>
  <c r="BB24" i="29"/>
  <c r="BB25" i="29"/>
  <c r="BB26" i="29"/>
  <c r="BB27" i="29"/>
  <c r="BB28" i="29"/>
  <c r="BB29" i="29"/>
  <c r="BB30" i="29"/>
  <c r="BB31" i="29"/>
  <c r="BB32" i="29"/>
  <c r="BB33" i="29"/>
  <c r="BB34" i="29"/>
  <c r="BB35" i="29"/>
  <c r="BB36" i="29"/>
  <c r="BB37" i="29"/>
  <c r="BB38" i="29"/>
  <c r="BC8" i="29"/>
  <c r="BC9" i="29"/>
  <c r="BC10" i="29"/>
  <c r="BC11" i="29"/>
  <c r="BC12" i="29"/>
  <c r="BC13" i="29"/>
  <c r="BC14" i="29"/>
  <c r="BC15" i="29"/>
  <c r="BC16" i="29"/>
  <c r="BC17" i="29"/>
  <c r="BC18" i="29"/>
  <c r="BC19" i="29"/>
  <c r="BC20" i="29"/>
  <c r="BC21" i="29"/>
  <c r="BC22" i="29"/>
  <c r="BC23" i="29"/>
  <c r="BC24" i="29"/>
  <c r="BC25" i="29"/>
  <c r="BC26" i="29"/>
  <c r="BC27" i="29"/>
  <c r="BC28" i="29"/>
  <c r="BC29" i="29"/>
  <c r="BC30" i="29"/>
  <c r="BC31" i="29"/>
  <c r="BC32" i="29"/>
  <c r="BC33" i="29"/>
  <c r="BC34" i="29"/>
  <c r="BC35" i="29"/>
  <c r="BC36" i="29"/>
  <c r="BC37" i="29"/>
  <c r="BC38" i="29"/>
  <c r="BD8" i="29"/>
  <c r="BD9" i="29"/>
  <c r="BD10" i="29"/>
  <c r="BD11" i="29"/>
  <c r="BD12" i="29"/>
  <c r="BD13" i="29"/>
  <c r="BD14" i="29"/>
  <c r="BD15" i="29"/>
  <c r="BD16" i="29"/>
  <c r="BD17" i="29"/>
  <c r="BD18" i="29"/>
  <c r="BD19" i="29"/>
  <c r="BD20" i="29"/>
  <c r="BD21" i="29"/>
  <c r="BD22" i="29"/>
  <c r="BD23" i="29"/>
  <c r="BD24" i="29"/>
  <c r="BD25" i="29"/>
  <c r="BD26" i="29"/>
  <c r="BD27" i="29"/>
  <c r="BD28" i="29"/>
  <c r="BD29" i="29"/>
  <c r="BD30" i="29"/>
  <c r="BD31" i="29"/>
  <c r="BD32" i="29"/>
  <c r="BD33" i="29"/>
  <c r="BD34" i="29"/>
  <c r="BD35" i="29"/>
  <c r="BD36" i="29"/>
  <c r="BD37" i="29"/>
  <c r="BD38" i="29"/>
  <c r="BE8" i="29"/>
  <c r="BE9" i="29"/>
  <c r="BE10" i="29"/>
  <c r="BE11" i="29"/>
  <c r="BE12" i="29"/>
  <c r="BE13" i="29"/>
  <c r="BE14" i="29"/>
  <c r="BE15" i="29"/>
  <c r="BE16" i="29"/>
  <c r="BE17" i="29"/>
  <c r="BE18" i="29"/>
  <c r="BE19" i="29"/>
  <c r="BE20" i="29"/>
  <c r="BE21" i="29"/>
  <c r="BE22" i="29"/>
  <c r="BE23" i="29"/>
  <c r="BE24" i="29"/>
  <c r="BE25" i="29"/>
  <c r="BE26" i="29"/>
  <c r="BE27" i="29"/>
  <c r="BE28" i="29"/>
  <c r="BE29" i="29"/>
  <c r="BE30" i="29"/>
  <c r="BE31" i="29"/>
  <c r="BE32" i="29"/>
  <c r="BE33" i="29"/>
  <c r="BE34" i="29"/>
  <c r="BE35" i="29"/>
  <c r="BE36" i="29"/>
  <c r="BE37" i="29"/>
  <c r="BE38" i="29"/>
  <c r="BF8" i="29"/>
  <c r="BF9" i="29"/>
  <c r="BF10" i="29"/>
  <c r="BF11" i="29"/>
  <c r="BF12" i="29"/>
  <c r="BF13" i="29"/>
  <c r="BF14" i="29"/>
  <c r="BF15" i="29"/>
  <c r="BF16" i="29"/>
  <c r="BF17" i="29"/>
  <c r="BF18" i="29"/>
  <c r="BF19" i="29"/>
  <c r="BF20" i="29"/>
  <c r="BF21" i="29"/>
  <c r="BF22" i="29"/>
  <c r="BF23" i="29"/>
  <c r="BF24" i="29"/>
  <c r="BF25" i="29"/>
  <c r="BF26" i="29"/>
  <c r="BF27" i="29"/>
  <c r="BF28" i="29"/>
  <c r="BF29" i="29"/>
  <c r="BF30" i="29"/>
  <c r="BF31" i="29"/>
  <c r="BF32" i="29"/>
  <c r="BF33" i="29"/>
  <c r="BF34" i="29"/>
  <c r="BF35" i="29"/>
  <c r="BF36" i="29"/>
  <c r="BF37" i="29"/>
  <c r="BF38" i="29"/>
  <c r="BG8" i="29"/>
  <c r="BG9" i="29"/>
  <c r="BG10" i="29"/>
  <c r="BG11" i="29"/>
  <c r="BG12" i="29"/>
  <c r="BG13" i="29"/>
  <c r="BG14" i="29"/>
  <c r="BG15" i="29"/>
  <c r="BG16" i="29"/>
  <c r="BG17" i="29"/>
  <c r="BG18" i="29"/>
  <c r="BG19" i="29"/>
  <c r="BG20" i="29"/>
  <c r="BG21" i="29"/>
  <c r="BG22" i="29"/>
  <c r="BG23" i="29"/>
  <c r="BG24" i="29"/>
  <c r="BG25" i="29"/>
  <c r="BG26" i="29"/>
  <c r="BG27" i="29"/>
  <c r="BG28" i="29"/>
  <c r="BG29" i="29"/>
  <c r="BG30" i="29"/>
  <c r="BG31" i="29"/>
  <c r="BG32" i="29"/>
  <c r="BG33" i="29"/>
  <c r="BG34" i="29"/>
  <c r="BG35" i="29"/>
  <c r="BG36" i="29"/>
  <c r="BG37" i="29"/>
  <c r="BG38" i="29"/>
  <c r="BH8" i="29"/>
  <c r="BH9" i="29"/>
  <c r="BH10" i="29"/>
  <c r="BH11" i="29"/>
  <c r="BH12" i="29"/>
  <c r="BH13" i="29"/>
  <c r="BH14" i="29"/>
  <c r="BH15" i="29"/>
  <c r="BH16" i="29"/>
  <c r="BH17" i="29"/>
  <c r="BH18" i="29"/>
  <c r="BH19" i="29"/>
  <c r="BH20" i="29"/>
  <c r="BH21" i="29"/>
  <c r="BH22" i="29"/>
  <c r="BH23" i="29"/>
  <c r="BH24" i="29"/>
  <c r="BH25" i="29"/>
  <c r="BH26" i="29"/>
  <c r="BH27" i="29"/>
  <c r="BH28" i="29"/>
  <c r="BH29" i="29"/>
  <c r="BH30" i="29"/>
  <c r="BH31" i="29"/>
  <c r="BH32" i="29"/>
  <c r="BH33" i="29"/>
  <c r="BH34" i="29"/>
  <c r="BH35" i="29"/>
  <c r="BH36" i="29"/>
  <c r="BH37" i="29"/>
  <c r="BH38" i="29"/>
  <c r="BI8" i="29"/>
  <c r="BI9" i="29"/>
  <c r="BI10" i="29"/>
  <c r="BI11" i="29"/>
  <c r="BI12" i="29"/>
  <c r="BI13" i="29"/>
  <c r="BI14" i="29"/>
  <c r="BI15" i="29"/>
  <c r="BI16" i="29"/>
  <c r="BI17" i="29"/>
  <c r="BI18" i="29"/>
  <c r="BI19" i="29"/>
  <c r="BI20" i="29"/>
  <c r="BI21" i="29"/>
  <c r="BI22" i="29"/>
  <c r="BI23" i="29"/>
  <c r="BI24" i="29"/>
  <c r="BI25" i="29"/>
  <c r="BI26" i="29"/>
  <c r="BI27" i="29"/>
  <c r="BI28" i="29"/>
  <c r="BI29" i="29"/>
  <c r="BI30" i="29"/>
  <c r="BI31" i="29"/>
  <c r="BI32" i="29"/>
  <c r="BI33" i="29"/>
  <c r="BI34" i="29"/>
  <c r="BI35" i="29"/>
  <c r="BI36" i="29"/>
  <c r="BI37" i="29"/>
  <c r="BI38" i="29"/>
  <c r="BJ8" i="29"/>
  <c r="BJ9" i="29"/>
  <c r="BJ10" i="29"/>
  <c r="BJ11" i="29"/>
  <c r="BJ12" i="29"/>
  <c r="BJ13" i="29"/>
  <c r="BJ14" i="29"/>
  <c r="BJ15" i="29"/>
  <c r="BJ16" i="29"/>
  <c r="BJ17" i="29"/>
  <c r="BJ18" i="29"/>
  <c r="BJ19" i="29"/>
  <c r="BJ20" i="29"/>
  <c r="BJ21" i="29"/>
  <c r="BJ22" i="29"/>
  <c r="BJ23" i="29"/>
  <c r="BJ24" i="29"/>
  <c r="BJ25" i="29"/>
  <c r="BJ26" i="29"/>
  <c r="BJ27" i="29"/>
  <c r="BJ28" i="29"/>
  <c r="BJ29" i="29"/>
  <c r="BJ30" i="29"/>
  <c r="BJ31" i="29"/>
  <c r="BJ32" i="29"/>
  <c r="BJ33" i="29"/>
  <c r="BJ34" i="29"/>
  <c r="BJ35" i="29"/>
  <c r="BJ36" i="29"/>
  <c r="BJ37" i="29"/>
  <c r="BJ38" i="29"/>
  <c r="BK8" i="29"/>
  <c r="BK9" i="29"/>
  <c r="BK10" i="29"/>
  <c r="BK11" i="29"/>
  <c r="BK12" i="29"/>
  <c r="BK13" i="29"/>
  <c r="BK14" i="29"/>
  <c r="BK15" i="29"/>
  <c r="BK16" i="29"/>
  <c r="BK17" i="29"/>
  <c r="BK18" i="29"/>
  <c r="BK19" i="29"/>
  <c r="BK20" i="29"/>
  <c r="BK21" i="29"/>
  <c r="BK22" i="29"/>
  <c r="BK23" i="29"/>
  <c r="BK24" i="29"/>
  <c r="BK25" i="29"/>
  <c r="BK26" i="29"/>
  <c r="BK27" i="29"/>
  <c r="BK28" i="29"/>
  <c r="BK29" i="29"/>
  <c r="BK30" i="29"/>
  <c r="BK31" i="29"/>
  <c r="BK32" i="29"/>
  <c r="BK33" i="29"/>
  <c r="BK34" i="29"/>
  <c r="BK35" i="29"/>
  <c r="BK36" i="29"/>
  <c r="BK37" i="29"/>
  <c r="BK38" i="29"/>
  <c r="AH30" i="31"/>
  <c r="AH31" i="31"/>
  <c r="AH32" i="31"/>
  <c r="AH33" i="31"/>
  <c r="AH34" i="31"/>
  <c r="AH35" i="31"/>
  <c r="AH36" i="31"/>
  <c r="AH37" i="31"/>
  <c r="AH38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AI24" i="31"/>
  <c r="AI25" i="31"/>
  <c r="AI26" i="31"/>
  <c r="AI27" i="31"/>
  <c r="AI28" i="31"/>
  <c r="AI29" i="31"/>
  <c r="AI30" i="31"/>
  <c r="AI31" i="31"/>
  <c r="AI32" i="31"/>
  <c r="AI33" i="31"/>
  <c r="AI34" i="31"/>
  <c r="AI35" i="31"/>
  <c r="AI36" i="31"/>
  <c r="AI37" i="31"/>
  <c r="AI38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J24" i="31"/>
  <c r="AJ25" i="31"/>
  <c r="AJ26" i="31"/>
  <c r="AJ27" i="31"/>
  <c r="AJ28" i="31"/>
  <c r="AJ29" i="31"/>
  <c r="AJ30" i="31"/>
  <c r="AJ31" i="31"/>
  <c r="AJ32" i="31"/>
  <c r="AJ33" i="31"/>
  <c r="AJ34" i="31"/>
  <c r="AJ35" i="31"/>
  <c r="AJ36" i="31"/>
  <c r="AJ37" i="31"/>
  <c r="AJ38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K24" i="31"/>
  <c r="AK25" i="31"/>
  <c r="AK26" i="31"/>
  <c r="AK27" i="31"/>
  <c r="AK28" i="31"/>
  <c r="AK29" i="31"/>
  <c r="AK30" i="31"/>
  <c r="AK31" i="31"/>
  <c r="AK32" i="31"/>
  <c r="AK33" i="31"/>
  <c r="AK34" i="31"/>
  <c r="AK35" i="31"/>
  <c r="AK36" i="31"/>
  <c r="AK37" i="31"/>
  <c r="AK38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L24" i="31"/>
  <c r="AL25" i="31"/>
  <c r="AL26" i="31"/>
  <c r="AL27" i="31"/>
  <c r="AL28" i="31"/>
  <c r="AL29" i="31"/>
  <c r="AL30" i="31"/>
  <c r="AL31" i="31"/>
  <c r="AL32" i="31"/>
  <c r="AL33" i="31"/>
  <c r="AL34" i="31"/>
  <c r="AL35" i="31"/>
  <c r="AL36" i="31"/>
  <c r="AL37" i="31"/>
  <c r="AL38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M24" i="31"/>
  <c r="AM25" i="31"/>
  <c r="AM26" i="31"/>
  <c r="AM27" i="31"/>
  <c r="AM28" i="31"/>
  <c r="AM29" i="31"/>
  <c r="AM30" i="31"/>
  <c r="AM31" i="31"/>
  <c r="AM32" i="31"/>
  <c r="AM33" i="31"/>
  <c r="AM34" i="31"/>
  <c r="AM35" i="31"/>
  <c r="AM36" i="31"/>
  <c r="AM37" i="31"/>
  <c r="AM38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N24" i="31"/>
  <c r="AN25" i="31"/>
  <c r="AN26" i="31"/>
  <c r="AN27" i="31"/>
  <c r="AN28" i="31"/>
  <c r="AN29" i="31"/>
  <c r="AN30" i="31"/>
  <c r="AN31" i="31"/>
  <c r="AN32" i="31"/>
  <c r="AN33" i="31"/>
  <c r="AN34" i="31"/>
  <c r="AN35" i="31"/>
  <c r="AN36" i="31"/>
  <c r="AN37" i="31"/>
  <c r="AN38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O24" i="31"/>
  <c r="AO25" i="31"/>
  <c r="AO26" i="31"/>
  <c r="AO27" i="31"/>
  <c r="AO28" i="31"/>
  <c r="AO29" i="31"/>
  <c r="AO30" i="31"/>
  <c r="AO31" i="31"/>
  <c r="AO32" i="31"/>
  <c r="AO33" i="31"/>
  <c r="AO34" i="31"/>
  <c r="AO35" i="31"/>
  <c r="AO36" i="31"/>
  <c r="AO37" i="31"/>
  <c r="AO38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P24" i="31"/>
  <c r="AP25" i="31"/>
  <c r="AP26" i="31"/>
  <c r="AP27" i="31"/>
  <c r="AP28" i="31"/>
  <c r="AP29" i="31"/>
  <c r="AP30" i="31"/>
  <c r="AP31" i="31"/>
  <c r="AP32" i="31"/>
  <c r="AP33" i="31"/>
  <c r="AP34" i="31"/>
  <c r="AP35" i="31"/>
  <c r="AP36" i="31"/>
  <c r="AP37" i="31"/>
  <c r="AP38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Q24" i="31"/>
  <c r="AQ25" i="31"/>
  <c r="AQ26" i="31"/>
  <c r="AQ27" i="31"/>
  <c r="AQ28" i="31"/>
  <c r="AQ29" i="31"/>
  <c r="AQ30" i="31"/>
  <c r="AQ31" i="31"/>
  <c r="AQ32" i="31"/>
  <c r="AQ33" i="31"/>
  <c r="AQ34" i="31"/>
  <c r="AQ35" i="31"/>
  <c r="AQ36" i="31"/>
  <c r="AQ37" i="31"/>
  <c r="AQ38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R24" i="31"/>
  <c r="AR25" i="31"/>
  <c r="AR26" i="31"/>
  <c r="AR27" i="31"/>
  <c r="AR28" i="31"/>
  <c r="AR29" i="31"/>
  <c r="AR30" i="31"/>
  <c r="AR31" i="31"/>
  <c r="AR32" i="31"/>
  <c r="AR33" i="31"/>
  <c r="AR34" i="31"/>
  <c r="AR35" i="31"/>
  <c r="AR36" i="31"/>
  <c r="AR37" i="31"/>
  <c r="AR38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S24" i="31"/>
  <c r="AS25" i="31"/>
  <c r="AS26" i="31"/>
  <c r="AS27" i="31"/>
  <c r="AS28" i="31"/>
  <c r="AS29" i="31"/>
  <c r="AS30" i="31"/>
  <c r="AS31" i="31"/>
  <c r="AS32" i="31"/>
  <c r="AS33" i="31"/>
  <c r="AS34" i="31"/>
  <c r="AS35" i="31"/>
  <c r="AS36" i="31"/>
  <c r="AS37" i="31"/>
  <c r="AS38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T24" i="31"/>
  <c r="AT25" i="31"/>
  <c r="AT26" i="31"/>
  <c r="AT27" i="31"/>
  <c r="AT28" i="31"/>
  <c r="AT29" i="31"/>
  <c r="AT30" i="31"/>
  <c r="AT31" i="31"/>
  <c r="AT32" i="31"/>
  <c r="AT33" i="31"/>
  <c r="AT34" i="31"/>
  <c r="AT35" i="31"/>
  <c r="AT36" i="31"/>
  <c r="AT37" i="31"/>
  <c r="AT38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U24" i="31"/>
  <c r="AU25" i="31"/>
  <c r="AU26" i="31"/>
  <c r="AU27" i="31"/>
  <c r="AU28" i="31"/>
  <c r="AU29" i="31"/>
  <c r="AU30" i="31"/>
  <c r="AU31" i="31"/>
  <c r="AU32" i="31"/>
  <c r="AU33" i="31"/>
  <c r="AU34" i="31"/>
  <c r="AU35" i="31"/>
  <c r="AU36" i="31"/>
  <c r="AU37" i="31"/>
  <c r="AU38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V24" i="31"/>
  <c r="AV25" i="31"/>
  <c r="AV26" i="31"/>
  <c r="AV27" i="31"/>
  <c r="AV28" i="31"/>
  <c r="AV29" i="31"/>
  <c r="AV30" i="31"/>
  <c r="AV31" i="31"/>
  <c r="AV32" i="31"/>
  <c r="AV33" i="31"/>
  <c r="AV34" i="31"/>
  <c r="AV35" i="31"/>
  <c r="AV36" i="31"/>
  <c r="AV37" i="31"/>
  <c r="AV38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W24" i="31"/>
  <c r="AW25" i="31"/>
  <c r="AW26" i="31"/>
  <c r="AW27" i="31"/>
  <c r="AW28" i="31"/>
  <c r="AW29" i="31"/>
  <c r="AW30" i="31"/>
  <c r="AW31" i="31"/>
  <c r="AW32" i="31"/>
  <c r="AW33" i="31"/>
  <c r="AW34" i="31"/>
  <c r="AW35" i="31"/>
  <c r="AW36" i="31"/>
  <c r="AW37" i="31"/>
  <c r="AW38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X24" i="31"/>
  <c r="AX25" i="31"/>
  <c r="AX26" i="31"/>
  <c r="AX27" i="31"/>
  <c r="AX28" i="31"/>
  <c r="AX29" i="31"/>
  <c r="AX30" i="31"/>
  <c r="AX31" i="31"/>
  <c r="AX32" i="31"/>
  <c r="AX33" i="31"/>
  <c r="AX34" i="31"/>
  <c r="AX35" i="31"/>
  <c r="AX36" i="31"/>
  <c r="AX37" i="31"/>
  <c r="AX38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Y24" i="31"/>
  <c r="AY25" i="31"/>
  <c r="AY26" i="31"/>
  <c r="AY27" i="31"/>
  <c r="AY28" i="31"/>
  <c r="AY29" i="31"/>
  <c r="AY30" i="31"/>
  <c r="AY31" i="31"/>
  <c r="AY32" i="31"/>
  <c r="AY33" i="31"/>
  <c r="AY34" i="31"/>
  <c r="AY35" i="31"/>
  <c r="AY36" i="31"/>
  <c r="AY37" i="31"/>
  <c r="AY38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AZ24" i="31"/>
  <c r="AZ25" i="31"/>
  <c r="AZ26" i="31"/>
  <c r="AZ27" i="31"/>
  <c r="AZ28" i="31"/>
  <c r="AZ29" i="31"/>
  <c r="AZ30" i="31"/>
  <c r="AZ31" i="31"/>
  <c r="AZ32" i="31"/>
  <c r="AZ33" i="31"/>
  <c r="AZ34" i="31"/>
  <c r="AZ35" i="31"/>
  <c r="AZ36" i="31"/>
  <c r="AZ37" i="31"/>
  <c r="AZ38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BA24" i="31"/>
  <c r="BA25" i="31"/>
  <c r="BA26" i="31"/>
  <c r="BA27" i="31"/>
  <c r="BA28" i="31"/>
  <c r="BA29" i="31"/>
  <c r="BA30" i="31"/>
  <c r="BA31" i="31"/>
  <c r="BA32" i="31"/>
  <c r="BA33" i="31"/>
  <c r="BA34" i="31"/>
  <c r="BA35" i="31"/>
  <c r="BA36" i="31"/>
  <c r="BA37" i="31"/>
  <c r="BA38" i="31"/>
  <c r="BB8" i="31"/>
  <c r="BB9" i="31"/>
  <c r="BB10" i="31"/>
  <c r="BB11" i="31"/>
  <c r="BB12" i="31"/>
  <c r="BB13" i="31"/>
  <c r="BB14" i="31"/>
  <c r="BB15" i="31"/>
  <c r="BB16" i="31"/>
  <c r="BB17" i="31"/>
  <c r="BB18" i="31"/>
  <c r="BB19" i="31"/>
  <c r="BB20" i="31"/>
  <c r="BB21" i="31"/>
  <c r="BB22" i="31"/>
  <c r="BB23" i="31"/>
  <c r="BB24" i="31"/>
  <c r="BB25" i="31"/>
  <c r="BB26" i="31"/>
  <c r="BB27" i="31"/>
  <c r="BB28" i="31"/>
  <c r="BB29" i="31"/>
  <c r="BB30" i="31"/>
  <c r="BB31" i="31"/>
  <c r="BB32" i="31"/>
  <c r="BB33" i="31"/>
  <c r="BB34" i="31"/>
  <c r="BB35" i="31"/>
  <c r="BB36" i="31"/>
  <c r="BB37" i="31"/>
  <c r="BB38" i="31"/>
  <c r="BC8" i="31"/>
  <c r="BC9" i="31"/>
  <c r="BC10" i="31"/>
  <c r="BC11" i="31"/>
  <c r="BC12" i="31"/>
  <c r="BC13" i="31"/>
  <c r="BC14" i="31"/>
  <c r="BC15" i="31"/>
  <c r="BC16" i="31"/>
  <c r="BC17" i="31"/>
  <c r="BC18" i="31"/>
  <c r="BC19" i="31"/>
  <c r="BC20" i="31"/>
  <c r="BC21" i="31"/>
  <c r="BC22" i="31"/>
  <c r="BC23" i="31"/>
  <c r="BC24" i="31"/>
  <c r="BC25" i="31"/>
  <c r="BC26" i="31"/>
  <c r="BC27" i="31"/>
  <c r="BC28" i="31"/>
  <c r="BC29" i="31"/>
  <c r="BC30" i="31"/>
  <c r="BC31" i="31"/>
  <c r="BC32" i="31"/>
  <c r="BC33" i="31"/>
  <c r="BC34" i="31"/>
  <c r="BC35" i="31"/>
  <c r="BC36" i="31"/>
  <c r="BC37" i="31"/>
  <c r="BC38" i="31"/>
  <c r="BD8" i="31"/>
  <c r="BD9" i="31"/>
  <c r="BD10" i="31"/>
  <c r="BD11" i="31"/>
  <c r="BD12" i="31"/>
  <c r="BD13" i="31"/>
  <c r="BD14" i="31"/>
  <c r="BD15" i="31"/>
  <c r="BD16" i="31"/>
  <c r="BD17" i="31"/>
  <c r="BD18" i="31"/>
  <c r="BD19" i="31"/>
  <c r="BD20" i="31"/>
  <c r="BD21" i="31"/>
  <c r="BD22" i="31"/>
  <c r="BD23" i="31"/>
  <c r="BD24" i="31"/>
  <c r="BD25" i="31"/>
  <c r="BD26" i="31"/>
  <c r="BD27" i="31"/>
  <c r="BD28" i="31"/>
  <c r="BD29" i="31"/>
  <c r="BD30" i="31"/>
  <c r="BD31" i="31"/>
  <c r="BD32" i="31"/>
  <c r="BD33" i="31"/>
  <c r="BD34" i="31"/>
  <c r="BD35" i="31"/>
  <c r="BD36" i="31"/>
  <c r="BD37" i="31"/>
  <c r="BD38" i="31"/>
  <c r="BE8" i="31"/>
  <c r="BE9" i="31"/>
  <c r="BE10" i="31"/>
  <c r="BE11" i="31"/>
  <c r="BE12" i="31"/>
  <c r="BE13" i="31"/>
  <c r="BE14" i="31"/>
  <c r="BE15" i="31"/>
  <c r="BE16" i="31"/>
  <c r="BE17" i="31"/>
  <c r="BE18" i="31"/>
  <c r="BE19" i="31"/>
  <c r="BE20" i="31"/>
  <c r="BE21" i="31"/>
  <c r="BE22" i="31"/>
  <c r="BE23" i="31"/>
  <c r="BE24" i="31"/>
  <c r="BE25" i="31"/>
  <c r="BE26" i="31"/>
  <c r="BE27" i="31"/>
  <c r="BE28" i="31"/>
  <c r="BE29" i="31"/>
  <c r="BE30" i="31"/>
  <c r="BE31" i="31"/>
  <c r="BE32" i="31"/>
  <c r="BE33" i="31"/>
  <c r="BE34" i="31"/>
  <c r="BE35" i="31"/>
  <c r="BE36" i="31"/>
  <c r="BE37" i="31"/>
  <c r="BE38" i="31"/>
  <c r="BF8" i="31"/>
  <c r="BF9" i="31"/>
  <c r="BF10" i="31"/>
  <c r="BF11" i="31"/>
  <c r="BF12" i="31"/>
  <c r="BF13" i="31"/>
  <c r="BF14" i="31"/>
  <c r="BF15" i="31"/>
  <c r="BF16" i="31"/>
  <c r="BF17" i="31"/>
  <c r="BF18" i="31"/>
  <c r="BF19" i="31"/>
  <c r="BF20" i="31"/>
  <c r="BF21" i="31"/>
  <c r="BF22" i="31"/>
  <c r="BF23" i="31"/>
  <c r="BF24" i="31"/>
  <c r="BF25" i="31"/>
  <c r="BF26" i="31"/>
  <c r="BF27" i="31"/>
  <c r="BF28" i="31"/>
  <c r="BF29" i="31"/>
  <c r="BF30" i="31"/>
  <c r="BF31" i="31"/>
  <c r="BF32" i="31"/>
  <c r="BF33" i="31"/>
  <c r="BF34" i="31"/>
  <c r="BF35" i="31"/>
  <c r="BF36" i="31"/>
  <c r="BF37" i="31"/>
  <c r="BF38" i="31"/>
  <c r="BG8" i="31"/>
  <c r="BG9" i="31"/>
  <c r="BG10" i="31"/>
  <c r="BG11" i="31"/>
  <c r="BG12" i="31"/>
  <c r="BG13" i="31"/>
  <c r="BG14" i="31"/>
  <c r="BG15" i="31"/>
  <c r="BG16" i="31"/>
  <c r="BG17" i="31"/>
  <c r="BG18" i="31"/>
  <c r="BG19" i="31"/>
  <c r="BG20" i="31"/>
  <c r="BG21" i="31"/>
  <c r="BG22" i="31"/>
  <c r="BG23" i="31"/>
  <c r="BG24" i="31"/>
  <c r="BG25" i="31"/>
  <c r="BG26" i="31"/>
  <c r="BG27" i="31"/>
  <c r="BG28" i="31"/>
  <c r="BG29" i="31"/>
  <c r="BG30" i="31"/>
  <c r="BG31" i="31"/>
  <c r="BG32" i="31"/>
  <c r="BG33" i="31"/>
  <c r="BG34" i="31"/>
  <c r="BG35" i="31"/>
  <c r="BG36" i="31"/>
  <c r="BG37" i="31"/>
  <c r="BG38" i="31"/>
  <c r="BH8" i="31"/>
  <c r="BH9" i="31"/>
  <c r="BH10" i="31"/>
  <c r="BH11" i="31"/>
  <c r="BH12" i="31"/>
  <c r="BH13" i="31"/>
  <c r="BH14" i="31"/>
  <c r="BH15" i="31"/>
  <c r="BH16" i="31"/>
  <c r="BH17" i="31"/>
  <c r="BH18" i="31"/>
  <c r="BH19" i="31"/>
  <c r="BH20" i="31"/>
  <c r="BH21" i="31"/>
  <c r="BH22" i="31"/>
  <c r="BH23" i="31"/>
  <c r="BH24" i="31"/>
  <c r="BH25" i="31"/>
  <c r="BH26" i="31"/>
  <c r="BH27" i="31"/>
  <c r="BH28" i="31"/>
  <c r="BH29" i="31"/>
  <c r="BH30" i="31"/>
  <c r="BH31" i="31"/>
  <c r="BH32" i="31"/>
  <c r="BH33" i="31"/>
  <c r="BH34" i="31"/>
  <c r="BH35" i="31"/>
  <c r="BH36" i="31"/>
  <c r="BH37" i="31"/>
  <c r="BH38" i="31"/>
  <c r="BI8" i="31"/>
  <c r="BI9" i="31"/>
  <c r="BI10" i="31"/>
  <c r="BI11" i="31"/>
  <c r="BI12" i="31"/>
  <c r="BI13" i="31"/>
  <c r="BI14" i="31"/>
  <c r="BI15" i="31"/>
  <c r="BI16" i="31"/>
  <c r="BI17" i="31"/>
  <c r="BI18" i="31"/>
  <c r="BI19" i="31"/>
  <c r="BI20" i="31"/>
  <c r="BI21" i="31"/>
  <c r="BI22" i="31"/>
  <c r="BI23" i="31"/>
  <c r="BI24" i="31"/>
  <c r="BI25" i="31"/>
  <c r="BI26" i="31"/>
  <c r="BI27" i="31"/>
  <c r="BI28" i="31"/>
  <c r="BI29" i="31"/>
  <c r="BI30" i="31"/>
  <c r="BI31" i="31"/>
  <c r="BI32" i="31"/>
  <c r="BI33" i="31"/>
  <c r="BI34" i="31"/>
  <c r="BI35" i="31"/>
  <c r="BI36" i="31"/>
  <c r="BI37" i="31"/>
  <c r="BI38" i="31"/>
  <c r="BJ8" i="31"/>
  <c r="BJ9" i="31"/>
  <c r="BJ10" i="31"/>
  <c r="BJ11" i="31"/>
  <c r="BJ12" i="31"/>
  <c r="BJ13" i="31"/>
  <c r="BJ14" i="31"/>
  <c r="BJ15" i="31"/>
  <c r="BJ16" i="31"/>
  <c r="BJ17" i="31"/>
  <c r="BJ18" i="31"/>
  <c r="BJ19" i="31"/>
  <c r="BJ20" i="31"/>
  <c r="BJ21" i="31"/>
  <c r="BJ22" i="31"/>
  <c r="BJ23" i="31"/>
  <c r="BJ24" i="31"/>
  <c r="BJ25" i="31"/>
  <c r="BJ26" i="31"/>
  <c r="BJ27" i="31"/>
  <c r="BJ28" i="31"/>
  <c r="BJ29" i="31"/>
  <c r="BJ30" i="31"/>
  <c r="BJ31" i="31"/>
  <c r="BJ32" i="31"/>
  <c r="BJ33" i="31"/>
  <c r="BJ34" i="31"/>
  <c r="BJ35" i="31"/>
  <c r="BJ36" i="31"/>
  <c r="BJ37" i="31"/>
  <c r="BJ38" i="31"/>
  <c r="BK8" i="31"/>
  <c r="BK9" i="31"/>
  <c r="BK10" i="31"/>
  <c r="BK11" i="31"/>
  <c r="BK12" i="31"/>
  <c r="BK13" i="31"/>
  <c r="BK14" i="31"/>
  <c r="BK15" i="31"/>
  <c r="BK16" i="31"/>
  <c r="BK17" i="31"/>
  <c r="BK18" i="31"/>
  <c r="BK19" i="31"/>
  <c r="BK20" i="31"/>
  <c r="BK21" i="31"/>
  <c r="BK22" i="31"/>
  <c r="BK23" i="31"/>
  <c r="BK24" i="31"/>
  <c r="BK25" i="31"/>
  <c r="BK26" i="31"/>
  <c r="BK27" i="31"/>
  <c r="BK28" i="31"/>
  <c r="BK29" i="31"/>
  <c r="BK30" i="31"/>
  <c r="BK31" i="31"/>
  <c r="BK32" i="31"/>
  <c r="BK33" i="31"/>
  <c r="BK34" i="31"/>
  <c r="BK35" i="31"/>
  <c r="BK36" i="31"/>
  <c r="BK37" i="31"/>
  <c r="BK38" i="31"/>
  <c r="AH8" i="37"/>
  <c r="AH9" i="37"/>
  <c r="AH10" i="37"/>
  <c r="AH11" i="37"/>
  <c r="AH12" i="37"/>
  <c r="AH13" i="37"/>
  <c r="AH14" i="37"/>
  <c r="AH15" i="37"/>
  <c r="AH16" i="37"/>
  <c r="AH17" i="37"/>
  <c r="AH18" i="37"/>
  <c r="AH19" i="37"/>
  <c r="AH20" i="37"/>
  <c r="AH21" i="37"/>
  <c r="AH22" i="37"/>
  <c r="AH23" i="37"/>
  <c r="AH24" i="37"/>
  <c r="AH25" i="37"/>
  <c r="AH26" i="37"/>
  <c r="AH27" i="37"/>
  <c r="AH28" i="37"/>
  <c r="AH29" i="37"/>
  <c r="AH30" i="37"/>
  <c r="AH31" i="37"/>
  <c r="AH32" i="37"/>
  <c r="AH33" i="37"/>
  <c r="AH34" i="37"/>
  <c r="AH35" i="37"/>
  <c r="AH36" i="37"/>
  <c r="AH37" i="37"/>
  <c r="AH38" i="37"/>
  <c r="AI8" i="37"/>
  <c r="AI9" i="37"/>
  <c r="AI10" i="37"/>
  <c r="AI11" i="37"/>
  <c r="AI12" i="37"/>
  <c r="AI13" i="37"/>
  <c r="AI14" i="37"/>
  <c r="AI15" i="37"/>
  <c r="AI16" i="37"/>
  <c r="AI17" i="37"/>
  <c r="AI18" i="37"/>
  <c r="AI19" i="37"/>
  <c r="AI20" i="37"/>
  <c r="AI21" i="37"/>
  <c r="AI22" i="37"/>
  <c r="AI23" i="37"/>
  <c r="AI24" i="37"/>
  <c r="AI25" i="37"/>
  <c r="AI26" i="37"/>
  <c r="AI27" i="37"/>
  <c r="AI28" i="37"/>
  <c r="AI29" i="37"/>
  <c r="AI30" i="37"/>
  <c r="AI31" i="37"/>
  <c r="AI32" i="37"/>
  <c r="AI33" i="37"/>
  <c r="AI34" i="37"/>
  <c r="AI35" i="37"/>
  <c r="AI36" i="37"/>
  <c r="AI37" i="37"/>
  <c r="AI38" i="37"/>
  <c r="AJ8" i="37"/>
  <c r="AJ9" i="37"/>
  <c r="AJ10" i="37"/>
  <c r="AJ11" i="37"/>
  <c r="AJ12" i="37"/>
  <c r="AJ13" i="37"/>
  <c r="AJ14" i="37"/>
  <c r="AJ15" i="37"/>
  <c r="AJ16" i="37"/>
  <c r="AJ17" i="37"/>
  <c r="AJ18" i="37"/>
  <c r="AJ19" i="37"/>
  <c r="AJ20" i="37"/>
  <c r="AJ21" i="37"/>
  <c r="AJ22" i="37"/>
  <c r="AJ23" i="37"/>
  <c r="AJ24" i="37"/>
  <c r="AJ25" i="37"/>
  <c r="AJ26" i="37"/>
  <c r="AJ27" i="37"/>
  <c r="AJ28" i="37"/>
  <c r="AJ29" i="37"/>
  <c r="AJ30" i="37"/>
  <c r="AJ31" i="37"/>
  <c r="AJ32" i="37"/>
  <c r="AJ33" i="37"/>
  <c r="AJ34" i="37"/>
  <c r="AJ35" i="37"/>
  <c r="AJ36" i="37"/>
  <c r="AJ37" i="37"/>
  <c r="AJ38" i="37"/>
  <c r="AK8" i="37"/>
  <c r="AK9" i="37"/>
  <c r="AK10" i="37"/>
  <c r="AK11" i="37"/>
  <c r="AK12" i="37"/>
  <c r="AK13" i="37"/>
  <c r="AK14" i="37"/>
  <c r="AK15" i="37"/>
  <c r="AK16" i="37"/>
  <c r="AK17" i="37"/>
  <c r="AK18" i="37"/>
  <c r="AK19" i="37"/>
  <c r="AK20" i="37"/>
  <c r="AK21" i="37"/>
  <c r="AK22" i="37"/>
  <c r="AK23" i="37"/>
  <c r="AK24" i="37"/>
  <c r="AK25" i="37"/>
  <c r="AK26" i="37"/>
  <c r="AK27" i="37"/>
  <c r="AK28" i="37"/>
  <c r="AK29" i="37"/>
  <c r="AK30" i="37"/>
  <c r="AK31" i="37"/>
  <c r="AK32" i="37"/>
  <c r="AK33" i="37"/>
  <c r="AK34" i="37"/>
  <c r="AK35" i="37"/>
  <c r="AK36" i="37"/>
  <c r="AK37" i="37"/>
  <c r="AK38" i="37"/>
  <c r="AL8" i="37"/>
  <c r="AL9" i="37"/>
  <c r="AL10" i="37"/>
  <c r="AL11" i="37"/>
  <c r="AL12" i="37"/>
  <c r="AL13" i="37"/>
  <c r="AL14" i="37"/>
  <c r="AL15" i="37"/>
  <c r="AL16" i="37"/>
  <c r="AL17" i="37"/>
  <c r="AL18" i="37"/>
  <c r="AL19" i="37"/>
  <c r="AL20" i="37"/>
  <c r="AL21" i="37"/>
  <c r="AL22" i="37"/>
  <c r="AL23" i="37"/>
  <c r="AL24" i="37"/>
  <c r="AL25" i="37"/>
  <c r="AL26" i="37"/>
  <c r="AL27" i="37"/>
  <c r="AL28" i="37"/>
  <c r="AL29" i="37"/>
  <c r="AL30" i="37"/>
  <c r="AL31" i="37"/>
  <c r="AL32" i="37"/>
  <c r="AL33" i="37"/>
  <c r="AL34" i="37"/>
  <c r="AL35" i="37"/>
  <c r="AL36" i="37"/>
  <c r="AL37" i="37"/>
  <c r="AL38" i="37"/>
  <c r="AM8" i="37"/>
  <c r="AM9" i="37"/>
  <c r="AM10" i="37"/>
  <c r="AM11" i="37"/>
  <c r="AM12" i="37"/>
  <c r="AM13" i="37"/>
  <c r="AM14" i="37"/>
  <c r="AM15" i="37"/>
  <c r="AM16" i="37"/>
  <c r="AM17" i="37"/>
  <c r="AM18" i="37"/>
  <c r="AM19" i="37"/>
  <c r="AM20" i="37"/>
  <c r="AM21" i="37"/>
  <c r="AM22" i="37"/>
  <c r="AM23" i="37"/>
  <c r="AM24" i="37"/>
  <c r="AM25" i="37"/>
  <c r="AM26" i="37"/>
  <c r="AM27" i="37"/>
  <c r="AM28" i="37"/>
  <c r="AM29" i="37"/>
  <c r="AM30" i="37"/>
  <c r="AM31" i="37"/>
  <c r="AM32" i="37"/>
  <c r="AM33" i="37"/>
  <c r="AM34" i="37"/>
  <c r="AM35" i="37"/>
  <c r="AM36" i="37"/>
  <c r="AM37" i="37"/>
  <c r="AM38" i="37"/>
  <c r="AN8" i="37"/>
  <c r="AN9" i="37"/>
  <c r="AN10" i="37"/>
  <c r="AN11" i="37"/>
  <c r="AN12" i="37"/>
  <c r="AN13" i="37"/>
  <c r="AN14" i="37"/>
  <c r="AN15" i="37"/>
  <c r="AN16" i="37"/>
  <c r="AN17" i="37"/>
  <c r="AN18" i="37"/>
  <c r="AN19" i="37"/>
  <c r="AN20" i="37"/>
  <c r="AN21" i="37"/>
  <c r="AN22" i="37"/>
  <c r="AN23" i="37"/>
  <c r="AN24" i="37"/>
  <c r="AN25" i="37"/>
  <c r="AN26" i="37"/>
  <c r="AN27" i="37"/>
  <c r="AN28" i="37"/>
  <c r="AN29" i="37"/>
  <c r="AN30" i="37"/>
  <c r="AN31" i="37"/>
  <c r="AN32" i="37"/>
  <c r="AN33" i="37"/>
  <c r="AN34" i="37"/>
  <c r="AN35" i="37"/>
  <c r="AN36" i="37"/>
  <c r="AN37" i="37"/>
  <c r="AN38" i="37"/>
  <c r="AO8" i="37"/>
  <c r="AO9" i="37"/>
  <c r="AO10" i="37"/>
  <c r="AO11" i="37"/>
  <c r="AO12" i="37"/>
  <c r="AO13" i="37"/>
  <c r="AO14" i="37"/>
  <c r="AO15" i="37"/>
  <c r="AO16" i="37"/>
  <c r="AO17" i="37"/>
  <c r="AO18" i="37"/>
  <c r="AO19" i="37"/>
  <c r="AO20" i="37"/>
  <c r="AO21" i="37"/>
  <c r="AO22" i="37"/>
  <c r="AO23" i="37"/>
  <c r="AO24" i="37"/>
  <c r="AO25" i="37"/>
  <c r="AO26" i="37"/>
  <c r="AO27" i="37"/>
  <c r="AO28" i="37"/>
  <c r="AO29" i="37"/>
  <c r="AO30" i="37"/>
  <c r="AO31" i="37"/>
  <c r="AO32" i="37"/>
  <c r="AO33" i="37"/>
  <c r="AO34" i="37"/>
  <c r="AO35" i="37"/>
  <c r="AO36" i="37"/>
  <c r="AO37" i="37"/>
  <c r="AO38" i="37"/>
  <c r="AP8" i="37"/>
  <c r="AP9" i="37"/>
  <c r="AP10" i="37"/>
  <c r="AP11" i="37"/>
  <c r="AP12" i="37"/>
  <c r="AP13" i="37"/>
  <c r="AP14" i="37"/>
  <c r="AP15" i="37"/>
  <c r="AP16" i="37"/>
  <c r="AP17" i="37"/>
  <c r="AP18" i="37"/>
  <c r="AP19" i="37"/>
  <c r="AP20" i="37"/>
  <c r="AP21" i="37"/>
  <c r="AP22" i="37"/>
  <c r="AP23" i="37"/>
  <c r="AP24" i="37"/>
  <c r="AP25" i="37"/>
  <c r="AP26" i="37"/>
  <c r="AP27" i="37"/>
  <c r="AP28" i="37"/>
  <c r="AP29" i="37"/>
  <c r="AP30" i="37"/>
  <c r="AP31" i="37"/>
  <c r="AP32" i="37"/>
  <c r="AP33" i="37"/>
  <c r="AP34" i="37"/>
  <c r="AP35" i="37"/>
  <c r="AP36" i="37"/>
  <c r="AP37" i="37"/>
  <c r="AP38" i="37"/>
  <c r="AQ8" i="37"/>
  <c r="AQ9" i="37"/>
  <c r="AQ10" i="37"/>
  <c r="AQ11" i="37"/>
  <c r="AQ12" i="37"/>
  <c r="AQ13" i="37"/>
  <c r="AQ14" i="37"/>
  <c r="AQ15" i="37"/>
  <c r="AQ16" i="37"/>
  <c r="AQ17" i="37"/>
  <c r="AQ18" i="37"/>
  <c r="AQ19" i="37"/>
  <c r="AQ20" i="37"/>
  <c r="AQ21" i="37"/>
  <c r="AQ22" i="37"/>
  <c r="AQ23" i="37"/>
  <c r="AQ24" i="37"/>
  <c r="AQ25" i="37"/>
  <c r="AQ26" i="37"/>
  <c r="AQ27" i="37"/>
  <c r="AQ28" i="37"/>
  <c r="AQ29" i="37"/>
  <c r="AQ30" i="37"/>
  <c r="AQ31" i="37"/>
  <c r="AQ32" i="37"/>
  <c r="AQ33" i="37"/>
  <c r="AQ34" i="37"/>
  <c r="AQ35" i="37"/>
  <c r="AQ36" i="37"/>
  <c r="AQ37" i="37"/>
  <c r="AQ38" i="37"/>
  <c r="AR8" i="37"/>
  <c r="AR9" i="37"/>
  <c r="AR10" i="37"/>
  <c r="AR11" i="37"/>
  <c r="AR12" i="37"/>
  <c r="AR13" i="37"/>
  <c r="AR14" i="37"/>
  <c r="AR15" i="37"/>
  <c r="AR16" i="37"/>
  <c r="AR17" i="37"/>
  <c r="AR18" i="37"/>
  <c r="AR19" i="37"/>
  <c r="AR20" i="37"/>
  <c r="AR21" i="37"/>
  <c r="AR22" i="37"/>
  <c r="AR23" i="37"/>
  <c r="AR24" i="37"/>
  <c r="AR25" i="37"/>
  <c r="AR26" i="37"/>
  <c r="AR27" i="37"/>
  <c r="AR28" i="37"/>
  <c r="AR29" i="37"/>
  <c r="AR30" i="37"/>
  <c r="AR31" i="37"/>
  <c r="AR32" i="37"/>
  <c r="AR33" i="37"/>
  <c r="AR34" i="37"/>
  <c r="AR35" i="37"/>
  <c r="AR36" i="37"/>
  <c r="AR37" i="37"/>
  <c r="AR38" i="37"/>
  <c r="AS8" i="37"/>
  <c r="AS9" i="37"/>
  <c r="AS10" i="37"/>
  <c r="AS11" i="37"/>
  <c r="AS12" i="37"/>
  <c r="AS13" i="37"/>
  <c r="AS14" i="37"/>
  <c r="AS15" i="37"/>
  <c r="AS16" i="37"/>
  <c r="AS17" i="37"/>
  <c r="AS18" i="37"/>
  <c r="AS19" i="37"/>
  <c r="AS20" i="37"/>
  <c r="AS21" i="37"/>
  <c r="AS22" i="37"/>
  <c r="AS23" i="37"/>
  <c r="AS24" i="37"/>
  <c r="AS25" i="37"/>
  <c r="AS26" i="37"/>
  <c r="AS27" i="37"/>
  <c r="AS28" i="37"/>
  <c r="AS29" i="37"/>
  <c r="AS30" i="37"/>
  <c r="AS31" i="37"/>
  <c r="AS32" i="37"/>
  <c r="AS33" i="37"/>
  <c r="AS34" i="37"/>
  <c r="AS35" i="37"/>
  <c r="AS36" i="37"/>
  <c r="AS37" i="37"/>
  <c r="AS38" i="37"/>
  <c r="AT8" i="37"/>
  <c r="AT9" i="37"/>
  <c r="AT10" i="37"/>
  <c r="AT11" i="37"/>
  <c r="AT12" i="37"/>
  <c r="AT13" i="37"/>
  <c r="AT14" i="37"/>
  <c r="AT15" i="37"/>
  <c r="AT16" i="37"/>
  <c r="AT17" i="37"/>
  <c r="AT18" i="37"/>
  <c r="AT19" i="37"/>
  <c r="AT20" i="37"/>
  <c r="AT21" i="37"/>
  <c r="AT22" i="37"/>
  <c r="AT23" i="37"/>
  <c r="AT24" i="37"/>
  <c r="AT25" i="37"/>
  <c r="AT26" i="37"/>
  <c r="AT27" i="37"/>
  <c r="AT28" i="37"/>
  <c r="AT29" i="37"/>
  <c r="AT30" i="37"/>
  <c r="AT31" i="37"/>
  <c r="AT32" i="37"/>
  <c r="AT33" i="37"/>
  <c r="AT34" i="37"/>
  <c r="AT35" i="37"/>
  <c r="AT36" i="37"/>
  <c r="AT37" i="37"/>
  <c r="AT38" i="37"/>
  <c r="AU8" i="37"/>
  <c r="AU9" i="37"/>
  <c r="AU10" i="37"/>
  <c r="AU11" i="37"/>
  <c r="AU12" i="37"/>
  <c r="AU13" i="37"/>
  <c r="AU14" i="37"/>
  <c r="AU15" i="37"/>
  <c r="AU16" i="37"/>
  <c r="AU17" i="37"/>
  <c r="AU18" i="37"/>
  <c r="AU19" i="37"/>
  <c r="AU20" i="37"/>
  <c r="AU21" i="37"/>
  <c r="AU22" i="37"/>
  <c r="AU23" i="37"/>
  <c r="AU24" i="37"/>
  <c r="AU25" i="37"/>
  <c r="AU26" i="37"/>
  <c r="AU27" i="37"/>
  <c r="AU28" i="37"/>
  <c r="AU29" i="37"/>
  <c r="AU30" i="37"/>
  <c r="AU31" i="37"/>
  <c r="AU32" i="37"/>
  <c r="AU33" i="37"/>
  <c r="AU34" i="37"/>
  <c r="AU35" i="37"/>
  <c r="AU36" i="37"/>
  <c r="AU37" i="37"/>
  <c r="AU38" i="37"/>
  <c r="AV8" i="37"/>
  <c r="AV9" i="37"/>
  <c r="AV10" i="37"/>
  <c r="AV11" i="37"/>
  <c r="AV12" i="37"/>
  <c r="AV13" i="37"/>
  <c r="AV14" i="37"/>
  <c r="AV15" i="37"/>
  <c r="AV16" i="37"/>
  <c r="AV17" i="37"/>
  <c r="AV18" i="37"/>
  <c r="AV19" i="37"/>
  <c r="AV20" i="37"/>
  <c r="AV21" i="37"/>
  <c r="AV22" i="37"/>
  <c r="AV23" i="37"/>
  <c r="AV24" i="37"/>
  <c r="AV25" i="37"/>
  <c r="AV26" i="37"/>
  <c r="AV27" i="37"/>
  <c r="AV28" i="37"/>
  <c r="AV29" i="37"/>
  <c r="AV30" i="37"/>
  <c r="AV31" i="37"/>
  <c r="AV32" i="37"/>
  <c r="AV33" i="37"/>
  <c r="AV34" i="37"/>
  <c r="AV35" i="37"/>
  <c r="AV36" i="37"/>
  <c r="AV37" i="37"/>
  <c r="AV38" i="37"/>
  <c r="AW8" i="37"/>
  <c r="AW9" i="37"/>
  <c r="AW10" i="37"/>
  <c r="AW11" i="37"/>
  <c r="AW12" i="37"/>
  <c r="AW13" i="37"/>
  <c r="AW14" i="37"/>
  <c r="AW15" i="37"/>
  <c r="AW16" i="37"/>
  <c r="AW17" i="37"/>
  <c r="AW18" i="37"/>
  <c r="AW19" i="37"/>
  <c r="AW20" i="37"/>
  <c r="AW21" i="37"/>
  <c r="AW22" i="37"/>
  <c r="AW23" i="37"/>
  <c r="AW24" i="37"/>
  <c r="AW25" i="37"/>
  <c r="AW26" i="37"/>
  <c r="AW27" i="37"/>
  <c r="AW28" i="37"/>
  <c r="AW29" i="37"/>
  <c r="AW30" i="37"/>
  <c r="AW31" i="37"/>
  <c r="AW32" i="37"/>
  <c r="AW33" i="37"/>
  <c r="AW34" i="37"/>
  <c r="AW35" i="37"/>
  <c r="AW36" i="37"/>
  <c r="AW37" i="37"/>
  <c r="AW38" i="37"/>
  <c r="AX8" i="37"/>
  <c r="AX9" i="37"/>
  <c r="AX10" i="37"/>
  <c r="AX11" i="37"/>
  <c r="AX12" i="37"/>
  <c r="AX13" i="37"/>
  <c r="AX14" i="37"/>
  <c r="AX15" i="37"/>
  <c r="AX16" i="37"/>
  <c r="AX17" i="37"/>
  <c r="AX18" i="37"/>
  <c r="AX19" i="37"/>
  <c r="AX20" i="37"/>
  <c r="AX21" i="37"/>
  <c r="AX22" i="37"/>
  <c r="AX23" i="37"/>
  <c r="AX24" i="37"/>
  <c r="AX25" i="37"/>
  <c r="AX26" i="37"/>
  <c r="AX27" i="37"/>
  <c r="AX28" i="37"/>
  <c r="AX29" i="37"/>
  <c r="AX30" i="37"/>
  <c r="AX31" i="37"/>
  <c r="AX32" i="37"/>
  <c r="AX33" i="37"/>
  <c r="AX34" i="37"/>
  <c r="AX35" i="37"/>
  <c r="AX36" i="37"/>
  <c r="AX37" i="37"/>
  <c r="AX38" i="37"/>
  <c r="AY8" i="37"/>
  <c r="AY9" i="37"/>
  <c r="AY10" i="37"/>
  <c r="AY11" i="37"/>
  <c r="AY12" i="37"/>
  <c r="AY13" i="37"/>
  <c r="AY14" i="37"/>
  <c r="AY15" i="37"/>
  <c r="AY16" i="37"/>
  <c r="AY17" i="37"/>
  <c r="AY18" i="37"/>
  <c r="AY19" i="37"/>
  <c r="AY20" i="37"/>
  <c r="AY21" i="37"/>
  <c r="AY22" i="37"/>
  <c r="AY23" i="37"/>
  <c r="AY24" i="37"/>
  <c r="AY25" i="37"/>
  <c r="AY26" i="37"/>
  <c r="AY27" i="37"/>
  <c r="AY28" i="37"/>
  <c r="AY29" i="37"/>
  <c r="AY30" i="37"/>
  <c r="AY31" i="37"/>
  <c r="AY32" i="37"/>
  <c r="AY33" i="37"/>
  <c r="AY34" i="37"/>
  <c r="AY35" i="37"/>
  <c r="AY36" i="37"/>
  <c r="AY37" i="37"/>
  <c r="AY38" i="37"/>
  <c r="AZ8" i="37"/>
  <c r="AZ9" i="37"/>
  <c r="AZ10" i="37"/>
  <c r="AZ11" i="37"/>
  <c r="AZ12" i="37"/>
  <c r="AZ13" i="37"/>
  <c r="AZ14" i="37"/>
  <c r="AZ15" i="37"/>
  <c r="AZ16" i="37"/>
  <c r="AZ17" i="37"/>
  <c r="AZ18" i="37"/>
  <c r="AZ19" i="37"/>
  <c r="AZ20" i="37"/>
  <c r="AZ21" i="37"/>
  <c r="AZ22" i="37"/>
  <c r="AZ23" i="37"/>
  <c r="AZ24" i="37"/>
  <c r="AZ25" i="37"/>
  <c r="AZ26" i="37"/>
  <c r="AZ27" i="37"/>
  <c r="AZ28" i="37"/>
  <c r="AZ29" i="37"/>
  <c r="AZ30" i="37"/>
  <c r="AZ31" i="37"/>
  <c r="AZ32" i="37"/>
  <c r="AZ33" i="37"/>
  <c r="AZ34" i="37"/>
  <c r="AZ35" i="37"/>
  <c r="AZ36" i="37"/>
  <c r="AZ37" i="37"/>
  <c r="AZ38" i="37"/>
  <c r="BA8" i="37"/>
  <c r="BA9" i="37"/>
  <c r="BA10" i="37"/>
  <c r="BA11" i="37"/>
  <c r="BA12" i="37"/>
  <c r="BA13" i="37"/>
  <c r="BA14" i="37"/>
  <c r="BA15" i="37"/>
  <c r="BA16" i="37"/>
  <c r="BA17" i="37"/>
  <c r="BA18" i="37"/>
  <c r="BA19" i="37"/>
  <c r="BA20" i="37"/>
  <c r="BA21" i="37"/>
  <c r="BA22" i="37"/>
  <c r="BA23" i="37"/>
  <c r="BA24" i="37"/>
  <c r="BA25" i="37"/>
  <c r="BA26" i="37"/>
  <c r="BA27" i="37"/>
  <c r="BA28" i="37"/>
  <c r="BA29" i="37"/>
  <c r="BA30" i="37"/>
  <c r="BA31" i="37"/>
  <c r="BA32" i="37"/>
  <c r="BA33" i="37"/>
  <c r="BA34" i="37"/>
  <c r="BA35" i="37"/>
  <c r="BA36" i="37"/>
  <c r="BA37" i="37"/>
  <c r="BA38" i="37"/>
  <c r="BB8" i="37"/>
  <c r="BB9" i="37"/>
  <c r="BB10" i="37"/>
  <c r="BB11" i="37"/>
  <c r="BB12" i="37"/>
  <c r="BB13" i="37"/>
  <c r="BB14" i="37"/>
  <c r="BB15" i="37"/>
  <c r="BB16" i="37"/>
  <c r="BB17" i="37"/>
  <c r="BB18" i="37"/>
  <c r="BB19" i="37"/>
  <c r="BB20" i="37"/>
  <c r="BB21" i="37"/>
  <c r="BB22" i="37"/>
  <c r="BB23" i="37"/>
  <c r="BB24" i="37"/>
  <c r="BB25" i="37"/>
  <c r="BB26" i="37"/>
  <c r="BB27" i="37"/>
  <c r="BB28" i="37"/>
  <c r="BB29" i="37"/>
  <c r="BB30" i="37"/>
  <c r="BB31" i="37"/>
  <c r="BB32" i="37"/>
  <c r="BB33" i="37"/>
  <c r="BB34" i="37"/>
  <c r="BB35" i="37"/>
  <c r="BB36" i="37"/>
  <c r="BB37" i="37"/>
  <c r="BB38" i="37"/>
  <c r="BC8" i="37"/>
  <c r="BC9" i="37"/>
  <c r="BC10" i="37"/>
  <c r="BC11" i="37"/>
  <c r="BC12" i="37"/>
  <c r="BC13" i="37"/>
  <c r="BC14" i="37"/>
  <c r="BC15" i="37"/>
  <c r="BC16" i="37"/>
  <c r="BC17" i="37"/>
  <c r="BC18" i="37"/>
  <c r="BC19" i="37"/>
  <c r="BC20" i="37"/>
  <c r="BC21" i="37"/>
  <c r="BC22" i="37"/>
  <c r="BC23" i="37"/>
  <c r="BC24" i="37"/>
  <c r="BC25" i="37"/>
  <c r="BC26" i="37"/>
  <c r="BC27" i="37"/>
  <c r="BC28" i="37"/>
  <c r="BC29" i="37"/>
  <c r="BC30" i="37"/>
  <c r="BC31" i="37"/>
  <c r="BC32" i="37"/>
  <c r="BC33" i="37"/>
  <c r="BC34" i="37"/>
  <c r="BC35" i="37"/>
  <c r="BC36" i="37"/>
  <c r="BC37" i="37"/>
  <c r="BC38" i="37"/>
  <c r="BD8" i="37"/>
  <c r="BD9" i="37"/>
  <c r="BD10" i="37"/>
  <c r="BD11" i="37"/>
  <c r="BD12" i="37"/>
  <c r="BD13" i="37"/>
  <c r="BD14" i="37"/>
  <c r="BD15" i="37"/>
  <c r="BD16" i="37"/>
  <c r="BD17" i="37"/>
  <c r="BD18" i="37"/>
  <c r="BD19" i="37"/>
  <c r="BD20" i="37"/>
  <c r="BD21" i="37"/>
  <c r="BD22" i="37"/>
  <c r="BD23" i="37"/>
  <c r="BD24" i="37"/>
  <c r="BD25" i="37"/>
  <c r="BD26" i="37"/>
  <c r="BD27" i="37"/>
  <c r="BD28" i="37"/>
  <c r="BD29" i="37"/>
  <c r="BD30" i="37"/>
  <c r="BD31" i="37"/>
  <c r="BD32" i="37"/>
  <c r="BD33" i="37"/>
  <c r="BD34" i="37"/>
  <c r="BD35" i="37"/>
  <c r="BD36" i="37"/>
  <c r="BD37" i="37"/>
  <c r="BD38" i="37"/>
  <c r="BE8" i="37"/>
  <c r="BE9" i="37"/>
  <c r="BE10" i="37"/>
  <c r="BE11" i="37"/>
  <c r="BE12" i="37"/>
  <c r="BE13" i="37"/>
  <c r="BE14" i="37"/>
  <c r="BE15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29" i="37"/>
  <c r="BE30" i="37"/>
  <c r="BE31" i="37"/>
  <c r="BE32" i="37"/>
  <c r="BE33" i="37"/>
  <c r="BE34" i="37"/>
  <c r="BE35" i="37"/>
  <c r="BE36" i="37"/>
  <c r="BE37" i="37"/>
  <c r="BE38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35" i="37"/>
  <c r="BF36" i="37"/>
  <c r="BF37" i="37"/>
  <c r="BF38" i="37"/>
  <c r="BG8" i="37"/>
  <c r="BG9" i="37"/>
  <c r="BG10" i="37"/>
  <c r="BG11" i="37"/>
  <c r="BG12" i="37"/>
  <c r="BG13" i="37"/>
  <c r="BG14" i="37"/>
  <c r="BG15" i="37"/>
  <c r="BG16" i="37"/>
  <c r="BG17" i="37"/>
  <c r="BG18" i="37"/>
  <c r="BG19" i="37"/>
  <c r="BG20" i="37"/>
  <c r="BG21" i="37"/>
  <c r="BG22" i="37"/>
  <c r="BG23" i="37"/>
  <c r="BG24" i="37"/>
  <c r="BG25" i="37"/>
  <c r="BG26" i="37"/>
  <c r="BG27" i="37"/>
  <c r="BG28" i="37"/>
  <c r="BG29" i="37"/>
  <c r="BG30" i="37"/>
  <c r="BG31" i="37"/>
  <c r="BG32" i="37"/>
  <c r="BG33" i="37"/>
  <c r="BG34" i="37"/>
  <c r="BG35" i="37"/>
  <c r="BG36" i="37"/>
  <c r="BG37" i="37"/>
  <c r="BG38" i="37"/>
  <c r="BH8" i="37"/>
  <c r="BH9" i="37"/>
  <c r="BH10" i="37"/>
  <c r="BH11" i="37"/>
  <c r="BH12" i="37"/>
  <c r="BH13" i="37"/>
  <c r="BH14" i="37"/>
  <c r="BH15" i="37"/>
  <c r="BH16" i="37"/>
  <c r="BH17" i="37"/>
  <c r="BH18" i="37"/>
  <c r="BH19" i="37"/>
  <c r="BH20" i="37"/>
  <c r="BH21" i="37"/>
  <c r="BH22" i="37"/>
  <c r="BH23" i="37"/>
  <c r="BH24" i="37"/>
  <c r="BH25" i="37"/>
  <c r="BH26" i="37"/>
  <c r="BH27" i="37"/>
  <c r="BH28" i="37"/>
  <c r="BH29" i="37"/>
  <c r="BH30" i="37"/>
  <c r="BH31" i="37"/>
  <c r="BH32" i="37"/>
  <c r="BH33" i="37"/>
  <c r="BH34" i="37"/>
  <c r="BH35" i="37"/>
  <c r="BH36" i="37"/>
  <c r="BH37" i="37"/>
  <c r="BH38" i="37"/>
  <c r="BI8" i="37"/>
  <c r="BI9" i="37"/>
  <c r="BI10" i="37"/>
  <c r="BI11" i="37"/>
  <c r="BI12" i="37"/>
  <c r="BI13" i="37"/>
  <c r="BI14" i="37"/>
  <c r="BI15" i="37"/>
  <c r="BI16" i="37"/>
  <c r="BI17" i="37"/>
  <c r="BI18" i="37"/>
  <c r="BI19" i="37"/>
  <c r="BI20" i="37"/>
  <c r="BI21" i="37"/>
  <c r="BI22" i="37"/>
  <c r="BI23" i="37"/>
  <c r="BI24" i="37"/>
  <c r="BI25" i="37"/>
  <c r="BI26" i="37"/>
  <c r="BI27" i="37"/>
  <c r="BI28" i="37"/>
  <c r="BI29" i="37"/>
  <c r="BI30" i="37"/>
  <c r="BI31" i="37"/>
  <c r="BI32" i="37"/>
  <c r="BI33" i="37"/>
  <c r="BI34" i="37"/>
  <c r="BI35" i="37"/>
  <c r="BI36" i="37"/>
  <c r="BI37" i="37"/>
  <c r="BI38" i="37"/>
  <c r="BJ8" i="37"/>
  <c r="BJ9" i="37"/>
  <c r="BJ10" i="37"/>
  <c r="BJ11" i="37"/>
  <c r="BJ12" i="37"/>
  <c r="BJ13" i="37"/>
  <c r="BJ14" i="37"/>
  <c r="BJ15" i="37"/>
  <c r="BJ16" i="37"/>
  <c r="BJ17" i="37"/>
  <c r="BJ18" i="37"/>
  <c r="BJ19" i="37"/>
  <c r="BJ20" i="37"/>
  <c r="BJ21" i="37"/>
  <c r="BJ22" i="37"/>
  <c r="BJ23" i="37"/>
  <c r="BJ24" i="37"/>
  <c r="BJ25" i="37"/>
  <c r="BJ26" i="37"/>
  <c r="BJ27" i="37"/>
  <c r="BJ28" i="37"/>
  <c r="BJ29" i="37"/>
  <c r="BJ30" i="37"/>
  <c r="BJ31" i="37"/>
  <c r="BJ32" i="37"/>
  <c r="BJ33" i="37"/>
  <c r="BJ34" i="37"/>
  <c r="BJ35" i="37"/>
  <c r="BJ36" i="37"/>
  <c r="BJ37" i="37"/>
  <c r="BJ38" i="37"/>
  <c r="BK8" i="37"/>
  <c r="BK9" i="37"/>
  <c r="BK10" i="37"/>
  <c r="BK11" i="37"/>
  <c r="BK12" i="37"/>
  <c r="BK13" i="37"/>
  <c r="BK14" i="37"/>
  <c r="BK15" i="37"/>
  <c r="BK16" i="37"/>
  <c r="BK17" i="37"/>
  <c r="BK18" i="37"/>
  <c r="BK19" i="37"/>
  <c r="BK20" i="37"/>
  <c r="BK21" i="37"/>
  <c r="BK22" i="37"/>
  <c r="BK23" i="37"/>
  <c r="BK24" i="37"/>
  <c r="BK25" i="37"/>
  <c r="BK26" i="37"/>
  <c r="BK27" i="37"/>
  <c r="BK28" i="37"/>
  <c r="BK29" i="37"/>
  <c r="BK30" i="37"/>
  <c r="BK31" i="37"/>
  <c r="BK32" i="37"/>
  <c r="BK33" i="37"/>
  <c r="BK34" i="37"/>
  <c r="BK35" i="37"/>
  <c r="BK36" i="37"/>
  <c r="BK37" i="37"/>
  <c r="BK38" i="37"/>
  <c r="AH8" i="36"/>
  <c r="AH9" i="36"/>
  <c r="AH10" i="36"/>
  <c r="AH12" i="36"/>
  <c r="AH13" i="36"/>
  <c r="AH14" i="36"/>
  <c r="AH15" i="36"/>
  <c r="AH16" i="36"/>
  <c r="AH17" i="36"/>
  <c r="AH18" i="36"/>
  <c r="AH19" i="36"/>
  <c r="AH20" i="36"/>
  <c r="AH21" i="36"/>
  <c r="AH22" i="36"/>
  <c r="AH23" i="36"/>
  <c r="AH24" i="36"/>
  <c r="AH25" i="36"/>
  <c r="AH26" i="36"/>
  <c r="AH27" i="36"/>
  <c r="AH28" i="36"/>
  <c r="AH29" i="36"/>
  <c r="AH30" i="36"/>
  <c r="AH31" i="36"/>
  <c r="AH32" i="36"/>
  <c r="AH33" i="36"/>
  <c r="AH34" i="36"/>
  <c r="AH35" i="36"/>
  <c r="AH36" i="36"/>
  <c r="AH37" i="36"/>
  <c r="AH38" i="36"/>
  <c r="AI8" i="36"/>
  <c r="AI9" i="36"/>
  <c r="AI10" i="36"/>
  <c r="AI11" i="36"/>
  <c r="AI13" i="36"/>
  <c r="AI14" i="36"/>
  <c r="AI15" i="36"/>
  <c r="AI16" i="36"/>
  <c r="AI17" i="36"/>
  <c r="AI18" i="36"/>
  <c r="AI19" i="36"/>
  <c r="AI20" i="36"/>
  <c r="AI21" i="36"/>
  <c r="AI22" i="36"/>
  <c r="AI23" i="36"/>
  <c r="AI24" i="36"/>
  <c r="AI25" i="36"/>
  <c r="AI26" i="36"/>
  <c r="AI27" i="36"/>
  <c r="AI28" i="36"/>
  <c r="AI29" i="36"/>
  <c r="AI30" i="36"/>
  <c r="AI31" i="36"/>
  <c r="AI32" i="36"/>
  <c r="AI33" i="36"/>
  <c r="AI34" i="36"/>
  <c r="AI35" i="36"/>
  <c r="AI36" i="36"/>
  <c r="AI37" i="36"/>
  <c r="AI38" i="36"/>
  <c r="AJ8" i="36"/>
  <c r="AJ9" i="36"/>
  <c r="AJ10" i="36"/>
  <c r="AJ11" i="36"/>
  <c r="AJ12" i="36"/>
  <c r="AJ14" i="36"/>
  <c r="AJ15" i="36"/>
  <c r="AJ16" i="36"/>
  <c r="AJ17" i="36"/>
  <c r="AJ18" i="36"/>
  <c r="AJ19" i="36"/>
  <c r="AJ20" i="36"/>
  <c r="AJ21" i="36"/>
  <c r="AJ22" i="36"/>
  <c r="AJ23" i="36"/>
  <c r="AJ24" i="36"/>
  <c r="AJ25" i="36"/>
  <c r="AJ26" i="36"/>
  <c r="AJ27" i="36"/>
  <c r="AJ28" i="36"/>
  <c r="AJ29" i="36"/>
  <c r="AJ30" i="36"/>
  <c r="AJ31" i="36"/>
  <c r="AJ32" i="36"/>
  <c r="AJ33" i="36"/>
  <c r="AJ34" i="36"/>
  <c r="AJ35" i="36"/>
  <c r="AJ36" i="36"/>
  <c r="AJ37" i="36"/>
  <c r="AJ38" i="36"/>
  <c r="AK8" i="36"/>
  <c r="AK9" i="36"/>
  <c r="AK10" i="36"/>
  <c r="AK11" i="36"/>
  <c r="AK12" i="36"/>
  <c r="AK13" i="36"/>
  <c r="AK15" i="36"/>
  <c r="AK16" i="36"/>
  <c r="AK17" i="36"/>
  <c r="AK18" i="36"/>
  <c r="AK19" i="36"/>
  <c r="AK20" i="36"/>
  <c r="AK21" i="36"/>
  <c r="AK22" i="36"/>
  <c r="AK23" i="36"/>
  <c r="AK24" i="36"/>
  <c r="AK25" i="36"/>
  <c r="AK26" i="36"/>
  <c r="AK27" i="36"/>
  <c r="AK28" i="36"/>
  <c r="AK29" i="36"/>
  <c r="AK30" i="36"/>
  <c r="AK31" i="36"/>
  <c r="AK32" i="36"/>
  <c r="AK33" i="36"/>
  <c r="AK34" i="36"/>
  <c r="AK35" i="36"/>
  <c r="AK36" i="36"/>
  <c r="AK37" i="36"/>
  <c r="AK38" i="36"/>
  <c r="AL8" i="36"/>
  <c r="AL9" i="36"/>
  <c r="AL10" i="36"/>
  <c r="AL11" i="36"/>
  <c r="AL12" i="36"/>
  <c r="AL13" i="36"/>
  <c r="AL14" i="36"/>
  <c r="AL15" i="36"/>
  <c r="AL16" i="36"/>
  <c r="AL17" i="36"/>
  <c r="AL19" i="36"/>
  <c r="AL20" i="36"/>
  <c r="AL21" i="36"/>
  <c r="AL22" i="36"/>
  <c r="AL23" i="36"/>
  <c r="AL24" i="36"/>
  <c r="AL25" i="36"/>
  <c r="AL26" i="36"/>
  <c r="AL27" i="36"/>
  <c r="AL28" i="36"/>
  <c r="AL29" i="36"/>
  <c r="AL30" i="36"/>
  <c r="AL31" i="36"/>
  <c r="AL32" i="36"/>
  <c r="AL33" i="36"/>
  <c r="AL34" i="36"/>
  <c r="AL35" i="36"/>
  <c r="AL36" i="36"/>
  <c r="AL37" i="36"/>
  <c r="AL38" i="36"/>
  <c r="AM8" i="36"/>
  <c r="AM9" i="36"/>
  <c r="AM10" i="36"/>
  <c r="AM11" i="36"/>
  <c r="AM12" i="36"/>
  <c r="AM13" i="36"/>
  <c r="AM14" i="36"/>
  <c r="AM15" i="36"/>
  <c r="AM16" i="36"/>
  <c r="AM17" i="36"/>
  <c r="AM18" i="36"/>
  <c r="AM20" i="36"/>
  <c r="AM21" i="36"/>
  <c r="AM22" i="36"/>
  <c r="AM23" i="36"/>
  <c r="AM24" i="36"/>
  <c r="AM25" i="36"/>
  <c r="AM26" i="36"/>
  <c r="AM27" i="36"/>
  <c r="AM28" i="36"/>
  <c r="AM29" i="36"/>
  <c r="AM30" i="36"/>
  <c r="AM31" i="36"/>
  <c r="AM32" i="36"/>
  <c r="AM33" i="36"/>
  <c r="AM34" i="36"/>
  <c r="AM35" i="36"/>
  <c r="AM36" i="36"/>
  <c r="AM37" i="36"/>
  <c r="AM38" i="36"/>
  <c r="AN8" i="36"/>
  <c r="AN9" i="36"/>
  <c r="AN10" i="36"/>
  <c r="AN11" i="36"/>
  <c r="AN12" i="36"/>
  <c r="AN13" i="36"/>
  <c r="AN14" i="36"/>
  <c r="AN15" i="36"/>
  <c r="AN16" i="36"/>
  <c r="AN17" i="36"/>
  <c r="AN18" i="36"/>
  <c r="AN19" i="36"/>
  <c r="AN21" i="36"/>
  <c r="AN22" i="36"/>
  <c r="AN23" i="36"/>
  <c r="AN24" i="36"/>
  <c r="AN25" i="36"/>
  <c r="AN26" i="36"/>
  <c r="AN27" i="36"/>
  <c r="AN28" i="36"/>
  <c r="AN29" i="36"/>
  <c r="AN30" i="36"/>
  <c r="AN31" i="36"/>
  <c r="AN32" i="36"/>
  <c r="AN33" i="36"/>
  <c r="AN34" i="36"/>
  <c r="AN35" i="36"/>
  <c r="AN36" i="36"/>
  <c r="AN37" i="36"/>
  <c r="AN38" i="36"/>
  <c r="AO8" i="36"/>
  <c r="AO9" i="36"/>
  <c r="AO10" i="36"/>
  <c r="AO11" i="36"/>
  <c r="AO12" i="36"/>
  <c r="AO13" i="36"/>
  <c r="AO14" i="36"/>
  <c r="AO15" i="36"/>
  <c r="AO16" i="36"/>
  <c r="AO17" i="36"/>
  <c r="AO18" i="36"/>
  <c r="AO19" i="36"/>
  <c r="AO20" i="36"/>
  <c r="AO22" i="36"/>
  <c r="AO23" i="36"/>
  <c r="AO24" i="36"/>
  <c r="AO25" i="36"/>
  <c r="AO26" i="36"/>
  <c r="AO27" i="36"/>
  <c r="AO28" i="36"/>
  <c r="AO29" i="36"/>
  <c r="AO30" i="36"/>
  <c r="AO31" i="36"/>
  <c r="AO32" i="36"/>
  <c r="AO33" i="36"/>
  <c r="AO34" i="36"/>
  <c r="AO35" i="36"/>
  <c r="AO36" i="36"/>
  <c r="AO37" i="36"/>
  <c r="AO38" i="36"/>
  <c r="AP8" i="36"/>
  <c r="AP9" i="36"/>
  <c r="AP10" i="36"/>
  <c r="AP11" i="36"/>
  <c r="AP12" i="36"/>
  <c r="AP13" i="36"/>
  <c r="AP14" i="36"/>
  <c r="AP15" i="36"/>
  <c r="AP16" i="36"/>
  <c r="AP17" i="36"/>
  <c r="AP18" i="36"/>
  <c r="AP19" i="36"/>
  <c r="AP20" i="36"/>
  <c r="AP21" i="36"/>
  <c r="AP22" i="36"/>
  <c r="AP23" i="36"/>
  <c r="AP24" i="36"/>
  <c r="AP26" i="36"/>
  <c r="AP27" i="36"/>
  <c r="AP28" i="36"/>
  <c r="AP29" i="36"/>
  <c r="AP30" i="36"/>
  <c r="AP31" i="36"/>
  <c r="AP32" i="36"/>
  <c r="AP33" i="36"/>
  <c r="AP34" i="36"/>
  <c r="AP35" i="36"/>
  <c r="AP36" i="36"/>
  <c r="AP37" i="36"/>
  <c r="AP38" i="36"/>
  <c r="AQ8" i="36"/>
  <c r="AQ9" i="36"/>
  <c r="AQ10" i="36"/>
  <c r="AQ11" i="36"/>
  <c r="AQ12" i="36"/>
  <c r="AQ13" i="36"/>
  <c r="AQ14" i="36"/>
  <c r="AQ15" i="36"/>
  <c r="AQ16" i="36"/>
  <c r="AQ17" i="36"/>
  <c r="AQ18" i="36"/>
  <c r="AQ19" i="36"/>
  <c r="AQ20" i="36"/>
  <c r="AQ21" i="36"/>
  <c r="AQ22" i="36"/>
  <c r="AQ23" i="36"/>
  <c r="AQ24" i="36"/>
  <c r="AQ25" i="36"/>
  <c r="AQ27" i="36"/>
  <c r="AQ28" i="36"/>
  <c r="AQ29" i="36"/>
  <c r="AQ30" i="36"/>
  <c r="AQ31" i="36"/>
  <c r="AQ32" i="36"/>
  <c r="AQ33" i="36"/>
  <c r="AQ34" i="36"/>
  <c r="AQ35" i="36"/>
  <c r="AQ36" i="36"/>
  <c r="AQ37" i="36"/>
  <c r="AQ38" i="36"/>
  <c r="AR8" i="36"/>
  <c r="AR9" i="36"/>
  <c r="AR10" i="36"/>
  <c r="AR11" i="36"/>
  <c r="AR12" i="36"/>
  <c r="AR13" i="36"/>
  <c r="AR14" i="36"/>
  <c r="AR15" i="36"/>
  <c r="AR16" i="36"/>
  <c r="AR17" i="36"/>
  <c r="AR18" i="36"/>
  <c r="AR19" i="36"/>
  <c r="AR20" i="36"/>
  <c r="AR21" i="36"/>
  <c r="AR22" i="36"/>
  <c r="AR23" i="36"/>
  <c r="AR24" i="36"/>
  <c r="AR25" i="36"/>
  <c r="AR26" i="36"/>
  <c r="AR28" i="36"/>
  <c r="AR29" i="36"/>
  <c r="AR30" i="36"/>
  <c r="AR31" i="36"/>
  <c r="AR32" i="36"/>
  <c r="AR33" i="36"/>
  <c r="AR34" i="36"/>
  <c r="AR35" i="36"/>
  <c r="AR36" i="36"/>
  <c r="AR37" i="36"/>
  <c r="AR38" i="36"/>
  <c r="AS8" i="36"/>
  <c r="AS9" i="36"/>
  <c r="AS10" i="36"/>
  <c r="AS11" i="36"/>
  <c r="AS12" i="36"/>
  <c r="AS13" i="36"/>
  <c r="AS14" i="36"/>
  <c r="AS15" i="36"/>
  <c r="AS16" i="36"/>
  <c r="AS17" i="36"/>
  <c r="AS18" i="36"/>
  <c r="AS19" i="36"/>
  <c r="AS20" i="36"/>
  <c r="AS21" i="36"/>
  <c r="AS22" i="36"/>
  <c r="AS23" i="36"/>
  <c r="AS24" i="36"/>
  <c r="AS25" i="36"/>
  <c r="AS26" i="36"/>
  <c r="AS27" i="36"/>
  <c r="AS29" i="36"/>
  <c r="AS30" i="36"/>
  <c r="AS31" i="36"/>
  <c r="AS32" i="36"/>
  <c r="AS33" i="36"/>
  <c r="AS34" i="36"/>
  <c r="AS35" i="36"/>
  <c r="AS36" i="36"/>
  <c r="AS37" i="36"/>
  <c r="AS38" i="36"/>
  <c r="AT8" i="36"/>
  <c r="AT9" i="36"/>
  <c r="AT10" i="36"/>
  <c r="AT11" i="36"/>
  <c r="AT12" i="36"/>
  <c r="AT13" i="36"/>
  <c r="AT14" i="36"/>
  <c r="AT15" i="36"/>
  <c r="AT16" i="36"/>
  <c r="AT17" i="36"/>
  <c r="AT18" i="36"/>
  <c r="AT19" i="36"/>
  <c r="AT20" i="36"/>
  <c r="AT21" i="36"/>
  <c r="AT22" i="36"/>
  <c r="AT23" i="36"/>
  <c r="AT24" i="36"/>
  <c r="AT25" i="36"/>
  <c r="AT26" i="36"/>
  <c r="AT27" i="36"/>
  <c r="AT28" i="36"/>
  <c r="AT29" i="36"/>
  <c r="AT30" i="36"/>
  <c r="AT31" i="36"/>
  <c r="AT32" i="36"/>
  <c r="AT33" i="36"/>
  <c r="AT34" i="36"/>
  <c r="AT35" i="36"/>
  <c r="AT36" i="36"/>
  <c r="AT37" i="36"/>
  <c r="AT38" i="36"/>
  <c r="AU8" i="36"/>
  <c r="AU9" i="36"/>
  <c r="AU10" i="36"/>
  <c r="AU11" i="36"/>
  <c r="AU12" i="36"/>
  <c r="AU13" i="36"/>
  <c r="AU14" i="36"/>
  <c r="AU15" i="36"/>
  <c r="AU16" i="36"/>
  <c r="AU17" i="36"/>
  <c r="AU18" i="36"/>
  <c r="AU19" i="36"/>
  <c r="AU20" i="36"/>
  <c r="AU21" i="36"/>
  <c r="AU22" i="36"/>
  <c r="AU23" i="36"/>
  <c r="AU24" i="36"/>
  <c r="AU25" i="36"/>
  <c r="AU26" i="36"/>
  <c r="AU27" i="36"/>
  <c r="AU28" i="36"/>
  <c r="AU29" i="36"/>
  <c r="AU30" i="36"/>
  <c r="AU31" i="36"/>
  <c r="AU32" i="36"/>
  <c r="AU33" i="36"/>
  <c r="AU34" i="36"/>
  <c r="AU35" i="36"/>
  <c r="AU36" i="36"/>
  <c r="AU37" i="36"/>
  <c r="AU38" i="36"/>
  <c r="AV8" i="36"/>
  <c r="AV9" i="36"/>
  <c r="AV10" i="36"/>
  <c r="AV11" i="36"/>
  <c r="AV12" i="36"/>
  <c r="AV13" i="36"/>
  <c r="AV14" i="36"/>
  <c r="AV15" i="36"/>
  <c r="AV16" i="36"/>
  <c r="AV17" i="36"/>
  <c r="AV18" i="36"/>
  <c r="AV19" i="36"/>
  <c r="AV20" i="36"/>
  <c r="AV21" i="36"/>
  <c r="AV22" i="36"/>
  <c r="AV23" i="36"/>
  <c r="AV24" i="36"/>
  <c r="AV25" i="36"/>
  <c r="AV26" i="36"/>
  <c r="AV27" i="36"/>
  <c r="AV28" i="36"/>
  <c r="AV29" i="36"/>
  <c r="AV30" i="36"/>
  <c r="AV31" i="36"/>
  <c r="AV32" i="36"/>
  <c r="AV33" i="36"/>
  <c r="AV34" i="36"/>
  <c r="AV35" i="36"/>
  <c r="AV36" i="36"/>
  <c r="AV37" i="36"/>
  <c r="AV38" i="36"/>
  <c r="AW8" i="36"/>
  <c r="AW9" i="36"/>
  <c r="AW10" i="36"/>
  <c r="AW11" i="36"/>
  <c r="AW12" i="36"/>
  <c r="AW13" i="36"/>
  <c r="AW14" i="36"/>
  <c r="AW15" i="36"/>
  <c r="AW16" i="36"/>
  <c r="AW17" i="36"/>
  <c r="AW18" i="36"/>
  <c r="AW19" i="36"/>
  <c r="AW20" i="36"/>
  <c r="AW21" i="36"/>
  <c r="AW22" i="36"/>
  <c r="AW23" i="36"/>
  <c r="AW24" i="36"/>
  <c r="AW25" i="36"/>
  <c r="AW26" i="36"/>
  <c r="AW27" i="36"/>
  <c r="AW28" i="36"/>
  <c r="AW29" i="36"/>
  <c r="AW30" i="36"/>
  <c r="AW31" i="36"/>
  <c r="AW32" i="36"/>
  <c r="AW33" i="36"/>
  <c r="AW34" i="36"/>
  <c r="AW35" i="36"/>
  <c r="AW36" i="36"/>
  <c r="AW37" i="36"/>
  <c r="AW38" i="36"/>
  <c r="AX8" i="36"/>
  <c r="AX9" i="36"/>
  <c r="AX10" i="36"/>
  <c r="AX11" i="36"/>
  <c r="AX12" i="36"/>
  <c r="AX13" i="36"/>
  <c r="AX14" i="36"/>
  <c r="AX15" i="36"/>
  <c r="AX16" i="36"/>
  <c r="AX17" i="36"/>
  <c r="AX18" i="36"/>
  <c r="AX19" i="36"/>
  <c r="AX20" i="36"/>
  <c r="AX21" i="36"/>
  <c r="AX22" i="36"/>
  <c r="AX23" i="36"/>
  <c r="AX24" i="36"/>
  <c r="AX25" i="36"/>
  <c r="AX26" i="36"/>
  <c r="AX27" i="36"/>
  <c r="AX28" i="36"/>
  <c r="AX29" i="36"/>
  <c r="AX30" i="36"/>
  <c r="AX31" i="36"/>
  <c r="AX32" i="36"/>
  <c r="AX33" i="36"/>
  <c r="AX34" i="36"/>
  <c r="AX35" i="36"/>
  <c r="AX36" i="36"/>
  <c r="AX37" i="36"/>
  <c r="AX38" i="36"/>
  <c r="AY8" i="36"/>
  <c r="AY9" i="36"/>
  <c r="AY10" i="36"/>
  <c r="AY11" i="36"/>
  <c r="AY12" i="36"/>
  <c r="AY13" i="36"/>
  <c r="AY14" i="36"/>
  <c r="AY15" i="36"/>
  <c r="AY16" i="36"/>
  <c r="AY17" i="36"/>
  <c r="AY18" i="36"/>
  <c r="AY19" i="36"/>
  <c r="AY20" i="36"/>
  <c r="AY21" i="36"/>
  <c r="AY22" i="36"/>
  <c r="AY23" i="36"/>
  <c r="AY24" i="36"/>
  <c r="AY25" i="36"/>
  <c r="AY26" i="36"/>
  <c r="AY27" i="36"/>
  <c r="AY28" i="36"/>
  <c r="AY29" i="36"/>
  <c r="AY30" i="36"/>
  <c r="AY31" i="36"/>
  <c r="AY32" i="36"/>
  <c r="AY33" i="36"/>
  <c r="AY34" i="36"/>
  <c r="AY35" i="36"/>
  <c r="AY36" i="36"/>
  <c r="AY37" i="36"/>
  <c r="AY38" i="36"/>
  <c r="AZ8" i="36"/>
  <c r="AZ9" i="36"/>
  <c r="AZ10" i="36"/>
  <c r="AZ11" i="36"/>
  <c r="AZ12" i="36"/>
  <c r="AZ13" i="36"/>
  <c r="AZ14" i="36"/>
  <c r="AZ15" i="36"/>
  <c r="AZ16" i="36"/>
  <c r="AZ17" i="36"/>
  <c r="AZ18" i="36"/>
  <c r="AZ19" i="36"/>
  <c r="AZ20" i="36"/>
  <c r="AZ21" i="36"/>
  <c r="AZ22" i="36"/>
  <c r="AZ23" i="36"/>
  <c r="AZ24" i="36"/>
  <c r="AZ25" i="36"/>
  <c r="AZ26" i="36"/>
  <c r="AZ27" i="36"/>
  <c r="AZ28" i="36"/>
  <c r="AZ29" i="36"/>
  <c r="AZ30" i="36"/>
  <c r="AZ31" i="36"/>
  <c r="AZ32" i="36"/>
  <c r="AZ33" i="36"/>
  <c r="AZ34" i="36"/>
  <c r="AZ35" i="36"/>
  <c r="AZ36" i="36"/>
  <c r="AZ37" i="36"/>
  <c r="AZ38" i="36"/>
  <c r="BA8" i="36"/>
  <c r="BA9" i="36"/>
  <c r="BA10" i="36"/>
  <c r="BA11" i="36"/>
  <c r="BA12" i="36"/>
  <c r="BA13" i="36"/>
  <c r="BA14" i="36"/>
  <c r="BA15" i="36"/>
  <c r="BA16" i="36"/>
  <c r="BA17" i="36"/>
  <c r="BA18" i="36"/>
  <c r="BA19" i="36"/>
  <c r="BA20" i="36"/>
  <c r="BA21" i="36"/>
  <c r="BA22" i="36"/>
  <c r="BA23" i="36"/>
  <c r="BA24" i="36"/>
  <c r="BA25" i="36"/>
  <c r="BA26" i="36"/>
  <c r="BA27" i="36"/>
  <c r="BA28" i="36"/>
  <c r="BA29" i="36"/>
  <c r="BA30" i="36"/>
  <c r="BA31" i="36"/>
  <c r="BA32" i="36"/>
  <c r="BA33" i="36"/>
  <c r="BA34" i="36"/>
  <c r="BA35" i="36"/>
  <c r="BA36" i="36"/>
  <c r="BA37" i="36"/>
  <c r="BA38" i="36"/>
  <c r="BB8" i="36"/>
  <c r="BB9" i="36"/>
  <c r="BB10" i="36"/>
  <c r="BB11" i="36"/>
  <c r="BB12" i="36"/>
  <c r="BB13" i="36"/>
  <c r="BB14" i="36"/>
  <c r="BB15" i="36"/>
  <c r="BB16" i="36"/>
  <c r="BB17" i="36"/>
  <c r="BB18" i="36"/>
  <c r="BB19" i="36"/>
  <c r="BB20" i="36"/>
  <c r="BB21" i="36"/>
  <c r="BB22" i="36"/>
  <c r="BB23" i="36"/>
  <c r="BB24" i="36"/>
  <c r="BB25" i="36"/>
  <c r="BB26" i="36"/>
  <c r="BB27" i="36"/>
  <c r="BB28" i="36"/>
  <c r="BB29" i="36"/>
  <c r="BB30" i="36"/>
  <c r="BB31" i="36"/>
  <c r="BB32" i="36"/>
  <c r="BB33" i="36"/>
  <c r="BB34" i="36"/>
  <c r="BB35" i="36"/>
  <c r="BB36" i="36"/>
  <c r="BB37" i="36"/>
  <c r="BB38" i="36"/>
  <c r="BC8" i="36"/>
  <c r="BC9" i="36"/>
  <c r="BC10" i="36"/>
  <c r="BC11" i="36"/>
  <c r="BC12" i="36"/>
  <c r="BC13" i="36"/>
  <c r="BC14" i="36"/>
  <c r="BC15" i="36"/>
  <c r="BC16" i="36"/>
  <c r="BC17" i="36"/>
  <c r="BC18" i="36"/>
  <c r="BC19" i="36"/>
  <c r="BC20" i="36"/>
  <c r="BC21" i="36"/>
  <c r="BC22" i="36"/>
  <c r="BC23" i="36"/>
  <c r="BC24" i="36"/>
  <c r="BC25" i="36"/>
  <c r="BC26" i="36"/>
  <c r="BC27" i="36"/>
  <c r="BC28" i="36"/>
  <c r="BC29" i="36"/>
  <c r="BC30" i="36"/>
  <c r="BC31" i="36"/>
  <c r="BC32" i="36"/>
  <c r="BC33" i="36"/>
  <c r="BC34" i="36"/>
  <c r="BC35" i="36"/>
  <c r="BC36" i="36"/>
  <c r="BC37" i="36"/>
  <c r="BC38" i="36"/>
  <c r="BD8" i="36"/>
  <c r="BD9" i="36"/>
  <c r="BD10" i="36"/>
  <c r="BD11" i="36"/>
  <c r="BD12" i="36"/>
  <c r="BD13" i="36"/>
  <c r="BD14" i="36"/>
  <c r="BD15" i="36"/>
  <c r="BD16" i="36"/>
  <c r="BD17" i="36"/>
  <c r="BD18" i="36"/>
  <c r="BD19" i="36"/>
  <c r="BD20" i="36"/>
  <c r="BD21" i="36"/>
  <c r="BD22" i="36"/>
  <c r="BD23" i="36"/>
  <c r="BD24" i="36"/>
  <c r="BD25" i="36"/>
  <c r="BD26" i="36"/>
  <c r="BD27" i="36"/>
  <c r="BD28" i="36"/>
  <c r="BD29" i="36"/>
  <c r="BD30" i="36"/>
  <c r="BD31" i="36"/>
  <c r="BD32" i="36"/>
  <c r="BD33" i="36"/>
  <c r="BD34" i="36"/>
  <c r="BD35" i="36"/>
  <c r="BD36" i="36"/>
  <c r="BD37" i="36"/>
  <c r="BD38" i="36"/>
  <c r="BE8" i="36"/>
  <c r="BE9" i="36"/>
  <c r="BE10" i="36"/>
  <c r="BE11" i="36"/>
  <c r="BE12" i="36"/>
  <c r="BE13" i="36"/>
  <c r="BE14" i="36"/>
  <c r="BE15" i="36"/>
  <c r="BE16" i="36"/>
  <c r="BE17" i="36"/>
  <c r="BE18" i="36"/>
  <c r="BE19" i="36"/>
  <c r="BE20" i="36"/>
  <c r="BE21" i="36"/>
  <c r="BE22" i="36"/>
  <c r="BE23" i="36"/>
  <c r="BE24" i="36"/>
  <c r="BE25" i="36"/>
  <c r="BE26" i="36"/>
  <c r="BE27" i="36"/>
  <c r="BE28" i="36"/>
  <c r="BE29" i="36"/>
  <c r="BE30" i="36"/>
  <c r="BE31" i="36"/>
  <c r="BE32" i="36"/>
  <c r="BE33" i="36"/>
  <c r="BE34" i="36"/>
  <c r="BE35" i="36"/>
  <c r="BE36" i="36"/>
  <c r="BE37" i="36"/>
  <c r="BE38" i="36"/>
  <c r="BF8" i="36"/>
  <c r="BF9" i="36"/>
  <c r="BF10" i="36"/>
  <c r="BF11" i="36"/>
  <c r="BF12" i="36"/>
  <c r="BF13" i="36"/>
  <c r="BF14" i="36"/>
  <c r="BF15" i="36"/>
  <c r="BF16" i="36"/>
  <c r="BF17" i="36"/>
  <c r="BF18" i="36"/>
  <c r="BF19" i="36"/>
  <c r="BF20" i="36"/>
  <c r="BF21" i="36"/>
  <c r="BF22" i="36"/>
  <c r="BF23" i="36"/>
  <c r="BF24" i="36"/>
  <c r="BF25" i="36"/>
  <c r="BF26" i="36"/>
  <c r="BF27" i="36"/>
  <c r="BF28" i="36"/>
  <c r="BF29" i="36"/>
  <c r="BF30" i="36"/>
  <c r="BF31" i="36"/>
  <c r="BF32" i="36"/>
  <c r="BF33" i="36"/>
  <c r="BF34" i="36"/>
  <c r="BF35" i="36"/>
  <c r="BF36" i="36"/>
  <c r="BF37" i="36"/>
  <c r="BF38" i="36"/>
  <c r="BG8" i="36"/>
  <c r="BG9" i="36"/>
  <c r="BG10" i="36"/>
  <c r="BG11" i="36"/>
  <c r="BG12" i="36"/>
  <c r="BG13" i="36"/>
  <c r="BG14" i="36"/>
  <c r="BG15" i="36"/>
  <c r="BG16" i="36"/>
  <c r="BG17" i="36"/>
  <c r="BG18" i="36"/>
  <c r="BG19" i="36"/>
  <c r="BG20" i="36"/>
  <c r="BG21" i="36"/>
  <c r="BG22" i="36"/>
  <c r="BG23" i="36"/>
  <c r="BG24" i="36"/>
  <c r="BG25" i="36"/>
  <c r="BG26" i="36"/>
  <c r="BG27" i="36"/>
  <c r="BG28" i="36"/>
  <c r="BG29" i="36"/>
  <c r="BG30" i="36"/>
  <c r="BG31" i="36"/>
  <c r="BG32" i="36"/>
  <c r="BG33" i="36"/>
  <c r="BG34" i="36"/>
  <c r="BG35" i="36"/>
  <c r="BG36" i="36"/>
  <c r="BG37" i="36"/>
  <c r="BG38" i="36"/>
  <c r="BH8" i="36"/>
  <c r="BH9" i="36"/>
  <c r="BH10" i="36"/>
  <c r="BH11" i="36"/>
  <c r="BH12" i="36"/>
  <c r="BH13" i="36"/>
  <c r="BH14" i="36"/>
  <c r="BH15" i="36"/>
  <c r="BH16" i="36"/>
  <c r="BH17" i="36"/>
  <c r="BH18" i="36"/>
  <c r="BH19" i="36"/>
  <c r="BH20" i="36"/>
  <c r="BH21" i="36"/>
  <c r="BH22" i="36"/>
  <c r="BH23" i="36"/>
  <c r="BH24" i="36"/>
  <c r="BH25" i="36"/>
  <c r="BH26" i="36"/>
  <c r="BH27" i="36"/>
  <c r="BH28" i="36"/>
  <c r="BH29" i="36"/>
  <c r="BH30" i="36"/>
  <c r="BH31" i="36"/>
  <c r="BH32" i="36"/>
  <c r="BH33" i="36"/>
  <c r="BH34" i="36"/>
  <c r="BH35" i="36"/>
  <c r="BH36" i="36"/>
  <c r="BH37" i="36"/>
  <c r="BH38" i="36"/>
  <c r="BI8" i="36"/>
  <c r="BI9" i="36"/>
  <c r="BI10" i="36"/>
  <c r="BI11" i="36"/>
  <c r="BI12" i="36"/>
  <c r="BI13" i="36"/>
  <c r="BI14" i="36"/>
  <c r="BI15" i="36"/>
  <c r="BI16" i="36"/>
  <c r="BI17" i="36"/>
  <c r="BI18" i="36"/>
  <c r="BI19" i="36"/>
  <c r="BI20" i="36"/>
  <c r="BI21" i="36"/>
  <c r="BI22" i="36"/>
  <c r="BI23" i="36"/>
  <c r="BI24" i="36"/>
  <c r="BI25" i="36"/>
  <c r="BI26" i="36"/>
  <c r="BI27" i="36"/>
  <c r="BI28" i="36"/>
  <c r="BI29" i="36"/>
  <c r="BI30" i="36"/>
  <c r="BI31" i="36"/>
  <c r="BI32" i="36"/>
  <c r="BI33" i="36"/>
  <c r="BI34" i="36"/>
  <c r="BI35" i="36"/>
  <c r="BI36" i="36"/>
  <c r="BI37" i="36"/>
  <c r="BI38" i="36"/>
  <c r="BJ8" i="36"/>
  <c r="BJ9" i="36"/>
  <c r="BJ10" i="36"/>
  <c r="BJ11" i="36"/>
  <c r="BJ12" i="36"/>
  <c r="BJ13" i="36"/>
  <c r="BJ14" i="36"/>
  <c r="BJ15" i="36"/>
  <c r="BJ16" i="36"/>
  <c r="BJ17" i="36"/>
  <c r="BJ18" i="36"/>
  <c r="BJ19" i="36"/>
  <c r="BJ20" i="36"/>
  <c r="BJ21" i="36"/>
  <c r="BJ22" i="36"/>
  <c r="BJ23" i="36"/>
  <c r="BJ24" i="36"/>
  <c r="BJ25" i="36"/>
  <c r="BJ26" i="36"/>
  <c r="BJ27" i="36"/>
  <c r="BJ28" i="36"/>
  <c r="BJ29" i="36"/>
  <c r="BJ30" i="36"/>
  <c r="BJ31" i="36"/>
  <c r="BJ32" i="36"/>
  <c r="BJ33" i="36"/>
  <c r="BJ34" i="36"/>
  <c r="BJ35" i="36"/>
  <c r="BJ36" i="36"/>
  <c r="BJ37" i="36"/>
  <c r="BJ38" i="36"/>
  <c r="BK8" i="36"/>
  <c r="BK9" i="36"/>
  <c r="BK10" i="36"/>
  <c r="BK11" i="36"/>
  <c r="BK12" i="36"/>
  <c r="BK13" i="36"/>
  <c r="BK14" i="36"/>
  <c r="BK15" i="36"/>
  <c r="BK16" i="36"/>
  <c r="BK17" i="36"/>
  <c r="BK18" i="36"/>
  <c r="BK19" i="36"/>
  <c r="BK20" i="36"/>
  <c r="BK21" i="36"/>
  <c r="BK22" i="36"/>
  <c r="BK23" i="36"/>
  <c r="BK24" i="36"/>
  <c r="BK25" i="36"/>
  <c r="BK26" i="36"/>
  <c r="BK27" i="36"/>
  <c r="BK28" i="36"/>
  <c r="BK29" i="36"/>
  <c r="BK30" i="36"/>
  <c r="BK31" i="36"/>
  <c r="BK32" i="36"/>
  <c r="BK33" i="36"/>
  <c r="BK34" i="36"/>
  <c r="BK35" i="36"/>
  <c r="BK36" i="36"/>
  <c r="BK37" i="36"/>
  <c r="BK38" i="36"/>
  <c r="AH8" i="35"/>
  <c r="AH9" i="35"/>
  <c r="AH10" i="35"/>
  <c r="AH11" i="35"/>
  <c r="AH12" i="35"/>
  <c r="AH13" i="35"/>
  <c r="AH14" i="35"/>
  <c r="AH15" i="35"/>
  <c r="AH16" i="35"/>
  <c r="AH17" i="35"/>
  <c r="AH18" i="35"/>
  <c r="AH19" i="35"/>
  <c r="AH20" i="35"/>
  <c r="AH21" i="35"/>
  <c r="AH22" i="35"/>
  <c r="AH23" i="35"/>
  <c r="AH24" i="35"/>
  <c r="AH25" i="35"/>
  <c r="AH26" i="35"/>
  <c r="AH27" i="35"/>
  <c r="AH28" i="35"/>
  <c r="AH29" i="35"/>
  <c r="AH30" i="35"/>
  <c r="AH31" i="35"/>
  <c r="AH32" i="35"/>
  <c r="AH33" i="35"/>
  <c r="AH34" i="35"/>
  <c r="AH35" i="35"/>
  <c r="AH36" i="35"/>
  <c r="AH37" i="35"/>
  <c r="AH38" i="35"/>
  <c r="AI8" i="35"/>
  <c r="AI9" i="35"/>
  <c r="AI10" i="35"/>
  <c r="AI11" i="35"/>
  <c r="AI12" i="35"/>
  <c r="AI13" i="35"/>
  <c r="AI14" i="35"/>
  <c r="AI15" i="35"/>
  <c r="AI16" i="35"/>
  <c r="AI17" i="35"/>
  <c r="AI18" i="35"/>
  <c r="AI19" i="35"/>
  <c r="AI20" i="35"/>
  <c r="AI21" i="35"/>
  <c r="AI22" i="35"/>
  <c r="AI23" i="35"/>
  <c r="AI24" i="35"/>
  <c r="AI25" i="35"/>
  <c r="AI26" i="35"/>
  <c r="AI27" i="35"/>
  <c r="AI28" i="35"/>
  <c r="AI29" i="35"/>
  <c r="AI30" i="35"/>
  <c r="AI31" i="35"/>
  <c r="AI32" i="35"/>
  <c r="AI33" i="35"/>
  <c r="AI34" i="35"/>
  <c r="AI35" i="35"/>
  <c r="AI36" i="35"/>
  <c r="AI37" i="35"/>
  <c r="AI38" i="35"/>
  <c r="AJ8" i="35"/>
  <c r="AJ9" i="35"/>
  <c r="AJ10" i="35"/>
  <c r="AJ11" i="35"/>
  <c r="AJ12" i="35"/>
  <c r="AJ13" i="35"/>
  <c r="AJ14" i="35"/>
  <c r="AJ15" i="35"/>
  <c r="AJ16" i="35"/>
  <c r="AJ17" i="35"/>
  <c r="AJ18" i="35"/>
  <c r="AJ19" i="35"/>
  <c r="AJ20" i="35"/>
  <c r="AJ21" i="35"/>
  <c r="AJ22" i="35"/>
  <c r="AJ23" i="35"/>
  <c r="AJ24" i="35"/>
  <c r="AJ25" i="35"/>
  <c r="AJ26" i="35"/>
  <c r="AJ27" i="35"/>
  <c r="AJ28" i="35"/>
  <c r="AJ29" i="35"/>
  <c r="AJ30" i="35"/>
  <c r="AJ31" i="35"/>
  <c r="AJ32" i="35"/>
  <c r="AJ33" i="35"/>
  <c r="AJ34" i="35"/>
  <c r="AJ35" i="35"/>
  <c r="AJ36" i="35"/>
  <c r="AJ37" i="35"/>
  <c r="AJ38" i="35"/>
  <c r="AK8" i="35"/>
  <c r="AK9" i="35"/>
  <c r="AK10" i="35"/>
  <c r="AK11" i="35"/>
  <c r="AK12" i="35"/>
  <c r="AK13" i="35"/>
  <c r="AK14" i="35"/>
  <c r="AK15" i="35"/>
  <c r="AK16" i="35"/>
  <c r="AK17" i="35"/>
  <c r="AK18" i="35"/>
  <c r="AK19" i="35"/>
  <c r="AK20" i="35"/>
  <c r="AK21" i="35"/>
  <c r="AK22" i="35"/>
  <c r="AK23" i="35"/>
  <c r="AK24" i="35"/>
  <c r="AK25" i="35"/>
  <c r="AK26" i="35"/>
  <c r="AK27" i="35"/>
  <c r="AK28" i="35"/>
  <c r="AK29" i="35"/>
  <c r="AK30" i="35"/>
  <c r="AK31" i="35"/>
  <c r="AK32" i="35"/>
  <c r="AK33" i="35"/>
  <c r="AK34" i="35"/>
  <c r="AK35" i="35"/>
  <c r="AK36" i="35"/>
  <c r="AK37" i="35"/>
  <c r="AK38" i="35"/>
  <c r="AL8" i="35"/>
  <c r="AL9" i="35"/>
  <c r="AL10" i="35"/>
  <c r="AL11" i="35"/>
  <c r="AL12" i="35"/>
  <c r="AL13" i="35"/>
  <c r="AL14" i="35"/>
  <c r="AL15" i="35"/>
  <c r="AL16" i="35"/>
  <c r="AL17" i="35"/>
  <c r="AL18" i="35"/>
  <c r="AL19" i="35"/>
  <c r="AL20" i="35"/>
  <c r="AL21" i="35"/>
  <c r="AL22" i="35"/>
  <c r="AL23" i="35"/>
  <c r="AL24" i="35"/>
  <c r="AL25" i="35"/>
  <c r="AL26" i="35"/>
  <c r="AL27" i="35"/>
  <c r="AL28" i="35"/>
  <c r="AL29" i="35"/>
  <c r="AL30" i="35"/>
  <c r="AL31" i="35"/>
  <c r="AL32" i="35"/>
  <c r="AL33" i="35"/>
  <c r="AL34" i="35"/>
  <c r="AL35" i="35"/>
  <c r="AL36" i="35"/>
  <c r="AL37" i="35"/>
  <c r="AL38" i="35"/>
  <c r="AM8" i="35"/>
  <c r="AM9" i="35"/>
  <c r="AM10" i="35"/>
  <c r="AM11" i="35"/>
  <c r="AM12" i="35"/>
  <c r="AM13" i="35"/>
  <c r="AM14" i="35"/>
  <c r="AM15" i="35"/>
  <c r="AM16" i="35"/>
  <c r="AM17" i="35"/>
  <c r="AM18" i="35"/>
  <c r="AM19" i="35"/>
  <c r="AM20" i="35"/>
  <c r="AM21" i="35"/>
  <c r="AM22" i="35"/>
  <c r="AM23" i="35"/>
  <c r="AM24" i="35"/>
  <c r="AM25" i="35"/>
  <c r="AM26" i="35"/>
  <c r="AM27" i="35"/>
  <c r="AM28" i="35"/>
  <c r="AM29" i="35"/>
  <c r="AM30" i="35"/>
  <c r="AM31" i="35"/>
  <c r="AM32" i="35"/>
  <c r="AM33" i="35"/>
  <c r="AM34" i="35"/>
  <c r="AM35" i="35"/>
  <c r="AM36" i="35"/>
  <c r="AM37" i="35"/>
  <c r="AM38" i="35"/>
  <c r="AN8" i="35"/>
  <c r="AN9" i="35"/>
  <c r="AN10" i="35"/>
  <c r="AN11" i="35"/>
  <c r="AN12" i="35"/>
  <c r="AN13" i="35"/>
  <c r="AN14" i="35"/>
  <c r="AN15" i="35"/>
  <c r="AN16" i="35"/>
  <c r="AN17" i="35"/>
  <c r="AN18" i="35"/>
  <c r="AN19" i="35"/>
  <c r="AN20" i="35"/>
  <c r="AN21" i="35"/>
  <c r="AN22" i="35"/>
  <c r="AN23" i="35"/>
  <c r="AN24" i="35"/>
  <c r="AN25" i="35"/>
  <c r="AN26" i="35"/>
  <c r="AN27" i="35"/>
  <c r="AN28" i="35"/>
  <c r="AN29" i="35"/>
  <c r="AN30" i="35"/>
  <c r="AN31" i="35"/>
  <c r="AN32" i="35"/>
  <c r="AN33" i="35"/>
  <c r="AN34" i="35"/>
  <c r="AN35" i="35"/>
  <c r="AN36" i="35"/>
  <c r="AN37" i="35"/>
  <c r="AN38" i="35"/>
  <c r="AO8" i="35"/>
  <c r="AO9" i="35"/>
  <c r="AO10" i="35"/>
  <c r="AO11" i="35"/>
  <c r="AO12" i="35"/>
  <c r="AO13" i="35"/>
  <c r="AO14" i="35"/>
  <c r="AO15" i="35"/>
  <c r="AO16" i="35"/>
  <c r="AO17" i="35"/>
  <c r="AO18" i="35"/>
  <c r="AO19" i="35"/>
  <c r="AO20" i="35"/>
  <c r="AO21" i="35"/>
  <c r="AO22" i="35"/>
  <c r="AO23" i="35"/>
  <c r="AO24" i="35"/>
  <c r="AO25" i="35"/>
  <c r="AO26" i="35"/>
  <c r="AO27" i="35"/>
  <c r="AO28" i="35"/>
  <c r="AO29" i="35"/>
  <c r="AO30" i="35"/>
  <c r="AO31" i="35"/>
  <c r="AO32" i="35"/>
  <c r="AO33" i="35"/>
  <c r="AO34" i="35"/>
  <c r="AO35" i="35"/>
  <c r="AO36" i="35"/>
  <c r="AO37" i="35"/>
  <c r="AO38" i="35"/>
  <c r="AP8" i="35"/>
  <c r="AP9" i="35"/>
  <c r="AP10" i="35"/>
  <c r="AP11" i="35"/>
  <c r="AP12" i="35"/>
  <c r="AP13" i="35"/>
  <c r="AP14" i="35"/>
  <c r="AP15" i="35"/>
  <c r="AP16" i="35"/>
  <c r="AP17" i="35"/>
  <c r="AP18" i="35"/>
  <c r="AP19" i="35"/>
  <c r="AP20" i="35"/>
  <c r="AP21" i="35"/>
  <c r="AP22" i="35"/>
  <c r="AP23" i="35"/>
  <c r="AP24" i="35"/>
  <c r="AP25" i="35"/>
  <c r="AP26" i="35"/>
  <c r="AP27" i="35"/>
  <c r="AP28" i="35"/>
  <c r="AP29" i="35"/>
  <c r="AP30" i="35"/>
  <c r="AP31" i="35"/>
  <c r="AP32" i="35"/>
  <c r="AP33" i="35"/>
  <c r="AP34" i="35"/>
  <c r="AP35" i="35"/>
  <c r="AP36" i="35"/>
  <c r="AP37" i="35"/>
  <c r="AP38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R8" i="35"/>
  <c r="AR9" i="35"/>
  <c r="AR10" i="35"/>
  <c r="AR11" i="35"/>
  <c r="AR12" i="35"/>
  <c r="AR13" i="35"/>
  <c r="AR14" i="35"/>
  <c r="AR15" i="35"/>
  <c r="AR16" i="35"/>
  <c r="AR17" i="35"/>
  <c r="AR18" i="35"/>
  <c r="AR19" i="35"/>
  <c r="AR20" i="35"/>
  <c r="AR21" i="35"/>
  <c r="AR22" i="35"/>
  <c r="AR23" i="35"/>
  <c r="AR24" i="35"/>
  <c r="AR25" i="35"/>
  <c r="AR26" i="35"/>
  <c r="AR27" i="35"/>
  <c r="AR28" i="35"/>
  <c r="AR29" i="35"/>
  <c r="AR30" i="35"/>
  <c r="AR31" i="35"/>
  <c r="AR32" i="35"/>
  <c r="AR33" i="35"/>
  <c r="AR34" i="35"/>
  <c r="AR35" i="35"/>
  <c r="AR36" i="35"/>
  <c r="AR37" i="35"/>
  <c r="AR38" i="35"/>
  <c r="AS8" i="35"/>
  <c r="AS9" i="35"/>
  <c r="AS10" i="35"/>
  <c r="AS11" i="35"/>
  <c r="AS12" i="35"/>
  <c r="AS13" i="35"/>
  <c r="AS14" i="35"/>
  <c r="AS15" i="35"/>
  <c r="AS16" i="35"/>
  <c r="AS17" i="35"/>
  <c r="AS18" i="35"/>
  <c r="AS19" i="35"/>
  <c r="AS20" i="35"/>
  <c r="AS21" i="35"/>
  <c r="AS22" i="35"/>
  <c r="AS23" i="35"/>
  <c r="AS24" i="35"/>
  <c r="AS25" i="35"/>
  <c r="AS26" i="35"/>
  <c r="AS27" i="35"/>
  <c r="AS28" i="35"/>
  <c r="AS29" i="35"/>
  <c r="AS30" i="35"/>
  <c r="AS31" i="35"/>
  <c r="AS32" i="35"/>
  <c r="AS33" i="35"/>
  <c r="AS34" i="35"/>
  <c r="AS35" i="35"/>
  <c r="AS36" i="35"/>
  <c r="AS37" i="35"/>
  <c r="AS38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V8" i="35"/>
  <c r="AV9" i="35"/>
  <c r="AV10" i="35"/>
  <c r="AV11" i="35"/>
  <c r="AV12" i="35"/>
  <c r="AV13" i="35"/>
  <c r="AV14" i="35"/>
  <c r="AV15" i="35"/>
  <c r="AV16" i="35"/>
  <c r="AV17" i="35"/>
  <c r="AV18" i="35"/>
  <c r="AV19" i="35"/>
  <c r="AV20" i="35"/>
  <c r="AV21" i="35"/>
  <c r="AV22" i="35"/>
  <c r="AV23" i="35"/>
  <c r="AV24" i="35"/>
  <c r="AV25" i="35"/>
  <c r="AV26" i="35"/>
  <c r="AV27" i="35"/>
  <c r="AV28" i="35"/>
  <c r="AV29" i="35"/>
  <c r="AV30" i="35"/>
  <c r="AV31" i="35"/>
  <c r="AV32" i="35"/>
  <c r="AV33" i="35"/>
  <c r="AV34" i="35"/>
  <c r="AV35" i="35"/>
  <c r="AV36" i="35"/>
  <c r="AV37" i="35"/>
  <c r="AV38" i="35"/>
  <c r="AW8" i="35"/>
  <c r="AW9" i="35"/>
  <c r="AW10" i="35"/>
  <c r="AW11" i="35"/>
  <c r="AW12" i="35"/>
  <c r="AW13" i="35"/>
  <c r="AW14" i="35"/>
  <c r="AW15" i="35"/>
  <c r="AW16" i="35"/>
  <c r="AW17" i="35"/>
  <c r="AW18" i="35"/>
  <c r="AW19" i="35"/>
  <c r="AW20" i="35"/>
  <c r="AW21" i="35"/>
  <c r="AW22" i="35"/>
  <c r="AW23" i="35"/>
  <c r="AW24" i="35"/>
  <c r="AW25" i="35"/>
  <c r="AW26" i="35"/>
  <c r="AW27" i="35"/>
  <c r="AW28" i="35"/>
  <c r="AW29" i="35"/>
  <c r="AW30" i="35"/>
  <c r="AW31" i="35"/>
  <c r="AW32" i="35"/>
  <c r="AW33" i="35"/>
  <c r="AW34" i="35"/>
  <c r="AW35" i="35"/>
  <c r="AW36" i="35"/>
  <c r="AW37" i="35"/>
  <c r="AW38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BA8" i="35"/>
  <c r="BA9" i="35"/>
  <c r="BA10" i="35"/>
  <c r="BA11" i="35"/>
  <c r="BA12" i="35"/>
  <c r="BA13" i="35"/>
  <c r="BA14" i="35"/>
  <c r="BA15" i="35"/>
  <c r="BA16" i="35"/>
  <c r="BA17" i="35"/>
  <c r="BA18" i="35"/>
  <c r="BA19" i="35"/>
  <c r="BA20" i="35"/>
  <c r="BA21" i="35"/>
  <c r="BA22" i="35"/>
  <c r="BA23" i="35"/>
  <c r="BA24" i="35"/>
  <c r="BA25" i="35"/>
  <c r="BA26" i="35"/>
  <c r="BA27" i="35"/>
  <c r="BA28" i="35"/>
  <c r="BA29" i="35"/>
  <c r="BA30" i="35"/>
  <c r="BA31" i="35"/>
  <c r="BA32" i="35"/>
  <c r="BA33" i="35"/>
  <c r="BA34" i="35"/>
  <c r="BA35" i="35"/>
  <c r="BA36" i="35"/>
  <c r="BA37" i="35"/>
  <c r="BA38" i="35"/>
  <c r="BB8" i="35"/>
  <c r="BB9" i="35"/>
  <c r="BB10" i="35"/>
  <c r="BB11" i="35"/>
  <c r="BB12" i="35"/>
  <c r="BB13" i="35"/>
  <c r="BB14" i="35"/>
  <c r="BB15" i="35"/>
  <c r="BB16" i="35"/>
  <c r="BB17" i="35"/>
  <c r="BB18" i="35"/>
  <c r="BB19" i="35"/>
  <c r="BB20" i="35"/>
  <c r="BB21" i="35"/>
  <c r="BB22" i="35"/>
  <c r="BB23" i="35"/>
  <c r="BB24" i="35"/>
  <c r="BB25" i="35"/>
  <c r="BB26" i="35"/>
  <c r="BB27" i="35"/>
  <c r="BB28" i="35"/>
  <c r="BB29" i="35"/>
  <c r="BB30" i="35"/>
  <c r="BB31" i="35"/>
  <c r="BB32" i="35"/>
  <c r="BB33" i="35"/>
  <c r="BB34" i="35"/>
  <c r="BB35" i="35"/>
  <c r="BB36" i="35"/>
  <c r="BB37" i="35"/>
  <c r="BB38" i="35"/>
  <c r="BC8" i="35"/>
  <c r="BC9" i="35"/>
  <c r="BC10" i="35"/>
  <c r="BC11" i="35"/>
  <c r="BC12" i="35"/>
  <c r="BC13" i="35"/>
  <c r="BC14" i="35"/>
  <c r="BC15" i="35"/>
  <c r="BC16" i="35"/>
  <c r="BC17" i="35"/>
  <c r="BC18" i="35"/>
  <c r="BC19" i="35"/>
  <c r="BC20" i="35"/>
  <c r="BC21" i="35"/>
  <c r="BC22" i="35"/>
  <c r="BC23" i="35"/>
  <c r="BC24" i="35"/>
  <c r="BC25" i="35"/>
  <c r="BC26" i="35"/>
  <c r="BC27" i="35"/>
  <c r="BC28" i="35"/>
  <c r="BC29" i="35"/>
  <c r="BC30" i="35"/>
  <c r="BC31" i="35"/>
  <c r="BC32" i="35"/>
  <c r="BC33" i="35"/>
  <c r="BC34" i="35"/>
  <c r="BC35" i="35"/>
  <c r="BC36" i="35"/>
  <c r="BC37" i="35"/>
  <c r="BC38" i="35"/>
  <c r="BD8" i="35"/>
  <c r="BD9" i="35"/>
  <c r="BD10" i="35"/>
  <c r="BD11" i="35"/>
  <c r="BD12" i="35"/>
  <c r="BD13" i="35"/>
  <c r="BD14" i="35"/>
  <c r="BD15" i="35"/>
  <c r="BD16" i="35"/>
  <c r="BD17" i="35"/>
  <c r="BD18" i="35"/>
  <c r="BD19" i="35"/>
  <c r="BD20" i="35"/>
  <c r="BD21" i="35"/>
  <c r="BD22" i="35"/>
  <c r="BD23" i="35"/>
  <c r="BD24" i="35"/>
  <c r="BD25" i="35"/>
  <c r="BD26" i="35"/>
  <c r="BD27" i="35"/>
  <c r="BD28" i="35"/>
  <c r="BD29" i="35"/>
  <c r="BD30" i="35"/>
  <c r="BD31" i="35"/>
  <c r="BD32" i="35"/>
  <c r="BD33" i="35"/>
  <c r="BD34" i="35"/>
  <c r="BD35" i="35"/>
  <c r="BD36" i="35"/>
  <c r="BD37" i="35"/>
  <c r="BD38" i="35"/>
  <c r="BE8" i="35"/>
  <c r="BE9" i="35"/>
  <c r="BE10" i="35"/>
  <c r="BE11" i="35"/>
  <c r="BE12" i="35"/>
  <c r="BE13" i="35"/>
  <c r="BE14" i="35"/>
  <c r="BE15" i="35"/>
  <c r="BE16" i="35"/>
  <c r="BE17" i="35"/>
  <c r="BE18" i="35"/>
  <c r="BE19" i="35"/>
  <c r="BE20" i="35"/>
  <c r="BE21" i="35"/>
  <c r="BE22" i="35"/>
  <c r="BE23" i="35"/>
  <c r="BE24" i="35"/>
  <c r="BE25" i="35"/>
  <c r="BE26" i="35"/>
  <c r="BE27" i="35"/>
  <c r="BE28" i="35"/>
  <c r="BE29" i="35"/>
  <c r="BE30" i="35"/>
  <c r="BE31" i="35"/>
  <c r="BE32" i="35"/>
  <c r="BE33" i="35"/>
  <c r="BE34" i="35"/>
  <c r="BE35" i="35"/>
  <c r="BE36" i="35"/>
  <c r="BE37" i="35"/>
  <c r="BE38" i="35"/>
  <c r="BF8" i="35"/>
  <c r="BF9" i="35"/>
  <c r="BF10" i="35"/>
  <c r="BF11" i="35"/>
  <c r="BF12" i="35"/>
  <c r="BF13" i="35"/>
  <c r="BF14" i="35"/>
  <c r="BF15" i="35"/>
  <c r="BF16" i="35"/>
  <c r="BF17" i="35"/>
  <c r="BF18" i="35"/>
  <c r="BF19" i="35"/>
  <c r="BF20" i="35"/>
  <c r="BF21" i="35"/>
  <c r="BF22" i="35"/>
  <c r="BF23" i="35"/>
  <c r="BF24" i="35"/>
  <c r="BF25" i="35"/>
  <c r="BF26" i="35"/>
  <c r="BF27" i="35"/>
  <c r="BF28" i="35"/>
  <c r="BF29" i="35"/>
  <c r="BF30" i="35"/>
  <c r="BF31" i="35"/>
  <c r="BF32" i="35"/>
  <c r="BF33" i="35"/>
  <c r="BF34" i="35"/>
  <c r="BF35" i="35"/>
  <c r="BF36" i="35"/>
  <c r="BF37" i="35"/>
  <c r="BF38" i="35"/>
  <c r="BG8" i="35"/>
  <c r="BG9" i="35"/>
  <c r="BG10" i="35"/>
  <c r="BG11" i="35"/>
  <c r="BG12" i="35"/>
  <c r="BG13" i="35"/>
  <c r="BG14" i="35"/>
  <c r="BG15" i="35"/>
  <c r="BG16" i="35"/>
  <c r="BG17" i="35"/>
  <c r="BG18" i="35"/>
  <c r="BG19" i="35"/>
  <c r="BG20" i="35"/>
  <c r="BG21" i="35"/>
  <c r="BG22" i="35"/>
  <c r="BG23" i="35"/>
  <c r="BG24" i="35"/>
  <c r="BG25" i="35"/>
  <c r="BG26" i="35"/>
  <c r="BG27" i="35"/>
  <c r="BG28" i="35"/>
  <c r="BG29" i="35"/>
  <c r="BG30" i="35"/>
  <c r="BG31" i="35"/>
  <c r="BG32" i="35"/>
  <c r="BG33" i="35"/>
  <c r="BG34" i="35"/>
  <c r="BG35" i="35"/>
  <c r="BG36" i="35"/>
  <c r="BG37" i="35"/>
  <c r="BG38" i="35"/>
  <c r="BH8" i="35"/>
  <c r="BH9" i="35"/>
  <c r="BH10" i="35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I8" i="35"/>
  <c r="BI9" i="35"/>
  <c r="BI10" i="35"/>
  <c r="BI11" i="35"/>
  <c r="BI12" i="35"/>
  <c r="BI13" i="35"/>
  <c r="BI14" i="35"/>
  <c r="BI15" i="35"/>
  <c r="BI16" i="35"/>
  <c r="BI17" i="35"/>
  <c r="BI18" i="35"/>
  <c r="BI19" i="35"/>
  <c r="BI20" i="35"/>
  <c r="BI21" i="35"/>
  <c r="BI22" i="35"/>
  <c r="BI23" i="35"/>
  <c r="BI24" i="35"/>
  <c r="BI25" i="35"/>
  <c r="BI26" i="35"/>
  <c r="BI27" i="35"/>
  <c r="BI28" i="35"/>
  <c r="BI29" i="35"/>
  <c r="BI30" i="35"/>
  <c r="BI31" i="35"/>
  <c r="BI32" i="35"/>
  <c r="BI33" i="35"/>
  <c r="BI34" i="35"/>
  <c r="BI35" i="35"/>
  <c r="BI36" i="35"/>
  <c r="BI37" i="35"/>
  <c r="BI38" i="35"/>
  <c r="BJ8" i="35"/>
  <c r="BJ9" i="35"/>
  <c r="BJ10" i="35"/>
  <c r="BJ11" i="35"/>
  <c r="BJ12" i="35"/>
  <c r="BJ13" i="35"/>
  <c r="BJ14" i="35"/>
  <c r="BJ15" i="35"/>
  <c r="BJ16" i="35"/>
  <c r="BJ17" i="35"/>
  <c r="BJ18" i="35"/>
  <c r="BJ19" i="35"/>
  <c r="BJ20" i="35"/>
  <c r="BJ21" i="35"/>
  <c r="BJ22" i="35"/>
  <c r="BJ23" i="35"/>
  <c r="BJ24" i="35"/>
  <c r="BJ25" i="35"/>
  <c r="BJ26" i="35"/>
  <c r="BJ27" i="35"/>
  <c r="BJ28" i="35"/>
  <c r="BJ29" i="35"/>
  <c r="BJ30" i="35"/>
  <c r="BJ31" i="35"/>
  <c r="BJ32" i="35"/>
  <c r="BJ33" i="35"/>
  <c r="BJ34" i="35"/>
  <c r="BJ35" i="35"/>
  <c r="BJ36" i="35"/>
  <c r="BJ37" i="35"/>
  <c r="BJ38" i="35"/>
  <c r="BK8" i="35"/>
  <c r="BK9" i="35"/>
  <c r="BK10" i="35"/>
  <c r="BK11" i="35"/>
  <c r="BK12" i="35"/>
  <c r="BK13" i="35"/>
  <c r="BK14" i="35"/>
  <c r="BK15" i="35"/>
  <c r="BK16" i="35"/>
  <c r="BK17" i="35"/>
  <c r="BK18" i="35"/>
  <c r="BK19" i="35"/>
  <c r="BK20" i="35"/>
  <c r="BK21" i="35"/>
  <c r="BK22" i="35"/>
  <c r="BK23" i="35"/>
  <c r="BK24" i="35"/>
  <c r="BK25" i="35"/>
  <c r="BK26" i="35"/>
  <c r="BK27" i="35"/>
  <c r="BK28" i="35"/>
  <c r="BK29" i="35"/>
  <c r="BK30" i="35"/>
  <c r="BK31" i="35"/>
  <c r="BK32" i="35"/>
  <c r="BK33" i="35"/>
  <c r="BK34" i="35"/>
  <c r="BK35" i="35"/>
  <c r="BK36" i="35"/>
  <c r="BK37" i="35"/>
  <c r="BK38" i="35"/>
  <c r="AD8" i="13"/>
  <c r="AC8" i="13"/>
  <c r="AA8" i="13"/>
  <c r="BZ8" i="13"/>
  <c r="Z9" i="13"/>
  <c r="BZ9" i="13" s="1"/>
  <c r="AB8" i="13"/>
  <c r="CJ28" i="13"/>
  <c r="CW3" i="13"/>
  <c r="DA8" i="13"/>
  <c r="CK38" i="13"/>
  <c r="CK34" i="13"/>
  <c r="CK26" i="13"/>
  <c r="CK22" i="13"/>
  <c r="CK18" i="13"/>
  <c r="AD9" i="13"/>
  <c r="CQ10" i="13"/>
  <c r="CK9" i="13"/>
  <c r="CL9" i="13" s="1"/>
  <c r="CK25" i="13"/>
  <c r="CJ11" i="13" l="1"/>
  <c r="CL11" i="13" s="1"/>
  <c r="CQ11" i="13" s="1"/>
  <c r="CJ12" i="13"/>
  <c r="CR12" i="13"/>
  <c r="CJ17" i="13"/>
  <c r="CR17" i="13"/>
  <c r="CQ16" i="13"/>
  <c r="CS16" i="13" s="1"/>
  <c r="DB16" i="13" s="1"/>
  <c r="CR16" i="13"/>
  <c r="CJ13" i="13"/>
  <c r="CL13" i="13" s="1"/>
  <c r="CQ13" i="13" s="1"/>
  <c r="CR13" i="13"/>
  <c r="CJ18" i="13"/>
  <c r="CJ22" i="13"/>
  <c r="CL22" i="13" s="1"/>
  <c r="CQ22" i="13" s="1"/>
  <c r="CJ21" i="13"/>
  <c r="CL21" i="13" s="1"/>
  <c r="CQ21" i="13" s="1"/>
  <c r="CJ20" i="13"/>
  <c r="CL20" i="13" s="1"/>
  <c r="CQ20" i="13" s="1"/>
  <c r="DB10" i="13"/>
  <c r="DB31" i="13"/>
  <c r="DB24" i="13"/>
  <c r="CJ16" i="13"/>
  <c r="CL17" i="13"/>
  <c r="CD13" i="13"/>
  <c r="BP13" i="13" s="1"/>
  <c r="CD18" i="13"/>
  <c r="BP18" i="13" s="1"/>
  <c r="CJ36" i="13"/>
  <c r="CQ35" i="13"/>
  <c r="CJ15" i="13"/>
  <c r="CL15" i="13" s="1"/>
  <c r="CQ15" i="13" s="1"/>
  <c r="BN11" i="13"/>
  <c r="BP11" i="13"/>
  <c r="CD20" i="13"/>
  <c r="BN20" i="13" s="1"/>
  <c r="BP9" i="13"/>
  <c r="CQ23" i="13"/>
  <c r="DA23" i="13"/>
  <c r="CQ37" i="13"/>
  <c r="CJ29" i="13"/>
  <c r="CL29" i="13" s="1"/>
  <c r="CQ29" i="13" s="1"/>
  <c r="CQ9" i="13"/>
  <c r="CB31" i="13"/>
  <c r="CJ35" i="13"/>
  <c r="CL35" i="13" s="1"/>
  <c r="DA9" i="13"/>
  <c r="BN38" i="13"/>
  <c r="BN22" i="13"/>
  <c r="BN32" i="13"/>
  <c r="BN26" i="13"/>
  <c r="BN34" i="13"/>
  <c r="BP24" i="13"/>
  <c r="BN36" i="13"/>
  <c r="BP16" i="13"/>
  <c r="CK31" i="13"/>
  <c r="CJ14" i="13"/>
  <c r="CL14" i="13" s="1"/>
  <c r="CQ14" i="13" s="1"/>
  <c r="CJ34" i="13"/>
  <c r="CL34" i="13" s="1"/>
  <c r="CQ34" i="13" s="1"/>
  <c r="DA38" i="13"/>
  <c r="CJ24" i="13"/>
  <c r="CL24" i="13" s="1"/>
  <c r="CQ38" i="13"/>
  <c r="CL28" i="13"/>
  <c r="CQ28" i="13" s="1"/>
  <c r="BN31" i="13"/>
  <c r="CQ30" i="13"/>
  <c r="CB30" i="13"/>
  <c r="CK30" i="13" s="1"/>
  <c r="CL30" i="13" s="1"/>
  <c r="CB32" i="13"/>
  <c r="BN25" i="13"/>
  <c r="BP37" i="13"/>
  <c r="DA37" i="13"/>
  <c r="BP21" i="13"/>
  <c r="BN27" i="13"/>
  <c r="BP19" i="13"/>
  <c r="BN17" i="13"/>
  <c r="BN8" i="13"/>
  <c r="DA10" i="13"/>
  <c r="DA24" i="13"/>
  <c r="CL10" i="13"/>
  <c r="CL16" i="13"/>
  <c r="CJ19" i="13"/>
  <c r="CL19" i="13" s="1"/>
  <c r="CQ19" i="13" s="1"/>
  <c r="DA17" i="13"/>
  <c r="CL18" i="13"/>
  <c r="CQ18" i="13" s="1"/>
  <c r="BC40" i="30"/>
  <c r="BC52" i="30" s="1"/>
  <c r="X30" i="30" s="1"/>
  <c r="AK40" i="28"/>
  <c r="AK47" i="28" s="1"/>
  <c r="BD40" i="28"/>
  <c r="BD47" i="28" s="1"/>
  <c r="CL36" i="13"/>
  <c r="CQ36" i="13" s="1"/>
  <c r="CL25" i="13"/>
  <c r="CQ25" i="13" s="1"/>
  <c r="CJ38" i="13"/>
  <c r="CL38" i="13" s="1"/>
  <c r="AY40" i="29"/>
  <c r="AY39" i="29" s="1"/>
  <c r="BJ40" i="28"/>
  <c r="BJ52" i="28" s="1"/>
  <c r="X37" i="28" s="1"/>
  <c r="AU40" i="30"/>
  <c r="AU52" i="30" s="1"/>
  <c r="X22" i="30" s="1"/>
  <c r="AO40" i="30"/>
  <c r="AO47" i="30" s="1"/>
  <c r="AM40" i="30"/>
  <c r="AM47" i="30" s="1"/>
  <c r="DA16" i="13"/>
  <c r="CQ33" i="13"/>
  <c r="BP15" i="13"/>
  <c r="BP29" i="13"/>
  <c r="CL8" i="13"/>
  <c r="CQ8" i="13"/>
  <c r="CB33" i="13"/>
  <c r="CK33" i="13" s="1"/>
  <c r="CL33" i="13" s="1"/>
  <c r="CL37" i="13"/>
  <c r="BD40" i="29"/>
  <c r="BD52" i="29" s="1"/>
  <c r="X31" i="29" s="1"/>
  <c r="X25" i="13"/>
  <c r="X17" i="13"/>
  <c r="BI40" i="28"/>
  <c r="BI52" i="28" s="1"/>
  <c r="X36" i="28" s="1"/>
  <c r="BA40" i="28"/>
  <c r="BA39" i="28" s="1"/>
  <c r="AS40" i="28"/>
  <c r="AS52" i="28" s="1"/>
  <c r="X20" i="28" s="1"/>
  <c r="CJ31" i="13"/>
  <c r="CQ17" i="13"/>
  <c r="CS17" i="13" s="1"/>
  <c r="CL27" i="13"/>
  <c r="CQ27" i="13" s="1"/>
  <c r="AR40" i="29"/>
  <c r="AR47" i="29" s="1"/>
  <c r="BJ40" i="33"/>
  <c r="BJ47" i="33" s="1"/>
  <c r="BB40" i="28"/>
  <c r="BB52" i="28" s="1"/>
  <c r="X29" i="28" s="1"/>
  <c r="AW40" i="28"/>
  <c r="AW47" i="28" s="1"/>
  <c r="AT40" i="28"/>
  <c r="AT39" i="28" s="1"/>
  <c r="AO40" i="28"/>
  <c r="AO52" i="28" s="1"/>
  <c r="X16" i="28" s="1"/>
  <c r="AN40" i="28"/>
  <c r="AN39" i="28" s="1"/>
  <c r="AL40" i="28"/>
  <c r="AL52" i="28" s="1"/>
  <c r="X13" i="28" s="1"/>
  <c r="BE40" i="30"/>
  <c r="BE52" i="30" s="1"/>
  <c r="X32" i="30" s="1"/>
  <c r="AW40" i="30"/>
  <c r="AW52" i="30" s="1"/>
  <c r="X24" i="30" s="1"/>
  <c r="AJ40" i="30"/>
  <c r="AJ39" i="30" s="1"/>
  <c r="AG40" i="30"/>
  <c r="AG47" i="30" s="1"/>
  <c r="BF40" i="29"/>
  <c r="BF47" i="29" s="1"/>
  <c r="BE40" i="29"/>
  <c r="BE39" i="29" s="1"/>
  <c r="AW40" i="29"/>
  <c r="AW39" i="29" s="1"/>
  <c r="AP40" i="29"/>
  <c r="AP52" i="29" s="1"/>
  <c r="X17" i="29" s="1"/>
  <c r="AO40" i="29"/>
  <c r="AO52" i="29" s="1"/>
  <c r="X16" i="29" s="1"/>
  <c r="AG40" i="29"/>
  <c r="AG47" i="29" s="1"/>
  <c r="AQ40" i="33"/>
  <c r="AQ52" i="33" s="1"/>
  <c r="X18" i="33" s="1"/>
  <c r="BH40" i="28"/>
  <c r="BH52" i="28" s="1"/>
  <c r="X35" i="28" s="1"/>
  <c r="BG40" i="28"/>
  <c r="BG52" i="28" s="1"/>
  <c r="X34" i="28" s="1"/>
  <c r="AZ40" i="28"/>
  <c r="AZ52" i="28" s="1"/>
  <c r="X27" i="28" s="1"/>
  <c r="AR40" i="28"/>
  <c r="AR39" i="28" s="1"/>
  <c r="AJ40" i="28"/>
  <c r="AJ47" i="28" s="1"/>
  <c r="BH40" i="38"/>
  <c r="BH52" i="38" s="1"/>
  <c r="X35" i="38" s="1"/>
  <c r="BG40" i="38"/>
  <c r="BG52" i="38" s="1"/>
  <c r="X34" i="38" s="1"/>
  <c r="AY40" i="38"/>
  <c r="AY39" i="38" s="1"/>
  <c r="AW40" i="38"/>
  <c r="AW39" i="38" s="1"/>
  <c r="AV40" i="38"/>
  <c r="AV52" i="38" s="1"/>
  <c r="X23" i="38" s="1"/>
  <c r="AU40" i="38"/>
  <c r="AU52" i="38" s="1"/>
  <c r="X22" i="38" s="1"/>
  <c r="AN40" i="38"/>
  <c r="AN39" i="38" s="1"/>
  <c r="AI40" i="38"/>
  <c r="AI52" i="38" s="1"/>
  <c r="X10" i="38" s="1"/>
  <c r="BF40" i="38"/>
  <c r="BF47" i="38" s="1"/>
  <c r="BE40" i="38"/>
  <c r="BE39" i="38" s="1"/>
  <c r="BA40" i="38"/>
  <c r="BA39" i="38" s="1"/>
  <c r="AL40" i="38"/>
  <c r="AL52" i="38" s="1"/>
  <c r="X13" i="38" s="1"/>
  <c r="AP40" i="38"/>
  <c r="AP39" i="38" s="1"/>
  <c r="AQ40" i="28"/>
  <c r="AQ47" i="28" s="1"/>
  <c r="AP40" i="28"/>
  <c r="AP52" i="28" s="1"/>
  <c r="X17" i="28" s="1"/>
  <c r="AM40" i="28"/>
  <c r="AM39" i="28" s="1"/>
  <c r="AI40" i="28"/>
  <c r="AI39" i="28" s="1"/>
  <c r="AH40" i="28"/>
  <c r="AH52" i="28" s="1"/>
  <c r="X9" i="28" s="1"/>
  <c r="AG40" i="28"/>
  <c r="AG39" i="28" s="1"/>
  <c r="BJ40" i="30"/>
  <c r="BJ39" i="30" s="1"/>
  <c r="BI40" i="30"/>
  <c r="BI47" i="30" s="1"/>
  <c r="BH40" i="30"/>
  <c r="BH52" i="30" s="1"/>
  <c r="X35" i="30" s="1"/>
  <c r="BG40" i="30"/>
  <c r="BG52" i="30" s="1"/>
  <c r="X34" i="30" s="1"/>
  <c r="BF40" i="30"/>
  <c r="BF52" i="30" s="1"/>
  <c r="X33" i="30" s="1"/>
  <c r="BD40" i="30"/>
  <c r="BD47" i="30" s="1"/>
  <c r="BB40" i="30"/>
  <c r="BB52" i="30" s="1"/>
  <c r="X29" i="30" s="1"/>
  <c r="BA40" i="30"/>
  <c r="BA52" i="30" s="1"/>
  <c r="X28" i="30" s="1"/>
  <c r="AZ40" i="30"/>
  <c r="AZ52" i="30" s="1"/>
  <c r="X27" i="30" s="1"/>
  <c r="AY40" i="30"/>
  <c r="AY39" i="30" s="1"/>
  <c r="AX40" i="30"/>
  <c r="AX52" i="30" s="1"/>
  <c r="X25" i="30" s="1"/>
  <c r="AV40" i="30"/>
  <c r="AV52" i="30" s="1"/>
  <c r="X23" i="30" s="1"/>
  <c r="AT40" i="30"/>
  <c r="AT39" i="30" s="1"/>
  <c r="AS40" i="30"/>
  <c r="AS47" i="30" s="1"/>
  <c r="AR40" i="30"/>
  <c r="AR52" i="30" s="1"/>
  <c r="X19" i="30" s="1"/>
  <c r="AQ40" i="30"/>
  <c r="AQ52" i="30" s="1"/>
  <c r="X18" i="30" s="1"/>
  <c r="AP40" i="30"/>
  <c r="AP52" i="30" s="1"/>
  <c r="X17" i="30" s="1"/>
  <c r="AN40" i="30"/>
  <c r="AN47" i="30" s="1"/>
  <c r="AL40" i="30"/>
  <c r="AL52" i="30" s="1"/>
  <c r="X13" i="30" s="1"/>
  <c r="AK40" i="30"/>
  <c r="AK52" i="30" s="1"/>
  <c r="X12" i="30" s="1"/>
  <c r="AI40" i="30"/>
  <c r="AI52" i="30" s="1"/>
  <c r="X10" i="30" s="1"/>
  <c r="AH40" i="30"/>
  <c r="AH52" i="30" s="1"/>
  <c r="X9" i="30" s="1"/>
  <c r="BD40" i="38"/>
  <c r="BD39" i="38" s="1"/>
  <c r="AR40" i="38"/>
  <c r="AR47" i="38" s="1"/>
  <c r="BN30" i="13"/>
  <c r="BC40" i="29"/>
  <c r="BC52" i="29" s="1"/>
  <c r="X30" i="29" s="1"/>
  <c r="BB40" i="29"/>
  <c r="BB47" i="29" s="1"/>
  <c r="AV40" i="29"/>
  <c r="AV52" i="29" s="1"/>
  <c r="X23" i="29" s="1"/>
  <c r="AT40" i="29"/>
  <c r="AT47" i="29" s="1"/>
  <c r="AN40" i="29"/>
  <c r="AN39" i="29" s="1"/>
  <c r="BC40" i="32"/>
  <c r="BC52" i="32" s="1"/>
  <c r="X30" i="32" s="1"/>
  <c r="AK40" i="32"/>
  <c r="AK47" i="32" s="1"/>
  <c r="BH40" i="33"/>
  <c r="BH52" i="33" s="1"/>
  <c r="X35" i="33" s="1"/>
  <c r="BC40" i="33"/>
  <c r="BC39" i="33" s="1"/>
  <c r="BB40" i="33"/>
  <c r="BB39" i="33" s="1"/>
  <c r="AL40" i="33"/>
  <c r="AL47" i="33" s="1"/>
  <c r="AH40" i="33"/>
  <c r="AH52" i="33" s="1"/>
  <c r="X9" i="33" s="1"/>
  <c r="AG40" i="33"/>
  <c r="AG39" i="33" s="1"/>
  <c r="X32" i="13"/>
  <c r="BE40" i="28"/>
  <c r="BE39" i="28" s="1"/>
  <c r="AX40" i="28"/>
  <c r="AX47" i="28" s="1"/>
  <c r="AV40" i="28"/>
  <c r="AV47" i="28" s="1"/>
  <c r="AM40" i="29"/>
  <c r="AM47" i="29" s="1"/>
  <c r="AX40" i="32"/>
  <c r="AX39" i="32" s="1"/>
  <c r="AP40" i="32"/>
  <c r="AP52" i="32" s="1"/>
  <c r="X17" i="32" s="1"/>
  <c r="AG40" i="32"/>
  <c r="AG39" i="32" s="1"/>
  <c r="BG40" i="33"/>
  <c r="BG47" i="33" s="1"/>
  <c r="AZ40" i="33"/>
  <c r="AZ47" i="33" s="1"/>
  <c r="AW40" i="33"/>
  <c r="AW52" i="33" s="1"/>
  <c r="X24" i="33" s="1"/>
  <c r="AT40" i="33"/>
  <c r="AT52" i="33" s="1"/>
  <c r="X21" i="33" s="1"/>
  <c r="AO40" i="33"/>
  <c r="AO47" i="33" s="1"/>
  <c r="AN40" i="33"/>
  <c r="AN47" i="33" s="1"/>
  <c r="AJ40" i="33"/>
  <c r="AJ52" i="33" s="1"/>
  <c r="X11" i="33" s="1"/>
  <c r="X33" i="13"/>
  <c r="X19" i="13"/>
  <c r="BF40" i="28"/>
  <c r="BF39" i="28" s="1"/>
  <c r="AU40" i="28"/>
  <c r="AU47" i="28" s="1"/>
  <c r="BN35" i="13"/>
  <c r="AX40" i="38"/>
  <c r="AX52" i="38" s="1"/>
  <c r="X25" i="38" s="1"/>
  <c r="BN23" i="13"/>
  <c r="BI40" i="38"/>
  <c r="BI52" i="38" s="1"/>
  <c r="X36" i="38" s="1"/>
  <c r="AX40" i="36"/>
  <c r="AX52" i="36" s="1"/>
  <c r="X25" i="36" s="1"/>
  <c r="AJ40" i="38"/>
  <c r="AJ39" i="38" s="1"/>
  <c r="CL12" i="13"/>
  <c r="CQ12" i="13" s="1"/>
  <c r="X15" i="13"/>
  <c r="BE40" i="35"/>
  <c r="BE52" i="35" s="1"/>
  <c r="X32" i="35" s="1"/>
  <c r="BC40" i="35"/>
  <c r="BC39" i="35" s="1"/>
  <c r="AY40" i="35"/>
  <c r="AY39" i="35" s="1"/>
  <c r="AW40" i="35"/>
  <c r="AW39" i="35" s="1"/>
  <c r="AU40" i="35"/>
  <c r="AU39" i="35" s="1"/>
  <c r="AM40" i="35"/>
  <c r="AM39" i="35" s="1"/>
  <c r="AL40" i="35"/>
  <c r="AL39" i="35" s="1"/>
  <c r="AG40" i="35"/>
  <c r="AG52" i="35" s="1"/>
  <c r="X8" i="35" s="1"/>
  <c r="BG40" i="36"/>
  <c r="BG47" i="36" s="1"/>
  <c r="AZ40" i="36"/>
  <c r="AZ52" i="36" s="1"/>
  <c r="X27" i="36" s="1"/>
  <c r="AY40" i="36"/>
  <c r="AY47" i="36" s="1"/>
  <c r="BC40" i="37"/>
  <c r="BC52" i="37" s="1"/>
  <c r="X30" i="37" s="1"/>
  <c r="AY40" i="37"/>
  <c r="AY52" i="37" s="1"/>
  <c r="X26" i="37" s="1"/>
  <c r="AT40" i="37"/>
  <c r="AT39" i="37" s="1"/>
  <c r="AV40" i="31"/>
  <c r="AV39" i="31" s="1"/>
  <c r="AR40" i="31"/>
  <c r="AR47" i="31" s="1"/>
  <c r="AM40" i="31"/>
  <c r="AM47" i="31" s="1"/>
  <c r="AK40" i="31"/>
  <c r="AK47" i="31" s="1"/>
  <c r="AG40" i="31"/>
  <c r="AG39" i="31" s="1"/>
  <c r="BJ40" i="29"/>
  <c r="BJ52" i="29" s="1"/>
  <c r="X37" i="29" s="1"/>
  <c r="BH40" i="29"/>
  <c r="BH39" i="29" s="1"/>
  <c r="BG40" i="29"/>
  <c r="BG39" i="29" s="1"/>
  <c r="BA40" i="29"/>
  <c r="BA52" i="29" s="1"/>
  <c r="X28" i="29" s="1"/>
  <c r="AX40" i="29"/>
  <c r="AX47" i="29" s="1"/>
  <c r="AU40" i="29"/>
  <c r="AU47" i="29" s="1"/>
  <c r="AQ40" i="29"/>
  <c r="AQ39" i="29" s="1"/>
  <c r="AL40" i="29"/>
  <c r="AL47" i="29" s="1"/>
  <c r="AK40" i="29"/>
  <c r="AK47" i="29" s="1"/>
  <c r="AJ40" i="29"/>
  <c r="AJ39" i="29" s="1"/>
  <c r="AI40" i="29"/>
  <c r="AI47" i="29" s="1"/>
  <c r="AH40" i="29"/>
  <c r="AH52" i="29" s="1"/>
  <c r="X9" i="29" s="1"/>
  <c r="BF40" i="32"/>
  <c r="BF47" i="32" s="1"/>
  <c r="BE40" i="32"/>
  <c r="BE52" i="32" s="1"/>
  <c r="X32" i="32" s="1"/>
  <c r="BD40" i="32"/>
  <c r="BD39" i="32" s="1"/>
  <c r="AY40" i="32"/>
  <c r="AY47" i="32" s="1"/>
  <c r="AR40" i="32"/>
  <c r="AR47" i="32" s="1"/>
  <c r="AQ40" i="32"/>
  <c r="AQ39" i="32" s="1"/>
  <c r="AM40" i="32"/>
  <c r="AM52" i="32" s="1"/>
  <c r="X14" i="32" s="1"/>
  <c r="AL40" i="32"/>
  <c r="AL39" i="32" s="1"/>
  <c r="AJ40" i="32"/>
  <c r="AJ39" i="32" s="1"/>
  <c r="BP28" i="13"/>
  <c r="AX40" i="35"/>
  <c r="AX39" i="35" s="1"/>
  <c r="AH40" i="35"/>
  <c r="AH39" i="35" s="1"/>
  <c r="BA40" i="37"/>
  <c r="BA52" i="37" s="1"/>
  <c r="X28" i="37" s="1"/>
  <c r="AX40" i="37"/>
  <c r="AX52" i="37" s="1"/>
  <c r="X25" i="37" s="1"/>
  <c r="AO40" i="37"/>
  <c r="AO52" i="37" s="1"/>
  <c r="X16" i="37" s="1"/>
  <c r="AH40" i="37"/>
  <c r="AH52" i="37" s="1"/>
  <c r="X9" i="37" s="1"/>
  <c r="AG40" i="37"/>
  <c r="AG39" i="37" s="1"/>
  <c r="BJ40" i="31"/>
  <c r="BJ47" i="31" s="1"/>
  <c r="BI40" i="31"/>
  <c r="BI47" i="31" s="1"/>
  <c r="BF40" i="31"/>
  <c r="BF52" i="31" s="1"/>
  <c r="X33" i="31" s="1"/>
  <c r="BG40" i="34"/>
  <c r="BG47" i="34" s="1"/>
  <c r="AY40" i="34"/>
  <c r="AY39" i="34" s="1"/>
  <c r="AX40" i="34"/>
  <c r="AX52" i="34" s="1"/>
  <c r="X25" i="34" s="1"/>
  <c r="AS40" i="34"/>
  <c r="AS47" i="34" s="1"/>
  <c r="AP40" i="34"/>
  <c r="AP47" i="34" s="1"/>
  <c r="AL40" i="34"/>
  <c r="AL52" i="34" s="1"/>
  <c r="X13" i="34" s="1"/>
  <c r="AK40" i="34"/>
  <c r="AK39" i="34" s="1"/>
  <c r="AH40" i="34"/>
  <c r="AH52" i="34" s="1"/>
  <c r="X9" i="34" s="1"/>
  <c r="AJ40" i="35"/>
  <c r="AJ39" i="35" s="1"/>
  <c r="BF40" i="36"/>
  <c r="BF52" i="36" s="1"/>
  <c r="X33" i="36" s="1"/>
  <c r="AU40" i="36"/>
  <c r="AU47" i="36" s="1"/>
  <c r="AC9" i="13"/>
  <c r="CN8" i="13"/>
  <c r="BR8" i="13" s="1"/>
  <c r="BD40" i="35"/>
  <c r="BD47" i="35" s="1"/>
  <c r="AB9" i="13"/>
  <c r="BH40" i="36"/>
  <c r="BH52" i="36" s="1"/>
  <c r="X35" i="36" s="1"/>
  <c r="AA9" i="13"/>
  <c r="Z10" i="13"/>
  <c r="BC40" i="38"/>
  <c r="BC39" i="38" s="1"/>
  <c r="AZ40" i="31"/>
  <c r="AZ39" i="31" s="1"/>
  <c r="AS40" i="31"/>
  <c r="AS47" i="31" s="1"/>
  <c r="AQ40" i="31"/>
  <c r="AQ47" i="31" s="1"/>
  <c r="BA40" i="35"/>
  <c r="AQ40" i="35"/>
  <c r="AO40" i="35"/>
  <c r="AK40" i="35"/>
  <c r="BD40" i="36"/>
  <c r="BA40" i="36"/>
  <c r="BJ40" i="37"/>
  <c r="BE40" i="37"/>
  <c r="AV40" i="37"/>
  <c r="AP40" i="37"/>
  <c r="AK40" i="37"/>
  <c r="BG40" i="31"/>
  <c r="BC40" i="31"/>
  <c r="BH40" i="34"/>
  <c r="BD40" i="34"/>
  <c r="BD39" i="34" s="1"/>
  <c r="BA40" i="34"/>
  <c r="AW40" i="34"/>
  <c r="AW39" i="34" s="1"/>
  <c r="AO40" i="34"/>
  <c r="AO52" i="34" s="1"/>
  <c r="X16" i="34" s="1"/>
  <c r="AJ40" i="34"/>
  <c r="AJ47" i="34" s="1"/>
  <c r="BJ40" i="35"/>
  <c r="BB40" i="35"/>
  <c r="AZ40" i="35"/>
  <c r="AV40" i="35"/>
  <c r="AR40" i="35"/>
  <c r="BB40" i="36"/>
  <c r="AV40" i="36"/>
  <c r="AV47" i="36" s="1"/>
  <c r="BB40" i="37"/>
  <c r="BD40" i="31"/>
  <c r="BJ40" i="34"/>
  <c r="BF40" i="34"/>
  <c r="BE40" i="34"/>
  <c r="AZ40" i="34"/>
  <c r="AU40" i="34"/>
  <c r="BH40" i="35"/>
  <c r="AS40" i="35"/>
  <c r="AP40" i="35"/>
  <c r="AI40" i="35"/>
  <c r="BJ40" i="36"/>
  <c r="AW40" i="36"/>
  <c r="AS40" i="36"/>
  <c r="BH40" i="37"/>
  <c r="AW40" i="37"/>
  <c r="AR40" i="37"/>
  <c r="AN40" i="37"/>
  <c r="AJ40" i="37"/>
  <c r="AI40" i="37"/>
  <c r="BH40" i="31"/>
  <c r="BB40" i="34"/>
  <c r="AV40" i="34"/>
  <c r="AV52" i="34" s="1"/>
  <c r="X23" i="34" s="1"/>
  <c r="AR40" i="34"/>
  <c r="AM40" i="34"/>
  <c r="AI40" i="34"/>
  <c r="BD40" i="37"/>
  <c r="BD39" i="37" s="1"/>
  <c r="BC40" i="34"/>
  <c r="BI40" i="35"/>
  <c r="BI39" i="35" s="1"/>
  <c r="BF40" i="35"/>
  <c r="AT40" i="35"/>
  <c r="AN40" i="35"/>
  <c r="BI40" i="36"/>
  <c r="BE40" i="36"/>
  <c r="AT40" i="36"/>
  <c r="AU40" i="37"/>
  <c r="AU39" i="37" s="1"/>
  <c r="AQ40" i="37"/>
  <c r="AM40" i="37"/>
  <c r="BE40" i="31"/>
  <c r="BI40" i="34"/>
  <c r="BI52" i="34" s="1"/>
  <c r="X36" i="34" s="1"/>
  <c r="AT40" i="34"/>
  <c r="AQ40" i="34"/>
  <c r="AQ52" i="34" s="1"/>
  <c r="X18" i="34" s="1"/>
  <c r="AN40" i="34"/>
  <c r="AG40" i="34"/>
  <c r="BP33" i="13"/>
  <c r="BN33" i="13"/>
  <c r="BP12" i="13"/>
  <c r="BN12" i="13"/>
  <c r="BP10" i="13"/>
  <c r="BN10" i="13"/>
  <c r="BA40" i="31"/>
  <c r="AY40" i="31"/>
  <c r="AX40" i="31"/>
  <c r="AW40" i="31"/>
  <c r="AU40" i="31"/>
  <c r="AO40" i="31"/>
  <c r="AN40" i="31"/>
  <c r="AJ40" i="31"/>
  <c r="AI40" i="31"/>
  <c r="AH40" i="31"/>
  <c r="AZ40" i="29"/>
  <c r="BJ40" i="32"/>
  <c r="BJ52" i="32" s="1"/>
  <c r="X37" i="32" s="1"/>
  <c r="BI40" i="32"/>
  <c r="BH40" i="32"/>
  <c r="BG40" i="32"/>
  <c r="BB40" i="32"/>
  <c r="BA40" i="32"/>
  <c r="AZ40" i="32"/>
  <c r="AW40" i="32"/>
  <c r="AV40" i="32"/>
  <c r="AV52" i="32" s="1"/>
  <c r="X23" i="32" s="1"/>
  <c r="AU40" i="32"/>
  <c r="AT40" i="32"/>
  <c r="BB40" i="31"/>
  <c r="BJ40" i="38"/>
  <c r="BB40" i="38"/>
  <c r="AZ40" i="38"/>
  <c r="AT40" i="38"/>
  <c r="AS40" i="38"/>
  <c r="AS39" i="38" s="1"/>
  <c r="AO40" i="38"/>
  <c r="AM40" i="38"/>
  <c r="AK40" i="38"/>
  <c r="AH40" i="38"/>
  <c r="AH39" i="38" s="1"/>
  <c r="AG40" i="38"/>
  <c r="AQ40" i="38"/>
  <c r="AS40" i="32"/>
  <c r="AO40" i="32"/>
  <c r="AN40" i="32"/>
  <c r="AH40" i="32"/>
  <c r="BF40" i="33"/>
  <c r="BE40" i="33"/>
  <c r="BD40" i="33"/>
  <c r="BA40" i="33"/>
  <c r="AY40" i="33"/>
  <c r="AV40" i="33"/>
  <c r="AR40" i="33"/>
  <c r="AP40" i="33"/>
  <c r="AK40" i="33"/>
  <c r="AI40" i="33"/>
  <c r="BG40" i="35"/>
  <c r="AZ40" i="37"/>
  <c r="AI40" i="32"/>
  <c r="AS40" i="33"/>
  <c r="AY40" i="28"/>
  <c r="AS40" i="37"/>
  <c r="AU40" i="33"/>
  <c r="BI40" i="33"/>
  <c r="AM40" i="33"/>
  <c r="AS40" i="29"/>
  <c r="AX40" i="33"/>
  <c r="BG40" i="37"/>
  <c r="BF40" i="37"/>
  <c r="BI40" i="29"/>
  <c r="BC40" i="28"/>
  <c r="BI40" i="37"/>
  <c r="AP40" i="31"/>
  <c r="AL40" i="37"/>
  <c r="BC40" i="36"/>
  <c r="AL40" i="31"/>
  <c r="AT40" i="31"/>
  <c r="CL26" i="13"/>
  <c r="CQ26" i="13" s="1"/>
  <c r="CL23" i="13"/>
  <c r="CL31" i="13" l="1"/>
  <c r="DB34" i="13"/>
  <c r="DB29" i="13"/>
  <c r="DB37" i="13"/>
  <c r="DB8" i="13"/>
  <c r="DB33" i="13"/>
  <c r="DB30" i="13"/>
  <c r="DB23" i="13"/>
  <c r="DB28" i="13"/>
  <c r="DB36" i="13"/>
  <c r="DB38" i="13"/>
  <c r="DB9" i="13"/>
  <c r="DB17" i="13"/>
  <c r="BN13" i="13"/>
  <c r="BN18" i="13"/>
  <c r="CK32" i="13"/>
  <c r="CL32" i="13" s="1"/>
  <c r="CQ32" i="13" s="1"/>
  <c r="DB35" i="13"/>
  <c r="BP20" i="13"/>
  <c r="CP8" i="13"/>
  <c r="BT8" i="13" s="1"/>
  <c r="AG52" i="29"/>
  <c r="X8" i="29" s="1"/>
  <c r="CC8" i="13"/>
  <c r="BD39" i="29"/>
  <c r="BD47" i="29"/>
  <c r="BC47" i="29"/>
  <c r="AM52" i="30"/>
  <c r="X14" i="30" s="1"/>
  <c r="AM39" i="30"/>
  <c r="BG52" i="33"/>
  <c r="X34" i="33" s="1"/>
  <c r="AL39" i="30"/>
  <c r="BJ47" i="28"/>
  <c r="AH39" i="28"/>
  <c r="BJ47" i="29"/>
  <c r="BG39" i="33"/>
  <c r="AX39" i="30"/>
  <c r="AQ52" i="28"/>
  <c r="X18" i="28" s="1"/>
  <c r="BC47" i="33"/>
  <c r="AX52" i="35"/>
  <c r="X25" i="35" s="1"/>
  <c r="BG47" i="28"/>
  <c r="AK52" i="34"/>
  <c r="X12" i="34" s="1"/>
  <c r="AG47" i="31"/>
  <c r="AG52" i="31"/>
  <c r="X8" i="31" s="1"/>
  <c r="BG39" i="28"/>
  <c r="BB47" i="28"/>
  <c r="BB39" i="28"/>
  <c r="AY39" i="32"/>
  <c r="BF39" i="29"/>
  <c r="CP9" i="13"/>
  <c r="BT9" i="13" s="1"/>
  <c r="CE9" i="13"/>
  <c r="CO9" i="13"/>
  <c r="BS9" i="13" s="1"/>
  <c r="CC9" i="13"/>
  <c r="CN9" i="13"/>
  <c r="BR9" i="13" s="1"/>
  <c r="CM9" i="13"/>
  <c r="BQ9" i="13" s="1"/>
  <c r="AK52" i="32"/>
  <c r="X12" i="32" s="1"/>
  <c r="AK39" i="32"/>
  <c r="AR52" i="32"/>
  <c r="X19" i="32" s="1"/>
  <c r="BJ52" i="33"/>
  <c r="X37" i="33" s="1"/>
  <c r="BI52" i="31"/>
  <c r="X36" i="31" s="1"/>
  <c r="BJ39" i="28"/>
  <c r="AI47" i="28"/>
  <c r="BI39" i="31"/>
  <c r="AK47" i="34"/>
  <c r="AX47" i="35"/>
  <c r="AS52" i="30"/>
  <c r="X20" i="30" s="1"/>
  <c r="BB47" i="30"/>
  <c r="BG52" i="34"/>
  <c r="X34" i="34" s="1"/>
  <c r="AL52" i="35"/>
  <c r="X13" i="35" s="1"/>
  <c r="AU39" i="30"/>
  <c r="BG39" i="34"/>
  <c r="AX47" i="36"/>
  <c r="AW47" i="38"/>
  <c r="AW52" i="38"/>
  <c r="X24" i="38" s="1"/>
  <c r="BG39" i="36"/>
  <c r="AX39" i="36"/>
  <c r="BF39" i="38"/>
  <c r="BD52" i="38"/>
  <c r="X31" i="38" s="1"/>
  <c r="BA39" i="30"/>
  <c r="BC39" i="32"/>
  <c r="AV52" i="28"/>
  <c r="X23" i="28" s="1"/>
  <c r="BA47" i="37"/>
  <c r="BC47" i="32"/>
  <c r="AR39" i="30"/>
  <c r="BA39" i="37"/>
  <c r="AJ47" i="35"/>
  <c r="AV39" i="38"/>
  <c r="AQ39" i="28"/>
  <c r="AG52" i="30"/>
  <c r="X8" i="30" s="1"/>
  <c r="BH39" i="30"/>
  <c r="AL47" i="30"/>
  <c r="AY47" i="38"/>
  <c r="BH47" i="30"/>
  <c r="BH47" i="28"/>
  <c r="AY52" i="38"/>
  <c r="X26" i="38" s="1"/>
  <c r="AW52" i="28"/>
  <c r="X24" i="28" s="1"/>
  <c r="BJ39" i="33"/>
  <c r="BH39" i="28"/>
  <c r="AW39" i="28"/>
  <c r="AG39" i="30"/>
  <c r="AW47" i="30"/>
  <c r="AW39" i="30"/>
  <c r="X30" i="13"/>
  <c r="AR39" i="38"/>
  <c r="BJ39" i="32"/>
  <c r="AK39" i="28"/>
  <c r="BJ39" i="29"/>
  <c r="AU47" i="30"/>
  <c r="BG52" i="36"/>
  <c r="X34" i="36" s="1"/>
  <c r="AN52" i="29"/>
  <c r="X15" i="29" s="1"/>
  <c r="AY47" i="29"/>
  <c r="AO52" i="33"/>
  <c r="X16" i="33" s="1"/>
  <c r="AQ47" i="30"/>
  <c r="AV47" i="32"/>
  <c r="AH47" i="28"/>
  <c r="BG47" i="38"/>
  <c r="AX39" i="28"/>
  <c r="BI39" i="28"/>
  <c r="AM52" i="29"/>
  <c r="X14" i="29" s="1"/>
  <c r="AP52" i="38"/>
  <c r="X17" i="38" s="1"/>
  <c r="BB39" i="30"/>
  <c r="AO39" i="29"/>
  <c r="AO39" i="30"/>
  <c r="AR39" i="32"/>
  <c r="AX52" i="32"/>
  <c r="X25" i="32" s="1"/>
  <c r="AX52" i="28"/>
  <c r="X25" i="28" s="1"/>
  <c r="BC39" i="37"/>
  <c r="AJ39" i="28"/>
  <c r="AP47" i="38"/>
  <c r="AG52" i="28"/>
  <c r="X8" i="28" s="1"/>
  <c r="BA47" i="30"/>
  <c r="AX47" i="32"/>
  <c r="AN52" i="33"/>
  <c r="X15" i="33" s="1"/>
  <c r="AR47" i="30"/>
  <c r="BD47" i="38"/>
  <c r="AN52" i="28"/>
  <c r="X15" i="28" s="1"/>
  <c r="AN52" i="38"/>
  <c r="X15" i="38" s="1"/>
  <c r="AN39" i="33"/>
  <c r="AQ39" i="30"/>
  <c r="AK52" i="28"/>
  <c r="X12" i="28" s="1"/>
  <c r="BE39" i="35"/>
  <c r="AY52" i="29"/>
  <c r="X26" i="29" s="1"/>
  <c r="BD47" i="32"/>
  <c r="AO52" i="30"/>
  <c r="X16" i="30" s="1"/>
  <c r="AR52" i="38"/>
  <c r="X19" i="38" s="1"/>
  <c r="AR52" i="29"/>
  <c r="X19" i="29" s="1"/>
  <c r="BH39" i="33"/>
  <c r="AS39" i="31"/>
  <c r="AP47" i="32"/>
  <c r="AP47" i="30"/>
  <c r="BG39" i="38"/>
  <c r="AY47" i="30"/>
  <c r="AX39" i="29"/>
  <c r="AP39" i="30"/>
  <c r="AJ47" i="32"/>
  <c r="AP39" i="32"/>
  <c r="AL47" i="35"/>
  <c r="BF47" i="28"/>
  <c r="AQ39" i="33"/>
  <c r="BF52" i="28"/>
  <c r="X33" i="28" s="1"/>
  <c r="AG39" i="29"/>
  <c r="AG47" i="32"/>
  <c r="AY52" i="30"/>
  <c r="X26" i="30" s="1"/>
  <c r="BJ47" i="30"/>
  <c r="AZ47" i="30"/>
  <c r="BF39" i="32"/>
  <c r="AG52" i="32"/>
  <c r="X8" i="32" s="1"/>
  <c r="AK52" i="31"/>
  <c r="X12" i="31" s="1"/>
  <c r="BE39" i="30"/>
  <c r="BJ52" i="30"/>
  <c r="X37" i="30" s="1"/>
  <c r="AZ39" i="30"/>
  <c r="AJ52" i="30"/>
  <c r="X11" i="30" s="1"/>
  <c r="AQ47" i="33"/>
  <c r="BI39" i="30"/>
  <c r="BH47" i="33"/>
  <c r="AK39" i="31"/>
  <c r="AN39" i="30"/>
  <c r="BF52" i="29"/>
  <c r="X33" i="29" s="1"/>
  <c r="AJ47" i="30"/>
  <c r="BC39" i="30"/>
  <c r="BH39" i="38"/>
  <c r="BI52" i="30"/>
  <c r="X36" i="30" s="1"/>
  <c r="AH39" i="37"/>
  <c r="BE47" i="30"/>
  <c r="AN52" i="30"/>
  <c r="X15" i="30" s="1"/>
  <c r="BC47" i="30"/>
  <c r="X37" i="13"/>
  <c r="X14" i="13"/>
  <c r="X18" i="13"/>
  <c r="X20" i="13"/>
  <c r="X29" i="13"/>
  <c r="X34" i="13"/>
  <c r="X27" i="13"/>
  <c r="X36" i="13"/>
  <c r="X28" i="13"/>
  <c r="X31" i="13"/>
  <c r="X26" i="13"/>
  <c r="CM8" i="13"/>
  <c r="AG39" i="35"/>
  <c r="CE8" i="13"/>
  <c r="AG47" i="35"/>
  <c r="BI47" i="28"/>
  <c r="BE47" i="29"/>
  <c r="AT52" i="28"/>
  <c r="X21" i="28" s="1"/>
  <c r="BE52" i="38"/>
  <c r="X32" i="38" s="1"/>
  <c r="BB47" i="33"/>
  <c r="BE52" i="29"/>
  <c r="X32" i="29" s="1"/>
  <c r="AV47" i="38"/>
  <c r="AX47" i="37"/>
  <c r="AJ39" i="34"/>
  <c r="AL47" i="32"/>
  <c r="AQ52" i="31"/>
  <c r="X18" i="31" s="1"/>
  <c r="AZ47" i="28"/>
  <c r="AH47" i="37"/>
  <c r="AJ52" i="34"/>
  <c r="X11" i="34" s="1"/>
  <c r="BB52" i="33"/>
  <c r="X29" i="33" s="1"/>
  <c r="AL52" i="32"/>
  <c r="X13" i="32" s="1"/>
  <c r="AY47" i="34"/>
  <c r="AZ39" i="28"/>
  <c r="AT47" i="28"/>
  <c r="AI52" i="28"/>
  <c r="X10" i="28" s="1"/>
  <c r="AS39" i="30"/>
  <c r="BD39" i="30"/>
  <c r="AI47" i="38"/>
  <c r="AI39" i="38"/>
  <c r="BF39" i="31"/>
  <c r="BD52" i="30"/>
  <c r="X31" i="30" s="1"/>
  <c r="AT39" i="33"/>
  <c r="AT52" i="29"/>
  <c r="X21" i="29" s="1"/>
  <c r="AJ47" i="33"/>
  <c r="AV39" i="32"/>
  <c r="BF47" i="31"/>
  <c r="AH52" i="35"/>
  <c r="X9" i="35" s="1"/>
  <c r="BE47" i="28"/>
  <c r="BA52" i="28"/>
  <c r="X28" i="28" s="1"/>
  <c r="AG47" i="28"/>
  <c r="AJ39" i="33"/>
  <c r="AL47" i="28"/>
  <c r="AL47" i="38"/>
  <c r="AH39" i="33"/>
  <c r="BA47" i="28"/>
  <c r="AO39" i="37"/>
  <c r="AH47" i="35"/>
  <c r="AX47" i="34"/>
  <c r="BE52" i="28"/>
  <c r="X32" i="28" s="1"/>
  <c r="AT39" i="29"/>
  <c r="BD39" i="28"/>
  <c r="BI47" i="38"/>
  <c r="AV39" i="28"/>
  <c r="AT47" i="33"/>
  <c r="AH47" i="33"/>
  <c r="AH39" i="30"/>
  <c r="BD52" i="28"/>
  <c r="X31" i="28" s="1"/>
  <c r="AH47" i="30"/>
  <c r="AS52" i="31"/>
  <c r="X20" i="31" s="1"/>
  <c r="X22" i="13"/>
  <c r="AL39" i="28"/>
  <c r="AL39" i="38"/>
  <c r="AH47" i="34"/>
  <c r="AO47" i="29"/>
  <c r="BE47" i="38"/>
  <c r="AZ47" i="36"/>
  <c r="AK47" i="30"/>
  <c r="AS39" i="28"/>
  <c r="AX47" i="38"/>
  <c r="BC52" i="35"/>
  <c r="X30" i="35" s="1"/>
  <c r="AZ39" i="36"/>
  <c r="AS47" i="28"/>
  <c r="AJ52" i="29"/>
  <c r="X11" i="29" s="1"/>
  <c r="AX39" i="38"/>
  <c r="BC47" i="35"/>
  <c r="AO39" i="28"/>
  <c r="AY47" i="37"/>
  <c r="BB39" i="29"/>
  <c r="AU39" i="38"/>
  <c r="AW47" i="29"/>
  <c r="AQ47" i="32"/>
  <c r="AZ39" i="33"/>
  <c r="BB52" i="29"/>
  <c r="X29" i="29" s="1"/>
  <c r="BH47" i="29"/>
  <c r="AY39" i="37"/>
  <c r="AW52" i="29"/>
  <c r="X24" i="29" s="1"/>
  <c r="AO47" i="28"/>
  <c r="AR52" i="28"/>
  <c r="X19" i="28" s="1"/>
  <c r="AQ52" i="32"/>
  <c r="X18" i="32" s="1"/>
  <c r="AZ52" i="33"/>
  <c r="X27" i="33" s="1"/>
  <c r="BG39" i="30"/>
  <c r="BH52" i="29"/>
  <c r="X35" i="29" s="1"/>
  <c r="AU47" i="38"/>
  <c r="AP39" i="28"/>
  <c r="AK39" i="30"/>
  <c r="AJ47" i="38"/>
  <c r="AU52" i="28"/>
  <c r="X22" i="28" s="1"/>
  <c r="BC39" i="29"/>
  <c r="AR47" i="28"/>
  <c r="AJ47" i="29"/>
  <c r="AV39" i="30"/>
  <c r="BD47" i="37"/>
  <c r="BC47" i="38"/>
  <c r="CO8" i="13"/>
  <c r="BS8" i="13" s="1"/>
  <c r="BC47" i="37"/>
  <c r="AG52" i="33"/>
  <c r="X8" i="33" s="1"/>
  <c r="AN47" i="29"/>
  <c r="AG47" i="33"/>
  <c r="AY52" i="32"/>
  <c r="X26" i="32" s="1"/>
  <c r="AP47" i="28"/>
  <c r="AQ47" i="29"/>
  <c r="AX47" i="30"/>
  <c r="AZ47" i="31"/>
  <c r="AN47" i="28"/>
  <c r="AZ52" i="31"/>
  <c r="X27" i="31" s="1"/>
  <c r="BJ39" i="31"/>
  <c r="AP39" i="29"/>
  <c r="AN47" i="38"/>
  <c r="BD52" i="37"/>
  <c r="X31" i="37" s="1"/>
  <c r="AM52" i="31"/>
  <c r="X14" i="31" s="1"/>
  <c r="AJ52" i="28"/>
  <c r="X11" i="28" s="1"/>
  <c r="AP47" i="29"/>
  <c r="AM39" i="31"/>
  <c r="AM47" i="35"/>
  <c r="BA47" i="29"/>
  <c r="X12" i="13"/>
  <c r="AM52" i="35"/>
  <c r="X14" i="35" s="1"/>
  <c r="AV47" i="31"/>
  <c r="AJ52" i="38"/>
  <c r="X11" i="38" s="1"/>
  <c r="AU39" i="28"/>
  <c r="X13" i="13"/>
  <c r="AK52" i="29"/>
  <c r="X12" i="29" s="1"/>
  <c r="AS47" i="38"/>
  <c r="BE47" i="35"/>
  <c r="AK39" i="29"/>
  <c r="BF52" i="38"/>
  <c r="X33" i="38" s="1"/>
  <c r="BH47" i="38"/>
  <c r="AV47" i="29"/>
  <c r="AR39" i="29"/>
  <c r="BC52" i="38"/>
  <c r="X30" i="38" s="1"/>
  <c r="AL39" i="29"/>
  <c r="AV47" i="30"/>
  <c r="BG47" i="30"/>
  <c r="AY47" i="35"/>
  <c r="BE39" i="32"/>
  <c r="AM39" i="29"/>
  <c r="AQ52" i="29"/>
  <c r="X18" i="29" s="1"/>
  <c r="AO39" i="33"/>
  <c r="AJ52" i="35"/>
  <c r="X11" i="35" s="1"/>
  <c r="AL52" i="29"/>
  <c r="X13" i="29" s="1"/>
  <c r="AV52" i="31"/>
  <c r="X23" i="31" s="1"/>
  <c r="BI39" i="38"/>
  <c r="BC52" i="33"/>
  <c r="X30" i="33" s="1"/>
  <c r="BD52" i="32"/>
  <c r="X31" i="32" s="1"/>
  <c r="AG47" i="37"/>
  <c r="AW39" i="33"/>
  <c r="AQ39" i="31"/>
  <c r="BA47" i="38"/>
  <c r="BF39" i="30"/>
  <c r="AG44" i="30"/>
  <c r="AM47" i="28"/>
  <c r="AV39" i="29"/>
  <c r="AW47" i="33"/>
  <c r="BA52" i="38"/>
  <c r="X28" i="38" s="1"/>
  <c r="BD39" i="35"/>
  <c r="AL39" i="33"/>
  <c r="AM52" i="28"/>
  <c r="X14" i="28" s="1"/>
  <c r="X16" i="13"/>
  <c r="X24" i="13"/>
  <c r="AL47" i="34"/>
  <c r="BD52" i="35"/>
  <c r="X31" i="35" s="1"/>
  <c r="AL52" i="33"/>
  <c r="X13" i="33" s="1"/>
  <c r="AI39" i="30"/>
  <c r="AI52" i="29"/>
  <c r="X10" i="29" s="1"/>
  <c r="AL39" i="34"/>
  <c r="AY52" i="36"/>
  <c r="X26" i="36" s="1"/>
  <c r="AT47" i="30"/>
  <c r="AI47" i="30"/>
  <c r="BJ52" i="31"/>
  <c r="X37" i="31" s="1"/>
  <c r="AT52" i="30"/>
  <c r="X21" i="30" s="1"/>
  <c r="AM47" i="32"/>
  <c r="BF47" i="30"/>
  <c r="AM39" i="32"/>
  <c r="X11" i="13"/>
  <c r="X21" i="13"/>
  <c r="X23" i="13"/>
  <c r="AJ52" i="32"/>
  <c r="X11" i="32" s="1"/>
  <c r="AI39" i="29"/>
  <c r="AO47" i="37"/>
  <c r="AU47" i="35"/>
  <c r="AG52" i="37"/>
  <c r="X8" i="37" s="1"/>
  <c r="AT52" i="37"/>
  <c r="X21" i="37" s="1"/>
  <c r="AU52" i="35"/>
  <c r="X22" i="35" s="1"/>
  <c r="AR39" i="31"/>
  <c r="BE47" i="32"/>
  <c r="AU52" i="29"/>
  <c r="X22" i="29" s="1"/>
  <c r="AT47" i="37"/>
  <c r="AU52" i="36"/>
  <c r="X22" i="36" s="1"/>
  <c r="AW47" i="35"/>
  <c r="AR52" i="31"/>
  <c r="X19" i="31" s="1"/>
  <c r="AS39" i="34"/>
  <c r="BG52" i="29"/>
  <c r="X34" i="29" s="1"/>
  <c r="AU39" i="29"/>
  <c r="BG47" i="29"/>
  <c r="AP52" i="34"/>
  <c r="X17" i="34" s="1"/>
  <c r="AU39" i="36"/>
  <c r="AW52" i="35"/>
  <c r="X24" i="35" s="1"/>
  <c r="BF47" i="36"/>
  <c r="AH47" i="29"/>
  <c r="AG44" i="28"/>
  <c r="AX52" i="29"/>
  <c r="X25" i="29" s="1"/>
  <c r="AP39" i="34"/>
  <c r="BF39" i="36"/>
  <c r="AX39" i="34"/>
  <c r="AY52" i="35"/>
  <c r="X26" i="35" s="1"/>
  <c r="AH39" i="29"/>
  <c r="BA39" i="29"/>
  <c r="BF52" i="32"/>
  <c r="X33" i="32" s="1"/>
  <c r="AG44" i="29"/>
  <c r="AY39" i="36"/>
  <c r="BH47" i="36"/>
  <c r="BZ10" i="13"/>
  <c r="AC10" i="13"/>
  <c r="AB10" i="13"/>
  <c r="Z11" i="13"/>
  <c r="AA10" i="13"/>
  <c r="AD10" i="13"/>
  <c r="AS52" i="34"/>
  <c r="X20" i="34" s="1"/>
  <c r="AG44" i="38"/>
  <c r="AY52" i="34"/>
  <c r="X26" i="34" s="1"/>
  <c r="BH39" i="36"/>
  <c r="AH39" i="34"/>
  <c r="AX39" i="37"/>
  <c r="AG44" i="32"/>
  <c r="AS52" i="38"/>
  <c r="X20" i="38" s="1"/>
  <c r="AW47" i="32"/>
  <c r="AW52" i="32"/>
  <c r="X24" i="32" s="1"/>
  <c r="AW39" i="32"/>
  <c r="AQ52" i="37"/>
  <c r="X18" i="37" s="1"/>
  <c r="AQ47" i="37"/>
  <c r="AQ39" i="37"/>
  <c r="AP39" i="33"/>
  <c r="AP52" i="33"/>
  <c r="X17" i="33" s="1"/>
  <c r="AP47" i="33"/>
  <c r="BJ52" i="38"/>
  <c r="X37" i="38" s="1"/>
  <c r="BJ39" i="38"/>
  <c r="BJ47" i="38"/>
  <c r="AJ39" i="37"/>
  <c r="AJ47" i="37"/>
  <c r="AJ52" i="37"/>
  <c r="X11" i="37" s="1"/>
  <c r="BB47" i="36"/>
  <c r="BB52" i="36"/>
  <c r="X29" i="36" s="1"/>
  <c r="BB39" i="36"/>
  <c r="AZ39" i="37"/>
  <c r="AZ52" i="37"/>
  <c r="X27" i="37" s="1"/>
  <c r="AZ47" i="37"/>
  <c r="AN47" i="32"/>
  <c r="AN39" i="32"/>
  <c r="AN52" i="32"/>
  <c r="X15" i="32" s="1"/>
  <c r="AO47" i="38"/>
  <c r="AO52" i="38"/>
  <c r="X16" i="38" s="1"/>
  <c r="AO39" i="38"/>
  <c r="AN39" i="34"/>
  <c r="AN47" i="34"/>
  <c r="AN52" i="34"/>
  <c r="X15" i="34" s="1"/>
  <c r="AN52" i="37"/>
  <c r="X15" i="37" s="1"/>
  <c r="AN39" i="37"/>
  <c r="AN47" i="37"/>
  <c r="AK39" i="33"/>
  <c r="AK47" i="33"/>
  <c r="AK52" i="33"/>
  <c r="X12" i="33" s="1"/>
  <c r="AX52" i="31"/>
  <c r="X25" i="31" s="1"/>
  <c r="AX47" i="31"/>
  <c r="AX39" i="31"/>
  <c r="AK52" i="37"/>
  <c r="X12" i="37" s="1"/>
  <c r="AK47" i="37"/>
  <c r="AK39" i="37"/>
  <c r="AG39" i="34"/>
  <c r="AG47" i="34"/>
  <c r="AG52" i="34"/>
  <c r="X8" i="34" s="1"/>
  <c r="AZ52" i="35"/>
  <c r="X27" i="35" s="1"/>
  <c r="AZ39" i="35"/>
  <c r="AZ47" i="35"/>
  <c r="X35" i="13"/>
  <c r="AR39" i="33"/>
  <c r="AR52" i="33"/>
  <c r="X19" i="33" s="1"/>
  <c r="AR47" i="33"/>
  <c r="BA39" i="32"/>
  <c r="BA52" i="32"/>
  <c r="X28" i="32" s="1"/>
  <c r="BA47" i="32"/>
  <c r="AI47" i="31"/>
  <c r="AI52" i="31"/>
  <c r="X10" i="31" s="1"/>
  <c r="AI39" i="31"/>
  <c r="BA52" i="31"/>
  <c r="X28" i="31" s="1"/>
  <c r="BA39" i="31"/>
  <c r="BA47" i="31"/>
  <c r="BF47" i="35"/>
  <c r="BF52" i="35"/>
  <c r="X33" i="35" s="1"/>
  <c r="BF39" i="35"/>
  <c r="AI39" i="34"/>
  <c r="AI47" i="34"/>
  <c r="AI52" i="34"/>
  <c r="X10" i="34" s="1"/>
  <c r="AW47" i="36"/>
  <c r="AW39" i="36"/>
  <c r="AW52" i="36"/>
  <c r="X24" i="36" s="1"/>
  <c r="AI47" i="35"/>
  <c r="AI52" i="35"/>
  <c r="X10" i="35" s="1"/>
  <c r="AI39" i="35"/>
  <c r="AZ39" i="34"/>
  <c r="AZ47" i="34"/>
  <c r="BB47" i="35"/>
  <c r="BB52" i="35"/>
  <c r="X29" i="35" s="1"/>
  <c r="BB39" i="35"/>
  <c r="AV52" i="37"/>
  <c r="X23" i="37" s="1"/>
  <c r="AV39" i="37"/>
  <c r="AV47" i="37"/>
  <c r="AO52" i="35"/>
  <c r="X16" i="35" s="1"/>
  <c r="AO39" i="35"/>
  <c r="AO47" i="35"/>
  <c r="AO47" i="34"/>
  <c r="AG44" i="33"/>
  <c r="AM47" i="33"/>
  <c r="AM52" i="33"/>
  <c r="X14" i="33" s="1"/>
  <c r="AM39" i="33"/>
  <c r="AV39" i="33"/>
  <c r="AV52" i="33"/>
  <c r="X23" i="33" s="1"/>
  <c r="AV47" i="33"/>
  <c r="AO47" i="32"/>
  <c r="AO52" i="32"/>
  <c r="X16" i="32" s="1"/>
  <c r="AO39" i="32"/>
  <c r="BB47" i="32"/>
  <c r="BB39" i="32"/>
  <c r="BB52" i="32"/>
  <c r="X29" i="32" s="1"/>
  <c r="AJ47" i="31"/>
  <c r="AJ52" i="31"/>
  <c r="X11" i="31" s="1"/>
  <c r="AJ39" i="31"/>
  <c r="AQ39" i="34"/>
  <c r="AQ47" i="34"/>
  <c r="BI47" i="35"/>
  <c r="BI52" i="35"/>
  <c r="X36" i="35" s="1"/>
  <c r="AM47" i="34"/>
  <c r="AM39" i="34"/>
  <c r="AM52" i="34"/>
  <c r="X14" i="34" s="1"/>
  <c r="AR39" i="37"/>
  <c r="AR47" i="37"/>
  <c r="AR52" i="37"/>
  <c r="X19" i="37" s="1"/>
  <c r="AP39" i="35"/>
  <c r="AP52" i="35"/>
  <c r="X17" i="35" s="1"/>
  <c r="AP47" i="35"/>
  <c r="BE39" i="34"/>
  <c r="BE47" i="34"/>
  <c r="BE52" i="34"/>
  <c r="X32" i="34" s="1"/>
  <c r="BC39" i="31"/>
  <c r="BC47" i="31"/>
  <c r="BC52" i="31"/>
  <c r="X30" i="31" s="1"/>
  <c r="BE52" i="37"/>
  <c r="X32" i="37" s="1"/>
  <c r="BE39" i="37"/>
  <c r="BE47" i="37"/>
  <c r="AQ39" i="35"/>
  <c r="AQ52" i="35"/>
  <c r="X18" i="35" s="1"/>
  <c r="AQ47" i="35"/>
  <c r="AS39" i="33"/>
  <c r="AS52" i="33"/>
  <c r="X20" i="33" s="1"/>
  <c r="AS47" i="33"/>
  <c r="AN47" i="35"/>
  <c r="AN39" i="35"/>
  <c r="AN52" i="35"/>
  <c r="X15" i="35" s="1"/>
  <c r="AI47" i="37"/>
  <c r="AI39" i="37"/>
  <c r="AI52" i="37"/>
  <c r="X10" i="37" s="1"/>
  <c r="AI47" i="32"/>
  <c r="AI52" i="32"/>
  <c r="X10" i="32" s="1"/>
  <c r="AI39" i="32"/>
  <c r="AZ47" i="32"/>
  <c r="AZ39" i="32"/>
  <c r="AZ52" i="32"/>
  <c r="X27" i="32" s="1"/>
  <c r="AT47" i="35"/>
  <c r="AT52" i="35"/>
  <c r="X21" i="35" s="1"/>
  <c r="AT39" i="35"/>
  <c r="BJ39" i="36"/>
  <c r="BJ52" i="36"/>
  <c r="X37" i="36" s="1"/>
  <c r="BJ47" i="36"/>
  <c r="BA39" i="35"/>
  <c r="BA52" i="35"/>
  <c r="X28" i="35" s="1"/>
  <c r="BA47" i="35"/>
  <c r="BI47" i="33"/>
  <c r="BI39" i="33"/>
  <c r="BI52" i="33"/>
  <c r="X36" i="33" s="1"/>
  <c r="AS47" i="32"/>
  <c r="AS39" i="32"/>
  <c r="AS52" i="32"/>
  <c r="X20" i="32" s="1"/>
  <c r="AT52" i="38"/>
  <c r="X21" i="38" s="1"/>
  <c r="AT39" i="38"/>
  <c r="AT47" i="38"/>
  <c r="AN47" i="31"/>
  <c r="AN39" i="31"/>
  <c r="AN52" i="31"/>
  <c r="X15" i="31" s="1"/>
  <c r="AT47" i="34"/>
  <c r="AT39" i="34"/>
  <c r="AT52" i="34"/>
  <c r="X21" i="34" s="1"/>
  <c r="AW39" i="37"/>
  <c r="AW47" i="37"/>
  <c r="AW52" i="37"/>
  <c r="X24" i="37" s="1"/>
  <c r="AR52" i="35"/>
  <c r="X19" i="35" s="1"/>
  <c r="AR39" i="35"/>
  <c r="AR47" i="35"/>
  <c r="BG47" i="31"/>
  <c r="BG39" i="31"/>
  <c r="BG52" i="31"/>
  <c r="X34" i="31" s="1"/>
  <c r="BJ52" i="37"/>
  <c r="X37" i="37" s="1"/>
  <c r="BJ39" i="37"/>
  <c r="BJ47" i="37"/>
  <c r="AO39" i="34"/>
  <c r="BI39" i="29"/>
  <c r="BI47" i="29"/>
  <c r="BI52" i="29"/>
  <c r="X36" i="29" s="1"/>
  <c r="AU47" i="33"/>
  <c r="AU39" i="33"/>
  <c r="AU52" i="33"/>
  <c r="X22" i="33" s="1"/>
  <c r="BA52" i="33"/>
  <c r="X28" i="33" s="1"/>
  <c r="BA39" i="33"/>
  <c r="BA47" i="33"/>
  <c r="AQ47" i="38"/>
  <c r="AQ39" i="38"/>
  <c r="AQ52" i="38"/>
  <c r="X18" i="38" s="1"/>
  <c r="AZ52" i="38"/>
  <c r="X27" i="38" s="1"/>
  <c r="AZ47" i="38"/>
  <c r="AZ39" i="38"/>
  <c r="AT52" i="32"/>
  <c r="X21" i="32" s="1"/>
  <c r="AT39" i="32"/>
  <c r="AT47" i="32"/>
  <c r="BH47" i="32"/>
  <c r="BH39" i="32"/>
  <c r="BH52" i="32"/>
  <c r="X35" i="32" s="1"/>
  <c r="AO47" i="31"/>
  <c r="AO39" i="31"/>
  <c r="AO52" i="31"/>
  <c r="X16" i="31" s="1"/>
  <c r="BI39" i="34"/>
  <c r="BI47" i="34"/>
  <c r="AT47" i="36"/>
  <c r="AT52" i="36"/>
  <c r="X21" i="36" s="1"/>
  <c r="AT39" i="36"/>
  <c r="BC52" i="34"/>
  <c r="X30" i="34" s="1"/>
  <c r="BC47" i="34"/>
  <c r="BC39" i="34"/>
  <c r="AV39" i="34"/>
  <c r="AV47" i="34"/>
  <c r="BH39" i="37"/>
  <c r="BH52" i="37"/>
  <c r="X35" i="37" s="1"/>
  <c r="BH47" i="37"/>
  <c r="BH52" i="35"/>
  <c r="X35" i="35" s="1"/>
  <c r="BH39" i="35"/>
  <c r="BH47" i="35"/>
  <c r="BJ52" i="34"/>
  <c r="X37" i="34" s="1"/>
  <c r="BJ39" i="34"/>
  <c r="BJ47" i="34"/>
  <c r="AV39" i="36"/>
  <c r="AV52" i="36"/>
  <c r="X23" i="36" s="1"/>
  <c r="AV52" i="35"/>
  <c r="X23" i="35" s="1"/>
  <c r="AV39" i="35"/>
  <c r="AV47" i="35"/>
  <c r="AW52" i="34"/>
  <c r="X24" i="34" s="1"/>
  <c r="AW47" i="34"/>
  <c r="AX39" i="33"/>
  <c r="AX47" i="33"/>
  <c r="AX52" i="33"/>
  <c r="X25" i="33" s="1"/>
  <c r="AK52" i="38"/>
  <c r="X12" i="38" s="1"/>
  <c r="AK47" i="38"/>
  <c r="AK39" i="38"/>
  <c r="AZ52" i="29"/>
  <c r="X27" i="29" s="1"/>
  <c r="AZ47" i="29"/>
  <c r="AZ39" i="29"/>
  <c r="BD47" i="36"/>
  <c r="BD39" i="36"/>
  <c r="BD52" i="36"/>
  <c r="X31" i="36" s="1"/>
  <c r="AH47" i="32"/>
  <c r="AH39" i="32"/>
  <c r="AH52" i="32"/>
  <c r="X9" i="32" s="1"/>
  <c r="AH52" i="31"/>
  <c r="X9" i="31" s="1"/>
  <c r="AH47" i="31"/>
  <c r="AH39" i="31"/>
  <c r="AS47" i="36"/>
  <c r="AS39" i="36"/>
  <c r="AS52" i="36"/>
  <c r="X20" i="36" s="1"/>
  <c r="AP52" i="37"/>
  <c r="X17" i="37" s="1"/>
  <c r="AP47" i="37"/>
  <c r="AP39" i="37"/>
  <c r="BC52" i="28"/>
  <c r="X30" i="28" s="1"/>
  <c r="BC47" i="28"/>
  <c r="BC39" i="28"/>
  <c r="AY39" i="33"/>
  <c r="AY52" i="33"/>
  <c r="X26" i="33" s="1"/>
  <c r="AY47" i="33"/>
  <c r="AR47" i="34"/>
  <c r="AR52" i="34"/>
  <c r="X19" i="34" s="1"/>
  <c r="AR39" i="34"/>
  <c r="AS39" i="35"/>
  <c r="AS47" i="35"/>
  <c r="AS52" i="35"/>
  <c r="X20" i="35" s="1"/>
  <c r="BF39" i="34"/>
  <c r="BF47" i="34"/>
  <c r="BF52" i="34"/>
  <c r="X33" i="34" s="1"/>
  <c r="AZ52" i="34"/>
  <c r="X27" i="34" s="1"/>
  <c r="BF39" i="37"/>
  <c r="BF47" i="37"/>
  <c r="BF52" i="37"/>
  <c r="X33" i="37" s="1"/>
  <c r="AS47" i="37"/>
  <c r="AS39" i="37"/>
  <c r="AS52" i="37"/>
  <c r="X20" i="37" s="1"/>
  <c r="BD52" i="33"/>
  <c r="X31" i="33" s="1"/>
  <c r="BD39" i="33"/>
  <c r="BD47" i="33"/>
  <c r="AG39" i="38"/>
  <c r="AG47" i="38"/>
  <c r="AG52" i="38"/>
  <c r="X8" i="38" s="1"/>
  <c r="BB39" i="38"/>
  <c r="BB47" i="38"/>
  <c r="BB52" i="38"/>
  <c r="X29" i="38" s="1"/>
  <c r="BB39" i="31"/>
  <c r="BB52" i="31"/>
  <c r="X29" i="31" s="1"/>
  <c r="BB47" i="31"/>
  <c r="AU39" i="32"/>
  <c r="AU47" i="32"/>
  <c r="AU52" i="32"/>
  <c r="X22" i="32" s="1"/>
  <c r="BI47" i="32"/>
  <c r="BI52" i="32"/>
  <c r="X36" i="32" s="1"/>
  <c r="BI39" i="32"/>
  <c r="AU39" i="31"/>
  <c r="AU52" i="31"/>
  <c r="X22" i="31" s="1"/>
  <c r="AU47" i="31"/>
  <c r="BE39" i="31"/>
  <c r="BE47" i="31"/>
  <c r="BE52" i="31"/>
  <c r="X32" i="31" s="1"/>
  <c r="BE47" i="36"/>
  <c r="BE39" i="36"/>
  <c r="BE52" i="36"/>
  <c r="X32" i="36" s="1"/>
  <c r="BB52" i="34"/>
  <c r="X29" i="34" s="1"/>
  <c r="BB47" i="34"/>
  <c r="BB39" i="34"/>
  <c r="AU47" i="34"/>
  <c r="AU39" i="34"/>
  <c r="AU52" i="34"/>
  <c r="X22" i="34" s="1"/>
  <c r="BD47" i="31"/>
  <c r="BD39" i="31"/>
  <c r="BD52" i="31"/>
  <c r="X31" i="31" s="1"/>
  <c r="AG44" i="35"/>
  <c r="BA39" i="34"/>
  <c r="BA52" i="34"/>
  <c r="X28" i="34" s="1"/>
  <c r="BA47" i="34"/>
  <c r="BF47" i="33"/>
  <c r="BF52" i="33"/>
  <c r="X33" i="33" s="1"/>
  <c r="BF39" i="33"/>
  <c r="BH47" i="34"/>
  <c r="BH52" i="34"/>
  <c r="X35" i="34" s="1"/>
  <c r="BH39" i="34"/>
  <c r="AS47" i="29"/>
  <c r="AS39" i="29"/>
  <c r="AS52" i="29"/>
  <c r="X20" i="29" s="1"/>
  <c r="AM39" i="38"/>
  <c r="AM52" i="38"/>
  <c r="X14" i="38" s="1"/>
  <c r="AM47" i="38"/>
  <c r="AY52" i="31"/>
  <c r="X26" i="31" s="1"/>
  <c r="AY47" i="31"/>
  <c r="AY39" i="31"/>
  <c r="AU47" i="37"/>
  <c r="AU52" i="37"/>
  <c r="X22" i="37" s="1"/>
  <c r="AK39" i="35"/>
  <c r="AK47" i="35"/>
  <c r="AK52" i="35"/>
  <c r="X12" i="35" s="1"/>
  <c r="BG52" i="35"/>
  <c r="X34" i="35" s="1"/>
  <c r="BG39" i="35"/>
  <c r="BG47" i="35"/>
  <c r="BG47" i="32"/>
  <c r="BG39" i="32"/>
  <c r="BG52" i="32"/>
  <c r="X34" i="32" s="1"/>
  <c r="BG39" i="37"/>
  <c r="BG52" i="37"/>
  <c r="X34" i="37" s="1"/>
  <c r="BG47" i="37"/>
  <c r="AY52" i="28"/>
  <c r="X26" i="28" s="1"/>
  <c r="AY47" i="28"/>
  <c r="AY39" i="28"/>
  <c r="AI52" i="33"/>
  <c r="X10" i="33" s="1"/>
  <c r="AI47" i="33"/>
  <c r="AI39" i="33"/>
  <c r="BE47" i="33"/>
  <c r="BE52" i="33"/>
  <c r="X32" i="33" s="1"/>
  <c r="BE39" i="33"/>
  <c r="AH52" i="38"/>
  <c r="X9" i="38" s="1"/>
  <c r="AH47" i="38"/>
  <c r="BJ47" i="32"/>
  <c r="AW39" i="31"/>
  <c r="AW47" i="31"/>
  <c r="AW52" i="31"/>
  <c r="X24" i="31" s="1"/>
  <c r="AM52" i="37"/>
  <c r="X14" i="37" s="1"/>
  <c r="AM47" i="37"/>
  <c r="AM39" i="37"/>
  <c r="BI47" i="36"/>
  <c r="BI52" i="36"/>
  <c r="X36" i="36" s="1"/>
  <c r="BI39" i="36"/>
  <c r="BH39" i="31"/>
  <c r="BH47" i="31"/>
  <c r="BH52" i="31"/>
  <c r="X35" i="31" s="1"/>
  <c r="AG44" i="34"/>
  <c r="BB47" i="37"/>
  <c r="BB52" i="37"/>
  <c r="X29" i="37" s="1"/>
  <c r="BB39" i="37"/>
  <c r="BJ52" i="35"/>
  <c r="X37" i="35" s="1"/>
  <c r="BJ47" i="35"/>
  <c r="BJ39" i="35"/>
  <c r="BD47" i="34"/>
  <c r="BD52" i="34"/>
  <c r="X31" i="34" s="1"/>
  <c r="BA52" i="36"/>
  <c r="X28" i="36" s="1"/>
  <c r="BA47" i="36"/>
  <c r="BA39" i="36"/>
  <c r="BC39" i="36"/>
  <c r="BC47" i="36"/>
  <c r="BC52" i="36"/>
  <c r="X30" i="36" s="1"/>
  <c r="AL39" i="37"/>
  <c r="AL47" i="37"/>
  <c r="AL52" i="37"/>
  <c r="X13" i="37" s="1"/>
  <c r="AG44" i="37"/>
  <c r="AP52" i="31"/>
  <c r="X17" i="31" s="1"/>
  <c r="AP47" i="31"/>
  <c r="AP39" i="31"/>
  <c r="AT39" i="31"/>
  <c r="AT52" i="31"/>
  <c r="X21" i="31" s="1"/>
  <c r="AT47" i="31"/>
  <c r="BI47" i="37"/>
  <c r="BI52" i="37"/>
  <c r="X36" i="37" s="1"/>
  <c r="BI39" i="37"/>
  <c r="AL52" i="31"/>
  <c r="X13" i="31" s="1"/>
  <c r="AL47" i="31"/>
  <c r="AL39" i="31"/>
  <c r="AG44" i="31"/>
  <c r="DA42" i="31" s="1"/>
  <c r="S3" i="31" s="1"/>
  <c r="BQ8" i="13" l="1"/>
  <c r="BO8" i="13"/>
  <c r="CI8" i="13"/>
  <c r="BO9" i="13"/>
  <c r="CI9" i="13"/>
  <c r="BI42" i="37"/>
  <c r="DA42" i="37"/>
  <c r="S3" i="37" s="1"/>
  <c r="AL41" i="33"/>
  <c r="DA42" i="33"/>
  <c r="S3" i="33" s="1"/>
  <c r="BI41" i="35"/>
  <c r="DA42" i="35"/>
  <c r="S3" i="35" s="1"/>
  <c r="AG45" i="32"/>
  <c r="DA42" i="32"/>
  <c r="S3" i="32" s="1"/>
  <c r="BA41" i="28"/>
  <c r="DA42" i="28"/>
  <c r="S3" i="28" s="1"/>
  <c r="AW42" i="30"/>
  <c r="DA42" i="30"/>
  <c r="S3" i="30" s="1"/>
  <c r="AG42" i="34"/>
  <c r="AG43" i="34" s="1"/>
  <c r="DA42" i="34"/>
  <c r="S3" i="34" s="1"/>
  <c r="BG41" i="29"/>
  <c r="DA42" i="29"/>
  <c r="S3" i="29" s="1"/>
  <c r="BH41" i="38"/>
  <c r="DA42" i="38"/>
  <c r="S3" i="38" s="1"/>
  <c r="DB32" i="13"/>
  <c r="BM8" i="13"/>
  <c r="CF8" i="13"/>
  <c r="AP42" i="31"/>
  <c r="X38" i="31"/>
  <c r="AT41" i="29"/>
  <c r="AK42" i="33"/>
  <c r="BJ41" i="33"/>
  <c r="AG50" i="28"/>
  <c r="Y38" i="28" s="1"/>
  <c r="CE10" i="13"/>
  <c r="BM9" i="13"/>
  <c r="CF9" i="13"/>
  <c r="BI42" i="33"/>
  <c r="AP41" i="33"/>
  <c r="AU41" i="33"/>
  <c r="BJ42" i="33"/>
  <c r="BE42" i="33"/>
  <c r="AT41" i="33"/>
  <c r="BH41" i="29"/>
  <c r="BG41" i="38"/>
  <c r="AM41" i="38"/>
  <c r="AR42" i="38"/>
  <c r="AG45" i="38"/>
  <c r="AK41" i="38"/>
  <c r="AO42" i="38"/>
  <c r="AO41" i="38"/>
  <c r="AG41" i="38"/>
  <c r="AY42" i="38"/>
  <c r="AY41" i="38"/>
  <c r="BG42" i="38"/>
  <c r="BJ42" i="38"/>
  <c r="AH41" i="38"/>
  <c r="CO10" i="13"/>
  <c r="BS10" i="13" s="1"/>
  <c r="BJ41" i="38"/>
  <c r="AR41" i="38"/>
  <c r="AQ42" i="38"/>
  <c r="AL41" i="38"/>
  <c r="AZ41" i="38"/>
  <c r="AW41" i="38"/>
  <c r="AQ42" i="28"/>
  <c r="AG41" i="28"/>
  <c r="AS41" i="38"/>
  <c r="AP41" i="38"/>
  <c r="BC41" i="38"/>
  <c r="BC42" i="38"/>
  <c r="AV42" i="28"/>
  <c r="AU42" i="38"/>
  <c r="BI42" i="38"/>
  <c r="BH42" i="28"/>
  <c r="AW42" i="38"/>
  <c r="BH42" i="38"/>
  <c r="AZ42" i="38"/>
  <c r="AG48" i="38"/>
  <c r="BG49" i="38" s="1"/>
  <c r="Y34" i="38" s="1"/>
  <c r="AV41" i="38"/>
  <c r="AU41" i="38"/>
  <c r="AS42" i="38"/>
  <c r="AN41" i="38"/>
  <c r="AI41" i="38"/>
  <c r="AQ41" i="38"/>
  <c r="AT42" i="38"/>
  <c r="AP42" i="38"/>
  <c r="AV42" i="38"/>
  <c r="BA41" i="38"/>
  <c r="AT41" i="28"/>
  <c r="AT41" i="38"/>
  <c r="AM42" i="38"/>
  <c r="BE42" i="38"/>
  <c r="BI41" i="38"/>
  <c r="BD42" i="38"/>
  <c r="X38" i="38"/>
  <c r="AJ42" i="38"/>
  <c r="BA42" i="38"/>
  <c r="AX41" i="38"/>
  <c r="AW41" i="32"/>
  <c r="AM41" i="30"/>
  <c r="AO41" i="33"/>
  <c r="AS42" i="33"/>
  <c r="BH42" i="33"/>
  <c r="AV42" i="33"/>
  <c r="CN10" i="13"/>
  <c r="BR10" i="13" s="1"/>
  <c r="AV41" i="32"/>
  <c r="AH41" i="32"/>
  <c r="AN42" i="32"/>
  <c r="AY41" i="33"/>
  <c r="BC42" i="33"/>
  <c r="AO42" i="33"/>
  <c r="AL42" i="33"/>
  <c r="X38" i="33"/>
  <c r="BG41" i="32"/>
  <c r="AH42" i="32"/>
  <c r="BH41" i="32"/>
  <c r="BH41" i="33"/>
  <c r="BG42" i="32"/>
  <c r="BE42" i="30"/>
  <c r="AQ42" i="33"/>
  <c r="AS41" i="33"/>
  <c r="AX42" i="33"/>
  <c r="AY42" i="33"/>
  <c r="BC41" i="33"/>
  <c r="AW42" i="33"/>
  <c r="BF42" i="33"/>
  <c r="AJ42" i="33"/>
  <c r="AI41" i="33"/>
  <c r="AW41" i="33"/>
  <c r="AV41" i="33"/>
  <c r="BA42" i="33"/>
  <c r="BG41" i="33"/>
  <c r="AG45" i="33"/>
  <c r="AJ41" i="33"/>
  <c r="CC10" i="13"/>
  <c r="BJ42" i="32"/>
  <c r="AZ42" i="32"/>
  <c r="BD41" i="29"/>
  <c r="AX42" i="29"/>
  <c r="AU41" i="29"/>
  <c r="AL42" i="29"/>
  <c r="AO41" i="29"/>
  <c r="BJ42" i="29"/>
  <c r="AO42" i="28"/>
  <c r="BC41" i="30"/>
  <c r="AJ42" i="32"/>
  <c r="AP42" i="32"/>
  <c r="BG42" i="33"/>
  <c r="AR42" i="28"/>
  <c r="AQ41" i="28"/>
  <c r="AG48" i="28"/>
  <c r="AZ49" i="28" s="1"/>
  <c r="Y27" i="28" s="1"/>
  <c r="AP41" i="28"/>
  <c r="AQ41" i="32"/>
  <c r="BE41" i="32"/>
  <c r="BI42" i="32"/>
  <c r="X38" i="32"/>
  <c r="AU42" i="32"/>
  <c r="BE42" i="32"/>
  <c r="BH42" i="32"/>
  <c r="AW42" i="32"/>
  <c r="AS42" i="32"/>
  <c r="AV41" i="28"/>
  <c r="AO41" i="32"/>
  <c r="AW42" i="28"/>
  <c r="BD41" i="32"/>
  <c r="AG45" i="30"/>
  <c r="AS41" i="32"/>
  <c r="AZ41" i="32"/>
  <c r="AI42" i="32"/>
  <c r="BJ41" i="28"/>
  <c r="AM42" i="32"/>
  <c r="AR42" i="30"/>
  <c r="BA42" i="32"/>
  <c r="AX42" i="32"/>
  <c r="AT41" i="32"/>
  <c r="BH41" i="28"/>
  <c r="AG41" i="32"/>
  <c r="AU41" i="32"/>
  <c r="BB41" i="30"/>
  <c r="BG42" i="29"/>
  <c r="AG50" i="29"/>
  <c r="Y38" i="29" s="1"/>
  <c r="BB42" i="29"/>
  <c r="AL41" i="29"/>
  <c r="AJ42" i="29"/>
  <c r="BI42" i="29"/>
  <c r="AN41" i="29"/>
  <c r="AU42" i="29"/>
  <c r="AQ42" i="29"/>
  <c r="AG48" i="29"/>
  <c r="AP49" i="29" s="1"/>
  <c r="Y17" i="29" s="1"/>
  <c r="AK41" i="29"/>
  <c r="BC42" i="29"/>
  <c r="BA42" i="29"/>
  <c r="AI41" i="32"/>
  <c r="AY42" i="32"/>
  <c r="AR41" i="32"/>
  <c r="BF41" i="32"/>
  <c r="AG42" i="30"/>
  <c r="AG43" i="30" s="1"/>
  <c r="AM41" i="29"/>
  <c r="AP42" i="29"/>
  <c r="AM42" i="29"/>
  <c r="AR42" i="29"/>
  <c r="AO42" i="29"/>
  <c r="AY42" i="29"/>
  <c r="AV41" i="29"/>
  <c r="AZ41" i="29"/>
  <c r="AN41" i="32"/>
  <c r="BD42" i="32"/>
  <c r="AQ42" i="32"/>
  <c r="AG50" i="32"/>
  <c r="Y38" i="32" s="1"/>
  <c r="X38" i="30"/>
  <c r="AV41" i="30"/>
  <c r="AH41" i="29"/>
  <c r="AG42" i="29"/>
  <c r="AG43" i="29" s="1"/>
  <c r="AY41" i="30"/>
  <c r="BH41" i="30"/>
  <c r="AZ42" i="30"/>
  <c r="AK42" i="30"/>
  <c r="BE42" i="29"/>
  <c r="BI41" i="29"/>
  <c r="BB41" i="29"/>
  <c r="AX41" i="29"/>
  <c r="BC41" i="29"/>
  <c r="BJ41" i="29"/>
  <c r="AS42" i="29"/>
  <c r="AW42" i="29"/>
  <c r="AN42" i="29"/>
  <c r="AG45" i="29"/>
  <c r="BA41" i="29"/>
  <c r="AW41" i="29"/>
  <c r="AJ41" i="29"/>
  <c r="AR42" i="32"/>
  <c r="AY41" i="32"/>
  <c r="BB41" i="32"/>
  <c r="AP41" i="32"/>
  <c r="BD41" i="30"/>
  <c r="AP42" i="30"/>
  <c r="AU42" i="30"/>
  <c r="AP41" i="29"/>
  <c r="BD42" i="29"/>
  <c r="X38" i="29"/>
  <c r="AV42" i="29"/>
  <c r="BH42" i="29"/>
  <c r="AI41" i="29"/>
  <c r="BF41" i="29"/>
  <c r="AY41" i="29"/>
  <c r="AQ41" i="29"/>
  <c r="BE41" i="29"/>
  <c r="AS41" i="29"/>
  <c r="AZ42" i="29"/>
  <c r="BF42" i="29"/>
  <c r="AR41" i="29"/>
  <c r="AT42" i="29"/>
  <c r="AG41" i="29"/>
  <c r="AK42" i="29"/>
  <c r="BA41" i="32"/>
  <c r="AL42" i="32"/>
  <c r="BC41" i="32"/>
  <c r="AX41" i="32"/>
  <c r="AR41" i="30"/>
  <c r="AI42" i="29"/>
  <c r="AH42" i="29"/>
  <c r="AZ41" i="33"/>
  <c r="AM42" i="33"/>
  <c r="AT42" i="33"/>
  <c r="AZ42" i="33"/>
  <c r="AM41" i="33"/>
  <c r="AN41" i="33"/>
  <c r="AG48" i="33"/>
  <c r="AO49" i="33" s="1"/>
  <c r="Y16" i="33" s="1"/>
  <c r="AN42" i="33"/>
  <c r="AR42" i="33"/>
  <c r="BD42" i="33"/>
  <c r="BF41" i="33"/>
  <c r="AX41" i="33"/>
  <c r="AK41" i="32"/>
  <c r="AK42" i="32"/>
  <c r="AV42" i="32"/>
  <c r="BB42" i="32"/>
  <c r="BF42" i="32"/>
  <c r="AG42" i="33"/>
  <c r="AG43" i="33" s="1"/>
  <c r="AH41" i="33"/>
  <c r="AO42" i="32"/>
  <c r="AJ41" i="32"/>
  <c r="AM41" i="32"/>
  <c r="AL41" i="32"/>
  <c r="AG45" i="28"/>
  <c r="BC42" i="28"/>
  <c r="AS42" i="28"/>
  <c r="AL41" i="28"/>
  <c r="AX41" i="28"/>
  <c r="BF41" i="28"/>
  <c r="AN42" i="28"/>
  <c r="AU42" i="28"/>
  <c r="BA42" i="28"/>
  <c r="AH42" i="30"/>
  <c r="AP41" i="30"/>
  <c r="BJ42" i="30"/>
  <c r="AI42" i="30"/>
  <c r="AM42" i="30"/>
  <c r="AN41" i="30"/>
  <c r="BI41" i="30"/>
  <c r="AO42" i="30"/>
  <c r="AS42" i="30"/>
  <c r="AX42" i="30"/>
  <c r="AW41" i="28"/>
  <c r="AI41" i="28"/>
  <c r="AG42" i="28"/>
  <c r="AG43" i="28" s="1"/>
  <c r="BF42" i="28"/>
  <c r="BG42" i="28"/>
  <c r="BE41" i="28"/>
  <c r="AJ41" i="28"/>
  <c r="AX42" i="28"/>
  <c r="AO41" i="28"/>
  <c r="BA41" i="30"/>
  <c r="AJ42" i="30"/>
  <c r="AQ41" i="30"/>
  <c r="AU41" i="30"/>
  <c r="AW41" i="30"/>
  <c r="AS41" i="30"/>
  <c r="AG41" i="30"/>
  <c r="AY42" i="30"/>
  <c r="AG48" i="30"/>
  <c r="BC42" i="30"/>
  <c r="AX41" i="30"/>
  <c r="AI41" i="30"/>
  <c r="BI42" i="28"/>
  <c r="AY42" i="28"/>
  <c r="BC41" i="28"/>
  <c r="AZ42" i="28"/>
  <c r="AK41" i="28"/>
  <c r="AU41" i="28"/>
  <c r="AN41" i="28"/>
  <c r="BI41" i="28"/>
  <c r="AK42" i="28"/>
  <c r="AJ41" i="30"/>
  <c r="BE42" i="28"/>
  <c r="AT42" i="30"/>
  <c r="BG41" i="30"/>
  <c r="BF42" i="30"/>
  <c r="AH41" i="30"/>
  <c r="AO41" i="30"/>
  <c r="BI41" i="37"/>
  <c r="BD42" i="28"/>
  <c r="AZ41" i="28"/>
  <c r="AL42" i="28"/>
  <c r="AH42" i="28"/>
  <c r="AM42" i="28"/>
  <c r="AQ42" i="30"/>
  <c r="AY41" i="28"/>
  <c r="AZ41" i="30"/>
  <c r="BJ41" i="30"/>
  <c r="BE41" i="30"/>
  <c r="AL41" i="30"/>
  <c r="BI42" i="30"/>
  <c r="BG41" i="28"/>
  <c r="AR41" i="28"/>
  <c r="AI42" i="28"/>
  <c r="AJ42" i="28"/>
  <c r="AT42" i="28"/>
  <c r="BJ42" i="28"/>
  <c r="AM41" i="28"/>
  <c r="X38" i="28"/>
  <c r="BB42" i="28"/>
  <c r="BF41" i="30"/>
  <c r="AG50" i="30"/>
  <c r="Y38" i="30" s="1"/>
  <c r="BH42" i="30"/>
  <c r="BB41" i="28"/>
  <c r="AP42" i="28"/>
  <c r="AH41" i="28"/>
  <c r="AS41" i="28"/>
  <c r="BD41" i="28"/>
  <c r="BD42" i="30"/>
  <c r="AV42" i="30"/>
  <c r="AL42" i="30"/>
  <c r="BA42" i="30"/>
  <c r="BB42" i="30"/>
  <c r="BG42" i="30"/>
  <c r="AK41" i="30"/>
  <c r="AN42" i="30"/>
  <c r="AT41" i="30"/>
  <c r="AK42" i="35"/>
  <c r="BJ41" i="32"/>
  <c r="BI41" i="32"/>
  <c r="BC42" i="32"/>
  <c r="AZ41" i="34"/>
  <c r="AT42" i="32"/>
  <c r="AG42" i="32"/>
  <c r="AG43" i="32" s="1"/>
  <c r="AG48" i="32"/>
  <c r="BI49" i="32" s="1"/>
  <c r="Y36" i="32" s="1"/>
  <c r="AT42" i="34"/>
  <c r="BB41" i="33"/>
  <c r="AG50" i="33"/>
  <c r="Y38" i="33" s="1"/>
  <c r="BD41" i="33"/>
  <c r="AH42" i="33"/>
  <c r="AR41" i="33"/>
  <c r="BI41" i="33"/>
  <c r="BB42" i="33"/>
  <c r="AP42" i="33"/>
  <c r="AK42" i="38"/>
  <c r="BB41" i="38"/>
  <c r="BF42" i="38"/>
  <c r="AJ41" i="38"/>
  <c r="AX42" i="38"/>
  <c r="BE41" i="38"/>
  <c r="AH42" i="38"/>
  <c r="AN42" i="38"/>
  <c r="BJ41" i="35"/>
  <c r="BH42" i="35"/>
  <c r="BF42" i="35"/>
  <c r="AQ42" i="35"/>
  <c r="BB42" i="35"/>
  <c r="Z12" i="13"/>
  <c r="BZ11" i="13"/>
  <c r="AB11" i="13"/>
  <c r="AD11" i="13"/>
  <c r="AC11" i="13"/>
  <c r="AA11" i="13"/>
  <c r="AI41" i="34"/>
  <c r="AG41" i="33"/>
  <c r="BE41" i="33"/>
  <c r="AK41" i="33"/>
  <c r="AU42" i="33"/>
  <c r="BA41" i="33"/>
  <c r="AI42" i="33"/>
  <c r="AQ41" i="33"/>
  <c r="AL42" i="38"/>
  <c r="BD41" i="38"/>
  <c r="BF41" i="38"/>
  <c r="BB42" i="38"/>
  <c r="AG42" i="38"/>
  <c r="AG43" i="38" s="1"/>
  <c r="AG50" i="38"/>
  <c r="Y38" i="38" s="1"/>
  <c r="AI42" i="38"/>
  <c r="BG42" i="35"/>
  <c r="AT41" i="35"/>
  <c r="AN41" i="35"/>
  <c r="AT42" i="35"/>
  <c r="BH41" i="34"/>
  <c r="AN41" i="34"/>
  <c r="AZ42" i="35"/>
  <c r="AR42" i="35"/>
  <c r="AZ41" i="35"/>
  <c r="AL42" i="37"/>
  <c r="AS42" i="35"/>
  <c r="BI42" i="35"/>
  <c r="BH42" i="34"/>
  <c r="BF41" i="35"/>
  <c r="AL41" i="37"/>
  <c r="AN42" i="35"/>
  <c r="AV41" i="35"/>
  <c r="AR41" i="35"/>
  <c r="BA42" i="35"/>
  <c r="X38" i="35"/>
  <c r="AG48" i="35"/>
  <c r="AV49" i="35" s="1"/>
  <c r="Y23" i="35" s="1"/>
  <c r="AL41" i="35"/>
  <c r="AM41" i="35"/>
  <c r="AX42" i="35"/>
  <c r="BD42" i="35"/>
  <c r="BD41" i="35"/>
  <c r="AY42" i="35"/>
  <c r="AW41" i="35"/>
  <c r="AP42" i="35"/>
  <c r="AY41" i="35"/>
  <c r="AG42" i="35"/>
  <c r="AG43" i="35" s="1"/>
  <c r="BC41" i="35"/>
  <c r="AH42" i="35"/>
  <c r="AG45" i="35"/>
  <c r="AL42" i="35"/>
  <c r="AM42" i="35"/>
  <c r="BE41" i="35"/>
  <c r="BE42" i="35"/>
  <c r="AJ41" i="35"/>
  <c r="BC42" i="35"/>
  <c r="AU42" i="35"/>
  <c r="AX41" i="35"/>
  <c r="AG41" i="35"/>
  <c r="AS41" i="35"/>
  <c r="AH41" i="35"/>
  <c r="AW42" i="35"/>
  <c r="AU41" i="35"/>
  <c r="AJ42" i="35"/>
  <c r="AK41" i="35"/>
  <c r="AP41" i="31"/>
  <c r="AX42" i="34"/>
  <c r="AS42" i="34"/>
  <c r="BD42" i="34"/>
  <c r="AQ41" i="34"/>
  <c r="BJ42" i="34"/>
  <c r="AY42" i="34"/>
  <c r="AR41" i="34"/>
  <c r="BB41" i="34"/>
  <c r="AP41" i="34"/>
  <c r="AJ41" i="34"/>
  <c r="AG41" i="34"/>
  <c r="AR42" i="34"/>
  <c r="BI41" i="34"/>
  <c r="BC42" i="34"/>
  <c r="BI42" i="34"/>
  <c r="BE42" i="34"/>
  <c r="AX41" i="34"/>
  <c r="BA42" i="34"/>
  <c r="AH42" i="34"/>
  <c r="BG42" i="34"/>
  <c r="BE41" i="34"/>
  <c r="AT41" i="34"/>
  <c r="AK41" i="34"/>
  <c r="AL41" i="34"/>
  <c r="BG41" i="34"/>
  <c r="BA41" i="34"/>
  <c r="AW41" i="34"/>
  <c r="AL42" i="34"/>
  <c r="BJ41" i="34"/>
  <c r="AU42" i="34"/>
  <c r="BB42" i="34"/>
  <c r="AV42" i="34"/>
  <c r="AS41" i="34"/>
  <c r="BD41" i="34"/>
  <c r="BC41" i="34"/>
  <c r="AI42" i="34"/>
  <c r="BF41" i="34"/>
  <c r="AO41" i="34"/>
  <c r="AU41" i="34"/>
  <c r="AJ42" i="34"/>
  <c r="AH41" i="34"/>
  <c r="AV41" i="34"/>
  <c r="X38" i="34"/>
  <c r="AG48" i="34"/>
  <c r="AO49" i="34" s="1"/>
  <c r="Y16" i="34" s="1"/>
  <c r="AW42" i="34"/>
  <c r="AY41" i="34"/>
  <c r="AK42" i="34"/>
  <c r="AM41" i="34"/>
  <c r="AG45" i="34"/>
  <c r="AP42" i="34"/>
  <c r="BF42" i="34"/>
  <c r="AZ42" i="34"/>
  <c r="AQ42" i="34"/>
  <c r="AM42" i="34"/>
  <c r="AG50" i="35"/>
  <c r="Y38" i="35" s="1"/>
  <c r="BH41" i="35"/>
  <c r="AN42" i="34"/>
  <c r="BA41" i="35"/>
  <c r="AQ41" i="35"/>
  <c r="AP41" i="35"/>
  <c r="BB41" i="35"/>
  <c r="AI42" i="35"/>
  <c r="AG50" i="34"/>
  <c r="Y38" i="34" s="1"/>
  <c r="BJ42" i="35"/>
  <c r="AO41" i="35"/>
  <c r="BG41" i="35"/>
  <c r="AO42" i="34"/>
  <c r="AV42" i="35"/>
  <c r="AO42" i="35"/>
  <c r="AI41" i="35"/>
  <c r="AM41" i="31"/>
  <c r="AG50" i="31"/>
  <c r="Y38" i="31" s="1"/>
  <c r="AK41" i="31"/>
  <c r="AZ42" i="31"/>
  <c r="AV41" i="31"/>
  <c r="AY42" i="31"/>
  <c r="BG41" i="31"/>
  <c r="AM42" i="31"/>
  <c r="AQ41" i="31"/>
  <c r="AR42" i="31"/>
  <c r="BD42" i="31"/>
  <c r="BD41" i="31"/>
  <c r="AW42" i="31"/>
  <c r="AR41" i="31"/>
  <c r="BI42" i="31"/>
  <c r="BJ41" i="31"/>
  <c r="AN42" i="31"/>
  <c r="AU42" i="31"/>
  <c r="AI42" i="31"/>
  <c r="BI41" i="31"/>
  <c r="AJ41" i="31"/>
  <c r="AG42" i="31"/>
  <c r="AG43" i="31" s="1"/>
  <c r="AY41" i="31"/>
  <c r="BF42" i="31"/>
  <c r="AK42" i="31"/>
  <c r="AS41" i="31"/>
  <c r="AG48" i="31"/>
  <c r="AT49" i="31" s="1"/>
  <c r="Y21" i="31" s="1"/>
  <c r="AW41" i="31"/>
  <c r="AQ42" i="31"/>
  <c r="BA42" i="31"/>
  <c r="AX41" i="31"/>
  <c r="AN41" i="31"/>
  <c r="AO41" i="31"/>
  <c r="BG42" i="31"/>
  <c r="BC42" i="31"/>
  <c r="AZ41" i="31"/>
  <c r="BE41" i="31"/>
  <c r="AH41" i="31"/>
  <c r="AI41" i="31"/>
  <c r="BB41" i="31"/>
  <c r="AH42" i="31"/>
  <c r="AU41" i="31"/>
  <c r="BF41" i="31"/>
  <c r="BE42" i="31"/>
  <c r="BC41" i="31"/>
  <c r="AV42" i="31"/>
  <c r="BA41" i="31"/>
  <c r="BH42" i="31"/>
  <c r="AG41" i="31"/>
  <c r="BH41" i="31"/>
  <c r="AJ42" i="31"/>
  <c r="AX42" i="31"/>
  <c r="AS42" i="31"/>
  <c r="BJ42" i="31"/>
  <c r="AO42" i="31"/>
  <c r="BB42" i="31"/>
  <c r="AG45" i="31"/>
  <c r="AL41" i="31"/>
  <c r="AT42" i="31"/>
  <c r="AL42" i="31"/>
  <c r="AT41" i="31"/>
  <c r="AZ41" i="37"/>
  <c r="AG50" i="37"/>
  <c r="Y38" i="37" s="1"/>
  <c r="BJ42" i="37"/>
  <c r="AT41" i="37"/>
  <c r="AM42" i="37"/>
  <c r="BH41" i="37"/>
  <c r="AG48" i="37"/>
  <c r="AL49" i="37" s="1"/>
  <c r="Y13" i="37" s="1"/>
  <c r="AG42" i="37"/>
  <c r="AG43" i="37" s="1"/>
  <c r="AJ42" i="37"/>
  <c r="AT42" i="37"/>
  <c r="AI41" i="37"/>
  <c r="BH42" i="37"/>
  <c r="AS41" i="37"/>
  <c r="AZ42" i="37"/>
  <c r="BC42" i="37"/>
  <c r="AI42" i="37"/>
  <c r="AW41" i="37"/>
  <c r="BJ41" i="37"/>
  <c r="AR41" i="37"/>
  <c r="AK42" i="37"/>
  <c r="AX41" i="37"/>
  <c r="AO42" i="37"/>
  <c r="AV41" i="37"/>
  <c r="AH42" i="37"/>
  <c r="AY41" i="37"/>
  <c r="AG41" i="37"/>
  <c r="AP41" i="37"/>
  <c r="AX42" i="37"/>
  <c r="BC41" i="37"/>
  <c r="AY42" i="37"/>
  <c r="AK41" i="37"/>
  <c r="BF41" i="37"/>
  <c r="BB41" i="37"/>
  <c r="AU42" i="37"/>
  <c r="X38" i="37"/>
  <c r="AS42" i="37"/>
  <c r="AN41" i="37"/>
  <c r="BA41" i="37"/>
  <c r="BE42" i="37"/>
  <c r="AJ41" i="37"/>
  <c r="AH41" i="37"/>
  <c r="AQ42" i="37"/>
  <c r="BF42" i="37"/>
  <c r="AV42" i="37"/>
  <c r="AM41" i="37"/>
  <c r="BA42" i="37"/>
  <c r="BG41" i="37"/>
  <c r="AO41" i="37"/>
  <c r="AN42" i="37"/>
  <c r="AG45" i="37"/>
  <c r="AU41" i="37"/>
  <c r="BG42" i="37"/>
  <c r="AP42" i="37"/>
  <c r="AW42" i="37"/>
  <c r="AQ41" i="37"/>
  <c r="BB42" i="37"/>
  <c r="BE41" i="37"/>
  <c r="AR42" i="37"/>
  <c r="BD42" i="37"/>
  <c r="BD41" i="37"/>
  <c r="BO10" i="13" l="1"/>
  <c r="CI10" i="13"/>
  <c r="CT8" i="13"/>
  <c r="CU8" i="13" s="1"/>
  <c r="CT9" i="13"/>
  <c r="BG49" i="28"/>
  <c r="Y34" i="28" s="1"/>
  <c r="CP10" i="13"/>
  <c r="BT10" i="13" s="1"/>
  <c r="BG49" i="33"/>
  <c r="Y34" i="33" s="1"/>
  <c r="CM10" i="13"/>
  <c r="BQ10" i="13" s="1"/>
  <c r="BJ49" i="28"/>
  <c r="Y37" i="28" s="1"/>
  <c r="AS49" i="38"/>
  <c r="Y20" i="38" s="1"/>
  <c r="AX49" i="38"/>
  <c r="Y25" i="38" s="1"/>
  <c r="AR49" i="38"/>
  <c r="Y19" i="38" s="1"/>
  <c r="AK49" i="38"/>
  <c r="Y12" i="38" s="1"/>
  <c r="AL49" i="38"/>
  <c r="Y13" i="38" s="1"/>
  <c r="AG49" i="38"/>
  <c r="Y8" i="38" s="1"/>
  <c r="AU49" i="38"/>
  <c r="Y22" i="38" s="1"/>
  <c r="BF49" i="38"/>
  <c r="Y33" i="38" s="1"/>
  <c r="AT49" i="38"/>
  <c r="Y21" i="38" s="1"/>
  <c r="AJ49" i="38"/>
  <c r="Y11" i="38" s="1"/>
  <c r="AH49" i="38"/>
  <c r="Y9" i="38" s="1"/>
  <c r="BJ49" i="38"/>
  <c r="Y37" i="38" s="1"/>
  <c r="AN49" i="38"/>
  <c r="Y15" i="38" s="1"/>
  <c r="AI49" i="38"/>
  <c r="Y10" i="38" s="1"/>
  <c r="BH49" i="38"/>
  <c r="Y35" i="38" s="1"/>
  <c r="AM49" i="38"/>
  <c r="Y14" i="38" s="1"/>
  <c r="AV49" i="38"/>
  <c r="Y23" i="38" s="1"/>
  <c r="BE49" i="38"/>
  <c r="Y32" i="38" s="1"/>
  <c r="BA49" i="38"/>
  <c r="Y28" i="38" s="1"/>
  <c r="AY49" i="38"/>
  <c r="Y26" i="38" s="1"/>
  <c r="AW49" i="38"/>
  <c r="Y24" i="38" s="1"/>
  <c r="AQ49" i="38"/>
  <c r="Y18" i="38" s="1"/>
  <c r="AZ49" i="38"/>
  <c r="Y27" i="38" s="1"/>
  <c r="BD49" i="38"/>
  <c r="Y31" i="38" s="1"/>
  <c r="BI49" i="38"/>
  <c r="Y36" i="38" s="1"/>
  <c r="AP49" i="38"/>
  <c r="Y17" i="38" s="1"/>
  <c r="BC49" i="38"/>
  <c r="Y30" i="38" s="1"/>
  <c r="BB49" i="38"/>
  <c r="Y29" i="38" s="1"/>
  <c r="AO49" i="38"/>
  <c r="Y16" i="38" s="1"/>
  <c r="CF10" i="13"/>
  <c r="AY49" i="29"/>
  <c r="Y26" i="29" s="1"/>
  <c r="BE49" i="33"/>
  <c r="Y32" i="33" s="1"/>
  <c r="AZ49" i="29"/>
  <c r="Y27" i="29" s="1"/>
  <c r="BM10" i="13"/>
  <c r="AR49" i="32"/>
  <c r="Y19" i="32" s="1"/>
  <c r="AY49" i="32"/>
  <c r="Y26" i="32" s="1"/>
  <c r="BH49" i="28"/>
  <c r="Y35" i="28" s="1"/>
  <c r="BF49" i="33"/>
  <c r="Y33" i="33" s="1"/>
  <c r="AN49" i="28"/>
  <c r="Y15" i="28" s="1"/>
  <c r="BB49" i="28"/>
  <c r="Y29" i="28" s="1"/>
  <c r="BE49" i="28"/>
  <c r="Y32" i="28" s="1"/>
  <c r="AG49" i="28"/>
  <c r="Y8" i="28" s="1"/>
  <c r="AG49" i="29"/>
  <c r="Y8" i="29" s="1"/>
  <c r="AH49" i="33"/>
  <c r="Y9" i="33" s="1"/>
  <c r="AQ49" i="29"/>
  <c r="Y18" i="29" s="1"/>
  <c r="BE49" i="29"/>
  <c r="Y32" i="29" s="1"/>
  <c r="BG49" i="29"/>
  <c r="Y34" i="29" s="1"/>
  <c r="AL49" i="33"/>
  <c r="Y13" i="33" s="1"/>
  <c r="AK49" i="33"/>
  <c r="Y12" i="33" s="1"/>
  <c r="BH49" i="33"/>
  <c r="Y35" i="33" s="1"/>
  <c r="BC49" i="33"/>
  <c r="Y30" i="33" s="1"/>
  <c r="AU49" i="33"/>
  <c r="Y22" i="33" s="1"/>
  <c r="AX49" i="29"/>
  <c r="Y25" i="29" s="1"/>
  <c r="AU49" i="29"/>
  <c r="Y22" i="29" s="1"/>
  <c r="BI49" i="29"/>
  <c r="Y36" i="29" s="1"/>
  <c r="AK49" i="29"/>
  <c r="Y12" i="29" s="1"/>
  <c r="BD49" i="32"/>
  <c r="Y31" i="32" s="1"/>
  <c r="AI49" i="33"/>
  <c r="Y10" i="33" s="1"/>
  <c r="AT49" i="29"/>
  <c r="Y21" i="29" s="1"/>
  <c r="AH49" i="29"/>
  <c r="Y9" i="29" s="1"/>
  <c r="BJ49" i="33"/>
  <c r="Y37" i="33" s="1"/>
  <c r="AR49" i="33"/>
  <c r="Y19" i="33" s="1"/>
  <c r="BA49" i="33"/>
  <c r="Y28" i="33" s="1"/>
  <c r="AM49" i="33"/>
  <c r="Y14" i="33" s="1"/>
  <c r="BJ49" i="29"/>
  <c r="Y37" i="29" s="1"/>
  <c r="AL49" i="29"/>
  <c r="Y13" i="29" s="1"/>
  <c r="AX49" i="33"/>
  <c r="Y25" i="33" s="1"/>
  <c r="BD49" i="33"/>
  <c r="Y31" i="33" s="1"/>
  <c r="AZ49" i="33"/>
  <c r="Y27" i="33" s="1"/>
  <c r="AJ49" i="29"/>
  <c r="Y11" i="29" s="1"/>
  <c r="AI49" i="29"/>
  <c r="Y10" i="29" s="1"/>
  <c r="AY49" i="33"/>
  <c r="Y26" i="33" s="1"/>
  <c r="BI49" i="33"/>
  <c r="Y36" i="33" s="1"/>
  <c r="AG49" i="33"/>
  <c r="Y8" i="33" s="1"/>
  <c r="AW49" i="33"/>
  <c r="Y24" i="33" s="1"/>
  <c r="BA49" i="29"/>
  <c r="Y28" i="29" s="1"/>
  <c r="AO49" i="29"/>
  <c r="Y16" i="29" s="1"/>
  <c r="AR49" i="29"/>
  <c r="Y19" i="29" s="1"/>
  <c r="AV49" i="33"/>
  <c r="Y23" i="33" s="1"/>
  <c r="AM49" i="29"/>
  <c r="Y14" i="29" s="1"/>
  <c r="BH49" i="29"/>
  <c r="Y35" i="29" s="1"/>
  <c r="BD49" i="29"/>
  <c r="Y31" i="29" s="1"/>
  <c r="AT49" i="28"/>
  <c r="Y21" i="28" s="1"/>
  <c r="AI49" i="28"/>
  <c r="Y10" i="28" s="1"/>
  <c r="AL49" i="28"/>
  <c r="Y13" i="28" s="1"/>
  <c r="AK49" i="28"/>
  <c r="Y12" i="28" s="1"/>
  <c r="BC49" i="28"/>
  <c r="Y30" i="28" s="1"/>
  <c r="BF49" i="28"/>
  <c r="Y33" i="28" s="1"/>
  <c r="AP49" i="28"/>
  <c r="Y17" i="28" s="1"/>
  <c r="AR49" i="28"/>
  <c r="Y19" i="28" s="1"/>
  <c r="BD49" i="28"/>
  <c r="Y31" i="28" s="1"/>
  <c r="AH49" i="28"/>
  <c r="Y9" i="28" s="1"/>
  <c r="AQ49" i="28"/>
  <c r="Y18" i="28" s="1"/>
  <c r="AV49" i="28"/>
  <c r="Y23" i="28" s="1"/>
  <c r="BA49" i="28"/>
  <c r="Y28" i="28" s="1"/>
  <c r="AP49" i="33"/>
  <c r="Y17" i="33" s="1"/>
  <c r="BB49" i="33"/>
  <c r="Y29" i="33" s="1"/>
  <c r="AT49" i="33"/>
  <c r="Y21" i="33" s="1"/>
  <c r="AQ49" i="33"/>
  <c r="Y18" i="33" s="1"/>
  <c r="AW49" i="29"/>
  <c r="Y24" i="29" s="1"/>
  <c r="AS49" i="29"/>
  <c r="Y20" i="29" s="1"/>
  <c r="AV49" i="29"/>
  <c r="Y23" i="29" s="1"/>
  <c r="BF49" i="29"/>
  <c r="Y33" i="29" s="1"/>
  <c r="AX49" i="28"/>
  <c r="Y25" i="28" s="1"/>
  <c r="AU49" i="28"/>
  <c r="Y22" i="28" s="1"/>
  <c r="AY49" i="28"/>
  <c r="Y26" i="28" s="1"/>
  <c r="AO49" i="28"/>
  <c r="Y16" i="28" s="1"/>
  <c r="AM49" i="28"/>
  <c r="Y14" i="28" s="1"/>
  <c r="AK49" i="32"/>
  <c r="Y12" i="32" s="1"/>
  <c r="AN49" i="33"/>
  <c r="Y15" i="33" s="1"/>
  <c r="AJ49" i="33"/>
  <c r="Y11" i="33" s="1"/>
  <c r="AS49" i="33"/>
  <c r="Y20" i="33" s="1"/>
  <c r="BC49" i="29"/>
  <c r="Y30" i="29" s="1"/>
  <c r="BB49" i="29"/>
  <c r="Y29" i="29" s="1"/>
  <c r="AN49" i="29"/>
  <c r="Y15" i="29" s="1"/>
  <c r="AX49" i="32"/>
  <c r="Y25" i="32" s="1"/>
  <c r="AW49" i="28"/>
  <c r="Y24" i="28" s="1"/>
  <c r="AS49" i="28"/>
  <c r="Y20" i="28" s="1"/>
  <c r="AJ49" i="32"/>
  <c r="Y11" i="32" s="1"/>
  <c r="AJ49" i="28"/>
  <c r="Y11" i="28" s="1"/>
  <c r="BI49" i="28"/>
  <c r="Y36" i="28" s="1"/>
  <c r="AG49" i="32"/>
  <c r="Y8" i="32" s="1"/>
  <c r="BC49" i="32"/>
  <c r="Y30" i="32" s="1"/>
  <c r="AP49" i="32"/>
  <c r="Y17" i="32" s="1"/>
  <c r="AI49" i="32"/>
  <c r="Y10" i="32" s="1"/>
  <c r="AW49" i="32"/>
  <c r="Y24" i="32" s="1"/>
  <c r="AU49" i="32"/>
  <c r="Y22" i="32" s="1"/>
  <c r="AH49" i="32"/>
  <c r="Y9" i="32" s="1"/>
  <c r="BE49" i="32"/>
  <c r="Y32" i="32" s="1"/>
  <c r="BG49" i="32"/>
  <c r="Y34" i="32" s="1"/>
  <c r="AN49" i="32"/>
  <c r="Y15" i="32" s="1"/>
  <c r="AQ49" i="32"/>
  <c r="Y18" i="32" s="1"/>
  <c r="BF49" i="32"/>
  <c r="Y33" i="32" s="1"/>
  <c r="AZ49" i="30"/>
  <c r="Y27" i="30" s="1"/>
  <c r="AO49" i="30"/>
  <c r="Y16" i="30" s="1"/>
  <c r="AM49" i="30"/>
  <c r="Y14" i="30" s="1"/>
  <c r="BI49" i="30"/>
  <c r="Y36" i="30" s="1"/>
  <c r="AU49" i="30"/>
  <c r="Y22" i="30" s="1"/>
  <c r="AG49" i="30"/>
  <c r="Y8" i="30" s="1"/>
  <c r="AR49" i="30"/>
  <c r="Y19" i="30" s="1"/>
  <c r="AN49" i="30"/>
  <c r="Y15" i="30" s="1"/>
  <c r="AV49" i="30"/>
  <c r="Y23" i="30" s="1"/>
  <c r="AL49" i="30"/>
  <c r="Y13" i="30" s="1"/>
  <c r="AY49" i="30"/>
  <c r="Y26" i="30" s="1"/>
  <c r="BA49" i="30"/>
  <c r="Y28" i="30" s="1"/>
  <c r="BC49" i="30"/>
  <c r="Y30" i="30" s="1"/>
  <c r="AQ49" i="30"/>
  <c r="Y18" i="30" s="1"/>
  <c r="AW49" i="30"/>
  <c r="Y24" i="30" s="1"/>
  <c r="AT49" i="30"/>
  <c r="Y21" i="30" s="1"/>
  <c r="BD49" i="30"/>
  <c r="Y31" i="30" s="1"/>
  <c r="AP49" i="30"/>
  <c r="Y17" i="30" s="1"/>
  <c r="AJ49" i="30"/>
  <c r="Y11" i="30" s="1"/>
  <c r="AX49" i="30"/>
  <c r="Y25" i="30" s="1"/>
  <c r="AI49" i="30"/>
  <c r="Y10" i="30" s="1"/>
  <c r="BB49" i="30"/>
  <c r="Y29" i="30" s="1"/>
  <c r="AS49" i="30"/>
  <c r="Y20" i="30" s="1"/>
  <c r="BE49" i="30"/>
  <c r="Y32" i="30" s="1"/>
  <c r="BG49" i="30"/>
  <c r="Y34" i="30" s="1"/>
  <c r="AK49" i="30"/>
  <c r="Y12" i="30" s="1"/>
  <c r="BH49" i="30"/>
  <c r="Y35" i="30" s="1"/>
  <c r="BF49" i="30"/>
  <c r="Y33" i="30" s="1"/>
  <c r="AH49" i="30"/>
  <c r="Y9" i="30" s="1"/>
  <c r="BJ49" i="30"/>
  <c r="Y37" i="30" s="1"/>
  <c r="AP49" i="31"/>
  <c r="Y17" i="31" s="1"/>
  <c r="AL49" i="32"/>
  <c r="Y13" i="32" s="1"/>
  <c r="AM49" i="32"/>
  <c r="Y14" i="32" s="1"/>
  <c r="AV49" i="32"/>
  <c r="Y23" i="32" s="1"/>
  <c r="BJ49" i="32"/>
  <c r="Y37" i="32" s="1"/>
  <c r="AO49" i="32"/>
  <c r="Y16" i="32" s="1"/>
  <c r="BA49" i="32"/>
  <c r="Y28" i="32" s="1"/>
  <c r="AZ49" i="32"/>
  <c r="Y27" i="32" s="1"/>
  <c r="AS49" i="32"/>
  <c r="Y20" i="32" s="1"/>
  <c r="BH49" i="32"/>
  <c r="Y35" i="32" s="1"/>
  <c r="AT49" i="32"/>
  <c r="Y21" i="32" s="1"/>
  <c r="BB49" i="32"/>
  <c r="Y29" i="32" s="1"/>
  <c r="AC12" i="13"/>
  <c r="AD12" i="13"/>
  <c r="AA12" i="13"/>
  <c r="BZ12" i="13"/>
  <c r="Z13" i="13"/>
  <c r="AB12" i="13"/>
  <c r="AK49" i="35"/>
  <c r="Y12" i="35" s="1"/>
  <c r="AN49" i="34"/>
  <c r="Y15" i="34" s="1"/>
  <c r="AG49" i="34"/>
  <c r="Y8" i="34" s="1"/>
  <c r="AR49" i="34"/>
  <c r="Y19" i="34" s="1"/>
  <c r="AV49" i="34"/>
  <c r="Y23" i="34" s="1"/>
  <c r="AH49" i="34"/>
  <c r="Y9" i="34" s="1"/>
  <c r="AU49" i="34"/>
  <c r="Y22" i="34" s="1"/>
  <c r="BE49" i="34"/>
  <c r="Y32" i="34" s="1"/>
  <c r="BB49" i="34"/>
  <c r="Y29" i="34" s="1"/>
  <c r="AJ49" i="34"/>
  <c r="Y11" i="34" s="1"/>
  <c r="AL49" i="34"/>
  <c r="Y13" i="34" s="1"/>
  <c r="AM49" i="34"/>
  <c r="Y14" i="34" s="1"/>
  <c r="AP49" i="34"/>
  <c r="Y17" i="34" s="1"/>
  <c r="AS49" i="34"/>
  <c r="Y20" i="34" s="1"/>
  <c r="BG49" i="34"/>
  <c r="Y34" i="34" s="1"/>
  <c r="AZ49" i="34"/>
  <c r="Y27" i="34" s="1"/>
  <c r="AX49" i="34"/>
  <c r="Y25" i="34" s="1"/>
  <c r="BI49" i="34"/>
  <c r="Y36" i="34" s="1"/>
  <c r="BC49" i="34"/>
  <c r="Y30" i="34" s="1"/>
  <c r="BH49" i="34"/>
  <c r="Y35" i="34" s="1"/>
  <c r="AY49" i="34"/>
  <c r="Y26" i="34" s="1"/>
  <c r="AK49" i="34"/>
  <c r="Y12" i="34" s="1"/>
  <c r="AQ49" i="34"/>
  <c r="Y18" i="34" s="1"/>
  <c r="BF49" i="34"/>
  <c r="Y33" i="34" s="1"/>
  <c r="BD49" i="34"/>
  <c r="Y31" i="34" s="1"/>
  <c r="AI49" i="34"/>
  <c r="Y10" i="34" s="1"/>
  <c r="AT49" i="35"/>
  <c r="Y21" i="35" s="1"/>
  <c r="AZ49" i="35"/>
  <c r="Y27" i="35" s="1"/>
  <c r="AQ49" i="35"/>
  <c r="Y18" i="35" s="1"/>
  <c r="AP49" i="35"/>
  <c r="Y17" i="35" s="1"/>
  <c r="BF49" i="35"/>
  <c r="Y33" i="35" s="1"/>
  <c r="BI49" i="35"/>
  <c r="Y36" i="35" s="1"/>
  <c r="AR49" i="35"/>
  <c r="Y19" i="35" s="1"/>
  <c r="BA49" i="35"/>
  <c r="Y28" i="35" s="1"/>
  <c r="BJ49" i="34"/>
  <c r="Y37" i="34" s="1"/>
  <c r="BB49" i="35"/>
  <c r="Y29" i="35" s="1"/>
  <c r="BH49" i="35"/>
  <c r="Y35" i="35" s="1"/>
  <c r="AW49" i="34"/>
  <c r="Y24" i="34" s="1"/>
  <c r="BD49" i="35"/>
  <c r="Y31" i="35" s="1"/>
  <c r="AJ49" i="35"/>
  <c r="Y11" i="35" s="1"/>
  <c r="AU49" i="35"/>
  <c r="Y22" i="35" s="1"/>
  <c r="AM49" i="35"/>
  <c r="Y14" i="35" s="1"/>
  <c r="AH49" i="35"/>
  <c r="Y9" i="35" s="1"/>
  <c r="AG49" i="35"/>
  <c r="Y8" i="35" s="1"/>
  <c r="AX49" i="35"/>
  <c r="Y25" i="35" s="1"/>
  <c r="BC49" i="35"/>
  <c r="Y30" i="35" s="1"/>
  <c r="AY49" i="35"/>
  <c r="Y26" i="35" s="1"/>
  <c r="AW49" i="35"/>
  <c r="Y24" i="35" s="1"/>
  <c r="AL49" i="35"/>
  <c r="Y13" i="35" s="1"/>
  <c r="BE49" i="35"/>
  <c r="Y32" i="35" s="1"/>
  <c r="AO49" i="35"/>
  <c r="Y16" i="35" s="1"/>
  <c r="AI49" i="35"/>
  <c r="Y10" i="35" s="1"/>
  <c r="AS49" i="35"/>
  <c r="Y20" i="35" s="1"/>
  <c r="AT49" i="34"/>
  <c r="Y21" i="34" s="1"/>
  <c r="BJ49" i="35"/>
  <c r="Y37" i="35" s="1"/>
  <c r="BG49" i="35"/>
  <c r="Y34" i="35" s="1"/>
  <c r="AN49" i="35"/>
  <c r="Y15" i="35" s="1"/>
  <c r="BA49" i="34"/>
  <c r="Y28" i="34" s="1"/>
  <c r="AO49" i="37"/>
  <c r="Y16" i="37" s="1"/>
  <c r="AZ49" i="37"/>
  <c r="Y27" i="37" s="1"/>
  <c r="BJ49" i="37"/>
  <c r="Y37" i="37" s="1"/>
  <c r="BC49" i="37"/>
  <c r="Y30" i="37" s="1"/>
  <c r="BH49" i="37"/>
  <c r="Y35" i="37" s="1"/>
  <c r="BE49" i="37"/>
  <c r="Y32" i="37" s="1"/>
  <c r="BF49" i="37"/>
  <c r="Y33" i="37" s="1"/>
  <c r="AS49" i="37"/>
  <c r="Y20" i="37" s="1"/>
  <c r="BB49" i="37"/>
  <c r="Y29" i="37" s="1"/>
  <c r="AW49" i="37"/>
  <c r="Y24" i="37" s="1"/>
  <c r="AR49" i="37"/>
  <c r="Y19" i="37" s="1"/>
  <c r="AK49" i="37"/>
  <c r="Y12" i="37" s="1"/>
  <c r="AX49" i="37"/>
  <c r="Y25" i="37" s="1"/>
  <c r="AY49" i="37"/>
  <c r="Y26" i="37" s="1"/>
  <c r="AJ49" i="37"/>
  <c r="Y11" i="37" s="1"/>
  <c r="BG49" i="37"/>
  <c r="Y34" i="37" s="1"/>
  <c r="AT49" i="37"/>
  <c r="Y21" i="37" s="1"/>
  <c r="AU49" i="37"/>
  <c r="Y22" i="37" s="1"/>
  <c r="AM49" i="37"/>
  <c r="Y14" i="37" s="1"/>
  <c r="AV49" i="37"/>
  <c r="Y23" i="37" s="1"/>
  <c r="AI49" i="37"/>
  <c r="Y10" i="37" s="1"/>
  <c r="AQ49" i="37"/>
  <c r="Y18" i="37" s="1"/>
  <c r="AG49" i="37"/>
  <c r="Y8" i="37" s="1"/>
  <c r="BA49" i="37"/>
  <c r="Y28" i="37" s="1"/>
  <c r="AN49" i="37"/>
  <c r="Y15" i="37" s="1"/>
  <c r="AP49" i="37"/>
  <c r="Y17" i="37" s="1"/>
  <c r="BD49" i="37"/>
  <c r="Y31" i="37" s="1"/>
  <c r="AH49" i="37"/>
  <c r="Y9" i="37" s="1"/>
  <c r="AV49" i="31"/>
  <c r="Y23" i="31" s="1"/>
  <c r="AH49" i="31"/>
  <c r="Y9" i="31" s="1"/>
  <c r="BD49" i="31"/>
  <c r="Y31" i="31" s="1"/>
  <c r="BB49" i="31"/>
  <c r="Y29" i="31" s="1"/>
  <c r="AU49" i="31"/>
  <c r="Y22" i="31" s="1"/>
  <c r="BE49" i="31"/>
  <c r="Y32" i="31" s="1"/>
  <c r="AM49" i="31"/>
  <c r="Y14" i="31" s="1"/>
  <c r="AG49" i="31"/>
  <c r="Y8" i="31" s="1"/>
  <c r="AR49" i="31"/>
  <c r="Y19" i="31" s="1"/>
  <c r="AY49" i="31"/>
  <c r="Y26" i="31" s="1"/>
  <c r="AK49" i="31"/>
  <c r="Y12" i="31" s="1"/>
  <c r="BA49" i="31"/>
  <c r="Y28" i="31" s="1"/>
  <c r="BJ49" i="31"/>
  <c r="Y37" i="31" s="1"/>
  <c r="AS49" i="31"/>
  <c r="Y20" i="31" s="1"/>
  <c r="AI49" i="31"/>
  <c r="Y10" i="31" s="1"/>
  <c r="BG49" i="31"/>
  <c r="Y34" i="31" s="1"/>
  <c r="AZ49" i="31"/>
  <c r="Y27" i="31" s="1"/>
  <c r="AQ49" i="31"/>
  <c r="Y18" i="31" s="1"/>
  <c r="BF49" i="31"/>
  <c r="Y33" i="31" s="1"/>
  <c r="AO49" i="31"/>
  <c r="Y16" i="31" s="1"/>
  <c r="BC49" i="31"/>
  <c r="Y30" i="31" s="1"/>
  <c r="AW49" i="31"/>
  <c r="Y24" i="31" s="1"/>
  <c r="BI49" i="31"/>
  <c r="Y36" i="31" s="1"/>
  <c r="AJ49" i="31"/>
  <c r="Y11" i="31" s="1"/>
  <c r="BH49" i="31"/>
  <c r="Y35" i="31" s="1"/>
  <c r="AX49" i="31"/>
  <c r="Y25" i="31" s="1"/>
  <c r="AN49" i="31"/>
  <c r="Y15" i="31" s="1"/>
  <c r="AL49" i="31"/>
  <c r="Y13" i="31" s="1"/>
  <c r="BI49" i="37"/>
  <c r="Y36" i="37" s="1"/>
  <c r="CU9" i="13" l="1"/>
  <c r="J9" i="13" s="1"/>
  <c r="CV8" i="13"/>
  <c r="J8" i="13"/>
  <c r="CT10" i="13"/>
  <c r="CU10" i="13" s="1"/>
  <c r="J10" i="13" s="1"/>
  <c r="CE11" i="13"/>
  <c r="CP11" i="13"/>
  <c r="BT11" i="13" s="1"/>
  <c r="CO11" i="13"/>
  <c r="BS11" i="13" s="1"/>
  <c r="CC11" i="13"/>
  <c r="CN11" i="13"/>
  <c r="BR11" i="13" s="1"/>
  <c r="CM11" i="13"/>
  <c r="AD13" i="13"/>
  <c r="BZ13" i="13"/>
  <c r="AB13" i="13"/>
  <c r="AA13" i="13"/>
  <c r="Z14" i="13"/>
  <c r="AC13" i="13"/>
  <c r="CV9" i="13" l="1"/>
  <c r="CW9" i="13" s="1"/>
  <c r="BO11" i="13"/>
  <c r="CI11" i="13"/>
  <c r="CR11" i="13" s="1"/>
  <c r="CW8" i="13"/>
  <c r="CX8" i="13" s="1"/>
  <c r="CV10" i="13"/>
  <c r="CW10" i="13" s="1"/>
  <c r="BQ11" i="13"/>
  <c r="BM11" i="13"/>
  <c r="CF11" i="13"/>
  <c r="CM12" i="13"/>
  <c r="CP12" i="13"/>
  <c r="BT12" i="13" s="1"/>
  <c r="CN12" i="13"/>
  <c r="BR12" i="13" s="1"/>
  <c r="CC12" i="13"/>
  <c r="CE12" i="13"/>
  <c r="CO12" i="13"/>
  <c r="BS12" i="13" s="1"/>
  <c r="AB14" i="13"/>
  <c r="AA14" i="13"/>
  <c r="BZ14" i="13"/>
  <c r="AC14" i="13"/>
  <c r="Z15" i="13"/>
  <c r="AD14" i="13"/>
  <c r="CX9" i="13" l="1"/>
  <c r="CX10" i="13" s="1"/>
  <c r="CZ10" i="13" s="1"/>
  <c r="L10" i="13" s="1"/>
  <c r="CS11" i="13"/>
  <c r="DB11" i="13" s="1"/>
  <c r="AH11" i="13" s="1"/>
  <c r="AG40" i="13" s="1"/>
  <c r="AG47" i="13" s="1"/>
  <c r="BO12" i="13"/>
  <c r="CI12" i="13"/>
  <c r="CY8" i="13"/>
  <c r="K8" i="13" s="1"/>
  <c r="CZ8" i="13"/>
  <c r="L8" i="13" s="1"/>
  <c r="M8" i="13"/>
  <c r="CT11" i="13"/>
  <c r="BQ12" i="13"/>
  <c r="CO13" i="13"/>
  <c r="BS13" i="13" s="1"/>
  <c r="CP13" i="13"/>
  <c r="BT13" i="13" s="1"/>
  <c r="CM13" i="13"/>
  <c r="CC13" i="13"/>
  <c r="CN13" i="13"/>
  <c r="BR13" i="13" s="1"/>
  <c r="CE13" i="13"/>
  <c r="AC15" i="13"/>
  <c r="AB15" i="13"/>
  <c r="BZ15" i="13"/>
  <c r="Z16" i="13"/>
  <c r="AA15" i="13"/>
  <c r="AD15" i="13"/>
  <c r="BM12" i="13"/>
  <c r="CF12" i="13"/>
  <c r="CS12" i="13" s="1"/>
  <c r="DB12" i="13" s="1"/>
  <c r="AI12" i="13" s="1"/>
  <c r="AH40" i="13" s="1"/>
  <c r="AH39" i="13" s="1"/>
  <c r="CY10" i="13" l="1"/>
  <c r="K10" i="13" s="1"/>
  <c r="AG52" i="13"/>
  <c r="AG39" i="13"/>
  <c r="BO13" i="13"/>
  <c r="CI13" i="13"/>
  <c r="CU11" i="13"/>
  <c r="CV11" i="13" s="1"/>
  <c r="AH47" i="13"/>
  <c r="AH52" i="13"/>
  <c r="X9" i="13" s="1"/>
  <c r="CY9" i="13"/>
  <c r="K9" i="13" s="1"/>
  <c r="CZ9" i="13"/>
  <c r="L9" i="13" s="1"/>
  <c r="M9" i="13"/>
  <c r="M10" i="13"/>
  <c r="CT12" i="13"/>
  <c r="BQ13" i="13"/>
  <c r="CN15" i="13"/>
  <c r="BR15" i="13" s="1"/>
  <c r="CD14" i="13"/>
  <c r="CI14" i="13" s="1"/>
  <c r="CP14" i="13"/>
  <c r="BT14" i="13" s="1"/>
  <c r="CF13" i="13"/>
  <c r="BM13" i="13"/>
  <c r="CE14" i="13"/>
  <c r="CO14" i="13"/>
  <c r="BS14" i="13" s="1"/>
  <c r="BO14" i="13"/>
  <c r="CN14" i="13"/>
  <c r="BR14" i="13" s="1"/>
  <c r="CM14" i="13"/>
  <c r="AB16" i="13"/>
  <c r="AA16" i="13"/>
  <c r="AD16" i="13"/>
  <c r="Z17" i="13"/>
  <c r="AC16" i="13"/>
  <c r="BZ16" i="13"/>
  <c r="CS13" i="13" l="1"/>
  <c r="DB13" i="13" s="1"/>
  <c r="AJ13" i="13" s="1"/>
  <c r="AI40" i="13" s="1"/>
  <c r="J11" i="13"/>
  <c r="CU12" i="13"/>
  <c r="J12" i="13" s="1"/>
  <c r="CW11" i="13"/>
  <c r="CX11" i="13" s="1"/>
  <c r="DA11" i="13"/>
  <c r="CT13" i="13"/>
  <c r="BQ14" i="13"/>
  <c r="CO15" i="13"/>
  <c r="BS15" i="13" s="1"/>
  <c r="CM15" i="13"/>
  <c r="BQ15" i="13" s="1"/>
  <c r="CP15" i="13"/>
  <c r="BT15" i="13" s="1"/>
  <c r="CE15" i="13"/>
  <c r="CC15" i="13"/>
  <c r="BN14" i="13"/>
  <c r="BN41" i="13" s="1"/>
  <c r="BP14" i="13"/>
  <c r="BP41" i="13" s="1"/>
  <c r="CF14" i="13"/>
  <c r="CS14" i="13" s="1"/>
  <c r="CU14" i="13" s="1"/>
  <c r="BM14" i="13"/>
  <c r="CN16" i="13"/>
  <c r="BR16" i="13" s="1"/>
  <c r="CO16" i="13"/>
  <c r="BS16" i="13" s="1"/>
  <c r="CP16" i="13"/>
  <c r="BT16" i="13" s="1"/>
  <c r="CE16" i="13"/>
  <c r="CM16" i="13"/>
  <c r="BQ16" i="13" s="1"/>
  <c r="CC16" i="13"/>
  <c r="CI16" i="13" s="1"/>
  <c r="AC17" i="13"/>
  <c r="AA17" i="13"/>
  <c r="AD17" i="13"/>
  <c r="BZ17" i="13"/>
  <c r="Z18" i="13"/>
  <c r="AB17" i="13"/>
  <c r="CU13" i="13" l="1"/>
  <c r="J13" i="13" s="1"/>
  <c r="DB14" i="13"/>
  <c r="BO15" i="13"/>
  <c r="CI15" i="13"/>
  <c r="CR15" i="13" s="1"/>
  <c r="AI52" i="13"/>
  <c r="X10" i="13" s="1"/>
  <c r="AI39" i="13"/>
  <c r="AG44" i="13"/>
  <c r="AI47" i="13"/>
  <c r="CV12" i="13"/>
  <c r="CW12" i="13" s="1"/>
  <c r="CX12" i="13" s="1"/>
  <c r="CZ11" i="13"/>
  <c r="L11" i="13" s="1"/>
  <c r="CT14" i="13"/>
  <c r="J14" i="13" s="1"/>
  <c r="CF15" i="13"/>
  <c r="BM15" i="13"/>
  <c r="CF16" i="13"/>
  <c r="BM16" i="13"/>
  <c r="BO16" i="13"/>
  <c r="AD18" i="13"/>
  <c r="AB18" i="13"/>
  <c r="AA18" i="13"/>
  <c r="AC18" i="13"/>
  <c r="BZ18" i="13"/>
  <c r="Z19" i="13"/>
  <c r="CV13" i="13" l="1"/>
  <c r="CW13" i="13" s="1"/>
  <c r="CX13" i="13" s="1"/>
  <c r="AK41" i="13"/>
  <c r="BG41" i="13"/>
  <c r="AT42" i="13"/>
  <c r="AP41" i="13"/>
  <c r="BC42" i="13"/>
  <c r="AG45" i="13"/>
  <c r="AL41" i="13"/>
  <c r="AS42" i="13"/>
  <c r="BE42" i="13"/>
  <c r="AX41" i="13"/>
  <c r="AS41" i="13"/>
  <c r="AH41" i="13"/>
  <c r="BI41" i="13"/>
  <c r="AO42" i="13"/>
  <c r="AV41" i="13"/>
  <c r="AN42" i="13"/>
  <c r="AI41" i="13"/>
  <c r="AY42" i="13"/>
  <c r="AU41" i="13"/>
  <c r="BH42" i="13"/>
  <c r="AQ42" i="13"/>
  <c r="BE41" i="13"/>
  <c r="BB42" i="13"/>
  <c r="AO41" i="13"/>
  <c r="AW42" i="13"/>
  <c r="AX42" i="13"/>
  <c r="AM42" i="13"/>
  <c r="AZ42" i="13"/>
  <c r="BG42" i="13"/>
  <c r="AU42" i="13"/>
  <c r="AN41" i="13"/>
  <c r="AT41" i="13"/>
  <c r="AG50" i="13"/>
  <c r="BJ41" i="13"/>
  <c r="BJ42" i="13"/>
  <c r="AZ41" i="13"/>
  <c r="AJ42" i="13"/>
  <c r="AW41" i="13"/>
  <c r="AV42" i="13"/>
  <c r="AI42" i="13"/>
  <c r="BC41" i="13"/>
  <c r="BH41" i="13"/>
  <c r="BA42" i="13"/>
  <c r="AG41" i="13"/>
  <c r="AR41" i="13"/>
  <c r="BF42" i="13"/>
  <c r="BA41" i="13"/>
  <c r="AJ41" i="13"/>
  <c r="AY41" i="13"/>
  <c r="AQ41" i="13"/>
  <c r="AH42" i="13"/>
  <c r="AM41" i="13"/>
  <c r="AL42" i="13"/>
  <c r="AK42" i="13"/>
  <c r="BF41" i="13"/>
  <c r="AG48" i="13"/>
  <c r="AP42" i="13"/>
  <c r="BD41" i="13"/>
  <c r="AG42" i="13"/>
  <c r="AG43" i="13" s="1"/>
  <c r="BI42" i="13"/>
  <c r="AR42" i="13"/>
  <c r="BB41" i="13"/>
  <c r="BD42" i="13"/>
  <c r="CS15" i="13"/>
  <c r="DB15" i="13" s="1"/>
  <c r="DA12" i="13"/>
  <c r="CY11" i="13"/>
  <c r="K11" i="13" s="1"/>
  <c r="CY12" i="13"/>
  <c r="K12" i="13" s="1"/>
  <c r="M11" i="13"/>
  <c r="DA13" i="13"/>
  <c r="CT16" i="13"/>
  <c r="CT15" i="13"/>
  <c r="CV14" i="13"/>
  <c r="AC19" i="13"/>
  <c r="AB19" i="13"/>
  <c r="AA19" i="13"/>
  <c r="Z20" i="13"/>
  <c r="AD19" i="13"/>
  <c r="BZ19" i="13"/>
  <c r="CP17" i="13"/>
  <c r="BT17" i="13" s="1"/>
  <c r="CN17" i="13"/>
  <c r="BR17" i="13" s="1"/>
  <c r="CE17" i="13"/>
  <c r="CO17" i="13"/>
  <c r="BS17" i="13" s="1"/>
  <c r="CM17" i="13"/>
  <c r="BQ17" i="13" s="1"/>
  <c r="CC17" i="13"/>
  <c r="AO49" i="13" l="1"/>
  <c r="AM49" i="13"/>
  <c r="AS49" i="13"/>
  <c r="AU49" i="13"/>
  <c r="BA49" i="13"/>
  <c r="AX49" i="13"/>
  <c r="AZ49" i="13"/>
  <c r="AW49" i="13"/>
  <c r="AK49" i="13"/>
  <c r="AT49" i="13"/>
  <c r="BD49" i="13"/>
  <c r="BB49" i="13"/>
  <c r="AN49" i="13"/>
  <c r="AP49" i="13"/>
  <c r="BI49" i="13"/>
  <c r="AY49" i="13"/>
  <c r="AG49" i="13"/>
  <c r="AQ49" i="13"/>
  <c r="BJ49" i="13"/>
  <c r="BH49" i="13"/>
  <c r="BC49" i="13"/>
  <c r="AV49" i="13"/>
  <c r="BF49" i="13"/>
  <c r="BE49" i="13"/>
  <c r="AL49" i="13"/>
  <c r="BG49" i="13"/>
  <c r="AR49" i="13"/>
  <c r="AH49" i="13"/>
  <c r="AI49" i="13"/>
  <c r="AJ49" i="13"/>
  <c r="BO17" i="13"/>
  <c r="CI17" i="13"/>
  <c r="CU16" i="13"/>
  <c r="CV16" i="13" s="1"/>
  <c r="CU15" i="13"/>
  <c r="J15" i="13" s="1"/>
  <c r="M12" i="13"/>
  <c r="CY13" i="13"/>
  <c r="K13" i="13" s="1"/>
  <c r="CZ12" i="13"/>
  <c r="L12" i="13" s="1"/>
  <c r="CW14" i="13"/>
  <c r="CX14" i="13" s="1"/>
  <c r="DA14" i="13"/>
  <c r="CO18" i="13"/>
  <c r="BS18" i="13" s="1"/>
  <c r="CP18" i="13"/>
  <c r="BT18" i="13" s="1"/>
  <c r="CE18" i="13"/>
  <c r="CN18" i="13"/>
  <c r="BR18" i="13" s="1"/>
  <c r="CM18" i="13"/>
  <c r="BQ18" i="13" s="1"/>
  <c r="CC18" i="13"/>
  <c r="BM17" i="13"/>
  <c r="CF17" i="13"/>
  <c r="AB20" i="13"/>
  <c r="AA20" i="13"/>
  <c r="AC20" i="13"/>
  <c r="BZ20" i="13"/>
  <c r="AD20" i="13"/>
  <c r="Z21" i="13"/>
  <c r="J16" i="13" l="1"/>
  <c r="BO18" i="13"/>
  <c r="CI18" i="13"/>
  <c r="CR18" i="13" s="1"/>
  <c r="CV15" i="13"/>
  <c r="CW15" i="13" s="1"/>
  <c r="CX15" i="13" s="1"/>
  <c r="CZ13" i="13"/>
  <c r="L13" i="13" s="1"/>
  <c r="M13" i="13"/>
  <c r="CW16" i="13"/>
  <c r="CT17" i="13"/>
  <c r="DA15" i="13"/>
  <c r="CN19" i="13"/>
  <c r="BR19" i="13" s="1"/>
  <c r="CP19" i="13"/>
  <c r="BT19" i="13" s="1"/>
  <c r="CO19" i="13"/>
  <c r="BS19" i="13" s="1"/>
  <c r="BM18" i="13"/>
  <c r="CF18" i="13"/>
  <c r="CE19" i="13"/>
  <c r="CM19" i="13"/>
  <c r="BQ19" i="13" s="1"/>
  <c r="CC19" i="13"/>
  <c r="CE20" i="13"/>
  <c r="Z22" i="13"/>
  <c r="AD21" i="13"/>
  <c r="BZ21" i="13"/>
  <c r="AA21" i="13"/>
  <c r="AC21" i="13"/>
  <c r="AB21" i="13"/>
  <c r="CX16" i="13" l="1"/>
  <c r="CU17" i="13"/>
  <c r="J17" i="13" s="1"/>
  <c r="BO19" i="13"/>
  <c r="CI19" i="13"/>
  <c r="CR19" i="13" s="1"/>
  <c r="CS18" i="13"/>
  <c r="DB18" i="13" s="1"/>
  <c r="M15" i="13"/>
  <c r="CZ14" i="13"/>
  <c r="L14" i="13" s="1"/>
  <c r="CY14" i="13"/>
  <c r="K14" i="13" s="1"/>
  <c r="M14" i="13"/>
  <c r="CT18" i="13"/>
  <c r="CF19" i="13"/>
  <c r="BM19" i="13"/>
  <c r="CP20" i="13"/>
  <c r="BT20" i="13" s="1"/>
  <c r="CN20" i="13"/>
  <c r="BR20" i="13" s="1"/>
  <c r="CC20" i="13"/>
  <c r="CO20" i="13"/>
  <c r="BS20" i="13" s="1"/>
  <c r="CM20" i="13"/>
  <c r="BQ20" i="13" s="1"/>
  <c r="AD22" i="13"/>
  <c r="AC22" i="13"/>
  <c r="AB22" i="13"/>
  <c r="AA22" i="13"/>
  <c r="BZ22" i="13"/>
  <c r="Z23" i="13"/>
  <c r="CS19" i="13" l="1"/>
  <c r="CU19" i="13" s="1"/>
  <c r="J19" i="13" s="1"/>
  <c r="CV17" i="13"/>
  <c r="CW17" i="13" s="1"/>
  <c r="CX17" i="13" s="1"/>
  <c r="CF20" i="13"/>
  <c r="CI20" i="13"/>
  <c r="CR20" i="13" s="1"/>
  <c r="CU18" i="13"/>
  <c r="CV18" i="13" s="1"/>
  <c r="DA18" i="13" s="1"/>
  <c r="CZ15" i="13"/>
  <c r="L15" i="13" s="1"/>
  <c r="CY16" i="13"/>
  <c r="K16" i="13" s="1"/>
  <c r="CY15" i="13"/>
  <c r="K15" i="13" s="1"/>
  <c r="CT19" i="13"/>
  <c r="CT20" i="13"/>
  <c r="BO20" i="13"/>
  <c r="BM20" i="13"/>
  <c r="AB23" i="13"/>
  <c r="AA23" i="13"/>
  <c r="BZ23" i="13"/>
  <c r="AD23" i="13"/>
  <c r="Z24" i="13"/>
  <c r="AC23" i="13"/>
  <c r="CP21" i="13"/>
  <c r="BT21" i="13" s="1"/>
  <c r="CE21" i="13"/>
  <c r="CC21" i="13"/>
  <c r="CI21" i="13" s="1"/>
  <c r="CR21" i="13" s="1"/>
  <c r="CN21" i="13"/>
  <c r="BR21" i="13" s="1"/>
  <c r="CO21" i="13"/>
  <c r="BS21" i="13" s="1"/>
  <c r="CM21" i="13"/>
  <c r="BQ21" i="13" s="1"/>
  <c r="DB19" i="13" l="1"/>
  <c r="J18" i="13"/>
  <c r="CS20" i="13"/>
  <c r="CZ16" i="13"/>
  <c r="L16" i="13" s="1"/>
  <c r="M16" i="13"/>
  <c r="CY17" i="13"/>
  <c r="K17" i="13" s="1"/>
  <c r="CW18" i="13"/>
  <c r="CX18" i="13" s="1"/>
  <c r="CV19" i="13"/>
  <c r="CW19" i="13" s="1"/>
  <c r="DA19" i="13"/>
  <c r="CF21" i="13"/>
  <c r="CS21" i="13" s="1"/>
  <c r="AD24" i="13"/>
  <c r="AC24" i="13"/>
  <c r="AA24" i="13"/>
  <c r="BZ24" i="13"/>
  <c r="AB24" i="13"/>
  <c r="Z25" i="13"/>
  <c r="BO21" i="13"/>
  <c r="CN23" i="13"/>
  <c r="BR23" i="13" s="1"/>
  <c r="CM23" i="13"/>
  <c r="BQ23" i="13" s="1"/>
  <c r="CE23" i="13"/>
  <c r="CC23" i="13"/>
  <c r="CI23" i="13" s="1"/>
  <c r="CP23" i="13"/>
  <c r="BT23" i="13" s="1"/>
  <c r="CO23" i="13"/>
  <c r="BS23" i="13" s="1"/>
  <c r="BM21" i="13"/>
  <c r="CC22" i="13"/>
  <c r="CN22" i="13"/>
  <c r="BR22" i="13" s="1"/>
  <c r="CO22" i="13"/>
  <c r="BS22" i="13" s="1"/>
  <c r="CE22" i="13"/>
  <c r="CP22" i="13"/>
  <c r="BT22" i="13" s="1"/>
  <c r="CM22" i="13"/>
  <c r="BQ22" i="13" s="1"/>
  <c r="CX19" i="13" l="1"/>
  <c r="CZ19" i="13" s="1"/>
  <c r="L19" i="13" s="1"/>
  <c r="CU21" i="13"/>
  <c r="J21" i="13" s="1"/>
  <c r="DB21" i="13"/>
  <c r="BO22" i="13"/>
  <c r="CI22" i="13"/>
  <c r="CR22" i="13" s="1"/>
  <c r="CU20" i="13"/>
  <c r="DB20" i="13"/>
  <c r="M17" i="13"/>
  <c r="CZ17" i="13"/>
  <c r="L17" i="13" s="1"/>
  <c r="CT21" i="13"/>
  <c r="CF23" i="13"/>
  <c r="BM22" i="13"/>
  <c r="BO23" i="13"/>
  <c r="AC25" i="13"/>
  <c r="AA25" i="13"/>
  <c r="BZ25" i="13"/>
  <c r="Z26" i="13"/>
  <c r="AD25" i="13"/>
  <c r="AB25" i="13"/>
  <c r="BM23" i="13"/>
  <c r="CF22" i="13"/>
  <c r="J20" i="13" l="1"/>
  <c r="CV20" i="13"/>
  <c r="CS22" i="13"/>
  <c r="M19" i="13"/>
  <c r="CY19" i="13"/>
  <c r="K19" i="13" s="1"/>
  <c r="CZ18" i="13"/>
  <c r="L18" i="13" s="1"/>
  <c r="CY18" i="13"/>
  <c r="K18" i="13" s="1"/>
  <c r="M18" i="13"/>
  <c r="CT23" i="13"/>
  <c r="CU23" i="13" s="1"/>
  <c r="J23" i="13" s="1"/>
  <c r="CT22" i="13"/>
  <c r="CV21" i="13"/>
  <c r="CW21" i="13" s="1"/>
  <c r="DB25" i="13"/>
  <c r="DA21" i="13"/>
  <c r="AC26" i="13"/>
  <c r="AA26" i="13"/>
  <c r="AB26" i="13"/>
  <c r="BZ26" i="13"/>
  <c r="AD26" i="13"/>
  <c r="Z27" i="13"/>
  <c r="CO24" i="13"/>
  <c r="BS24" i="13" s="1"/>
  <c r="CC24" i="13"/>
  <c r="CI24" i="13" s="1"/>
  <c r="CN24" i="13"/>
  <c r="BR24" i="13" s="1"/>
  <c r="CP24" i="13"/>
  <c r="BT24" i="13" s="1"/>
  <c r="CM24" i="13"/>
  <c r="BQ24" i="13" s="1"/>
  <c r="CE24" i="13"/>
  <c r="CU22" i="13" l="1"/>
  <c r="J22" i="13" s="1"/>
  <c r="DB22" i="13"/>
  <c r="DA20" i="13"/>
  <c r="CW20" i="13"/>
  <c r="CX20" i="13" s="1"/>
  <c r="CX21" i="13" s="1"/>
  <c r="CV23" i="13"/>
  <c r="CM25" i="13"/>
  <c r="BQ25" i="13" s="1"/>
  <c r="CP25" i="13"/>
  <c r="BT25" i="13" s="1"/>
  <c r="CC25" i="13"/>
  <c r="DB26" i="13"/>
  <c r="CN25" i="13"/>
  <c r="BR25" i="13" s="1"/>
  <c r="CE25" i="13"/>
  <c r="CO25" i="13"/>
  <c r="BS25" i="13" s="1"/>
  <c r="CF24" i="13"/>
  <c r="BO24" i="13"/>
  <c r="Z28" i="13"/>
  <c r="AA27" i="13"/>
  <c r="BZ27" i="13"/>
  <c r="AB27" i="13"/>
  <c r="AD27" i="13"/>
  <c r="AC27" i="13"/>
  <c r="BM24" i="13"/>
  <c r="M20" i="13" l="1"/>
  <c r="CY21" i="13"/>
  <c r="K21" i="13" s="1"/>
  <c r="CV22" i="13"/>
  <c r="DA22" i="13" s="1"/>
  <c r="BM25" i="13"/>
  <c r="CI25" i="13"/>
  <c r="CW22" i="13"/>
  <c r="CX22" i="13" s="1"/>
  <c r="CW23" i="13"/>
  <c r="CT24" i="13"/>
  <c r="CU24" i="13" s="1"/>
  <c r="J24" i="13" s="1"/>
  <c r="CF25" i="13"/>
  <c r="CU25" i="13" s="1"/>
  <c r="DB27" i="13"/>
  <c r="BO25" i="13"/>
  <c r="CC26" i="13"/>
  <c r="CO26" i="13"/>
  <c r="BS26" i="13" s="1"/>
  <c r="CE26" i="13"/>
  <c r="CM26" i="13"/>
  <c r="BQ26" i="13" s="1"/>
  <c r="CN26" i="13"/>
  <c r="BR26" i="13" s="1"/>
  <c r="CP26" i="13"/>
  <c r="BT26" i="13" s="1"/>
  <c r="AD28" i="13"/>
  <c r="BZ28" i="13"/>
  <c r="AA28" i="13"/>
  <c r="AB28" i="13"/>
  <c r="AC28" i="13"/>
  <c r="Z29" i="13"/>
  <c r="CX23" i="13" l="1"/>
  <c r="CY23" i="13" s="1"/>
  <c r="K23" i="13" s="1"/>
  <c r="CY20" i="13"/>
  <c r="K20" i="13" s="1"/>
  <c r="CZ20" i="13"/>
  <c r="L20" i="13" s="1"/>
  <c r="M21" i="13"/>
  <c r="CZ21" i="13"/>
  <c r="L21" i="13" s="1"/>
  <c r="BO26" i="13"/>
  <c r="CI26" i="13"/>
  <c r="CV24" i="13"/>
  <c r="CT25" i="13"/>
  <c r="J25" i="13"/>
  <c r="CO27" i="13"/>
  <c r="BS27" i="13" s="1"/>
  <c r="DA39" i="13"/>
  <c r="DA41" i="13" s="1"/>
  <c r="CF26" i="13"/>
  <c r="CU26" i="13" s="1"/>
  <c r="BM26" i="13"/>
  <c r="X8" i="13"/>
  <c r="DA25" i="13"/>
  <c r="CN27" i="13"/>
  <c r="BR27" i="13" s="1"/>
  <c r="CE27" i="13"/>
  <c r="CC27" i="13"/>
  <c r="CI27" i="13" s="1"/>
  <c r="CP27" i="13"/>
  <c r="BT27" i="13" s="1"/>
  <c r="CM27" i="13"/>
  <c r="BQ27" i="13" s="1"/>
  <c r="AB29" i="13"/>
  <c r="AD29" i="13"/>
  <c r="AC29" i="13"/>
  <c r="Z30" i="13"/>
  <c r="BZ29" i="13"/>
  <c r="AA29" i="13"/>
  <c r="M22" i="13" l="1"/>
  <c r="CZ22" i="13"/>
  <c r="L22" i="13" s="1"/>
  <c r="CZ23" i="13"/>
  <c r="L23" i="13" s="1"/>
  <c r="CY22" i="13"/>
  <c r="K22" i="13" s="1"/>
  <c r="M23" i="13"/>
  <c r="CW24" i="13"/>
  <c r="CX24" i="13" s="1"/>
  <c r="Y38" i="13"/>
  <c r="X38" i="13"/>
  <c r="CT26" i="13"/>
  <c r="J26" i="13"/>
  <c r="CV25" i="13"/>
  <c r="CW25" i="13" s="1"/>
  <c r="CF27" i="13"/>
  <c r="CU27" i="13" s="1"/>
  <c r="DA42" i="13"/>
  <c r="S3" i="13" s="1"/>
  <c r="CN29" i="13"/>
  <c r="BR29" i="13" s="1"/>
  <c r="Y8" i="13"/>
  <c r="BO27" i="13"/>
  <c r="BM27" i="13"/>
  <c r="DA26" i="13"/>
  <c r="AD30" i="13"/>
  <c r="Z31" i="13"/>
  <c r="AC30" i="13"/>
  <c r="AB30" i="13"/>
  <c r="AA30" i="13"/>
  <c r="BZ30" i="13"/>
  <c r="CM28" i="13"/>
  <c r="BQ28" i="13" s="1"/>
  <c r="CN28" i="13"/>
  <c r="BR28" i="13" s="1"/>
  <c r="CC28" i="13"/>
  <c r="CP28" i="13"/>
  <c r="BT28" i="13" s="1"/>
  <c r="CE28" i="13"/>
  <c r="CO28" i="13"/>
  <c r="BS28" i="13" s="1"/>
  <c r="CX25" i="13" l="1"/>
  <c r="CZ25" i="13" s="1"/>
  <c r="L25" i="13" s="1"/>
  <c r="BM28" i="13"/>
  <c r="CI28" i="13"/>
  <c r="CV26" i="13"/>
  <c r="CT27" i="13"/>
  <c r="J27" i="13"/>
  <c r="DA27" i="13"/>
  <c r="Y28" i="13"/>
  <c r="Y37" i="13"/>
  <c r="Y32" i="13"/>
  <c r="Y12" i="13"/>
  <c r="Y25" i="13"/>
  <c r="Y27" i="13"/>
  <c r="Y31" i="13"/>
  <c r="Y17" i="13"/>
  <c r="Y14" i="13"/>
  <c r="Y33" i="13"/>
  <c r="Y36" i="13"/>
  <c r="Y18" i="13"/>
  <c r="Y35" i="13"/>
  <c r="Y21" i="13"/>
  <c r="Y24" i="13"/>
  <c r="Y9" i="13"/>
  <c r="Y20" i="13"/>
  <c r="Y26" i="13"/>
  <c r="Y19" i="13"/>
  <c r="Y16" i="13"/>
  <c r="Y10" i="13"/>
  <c r="Y22" i="13"/>
  <c r="Y23" i="13"/>
  <c r="Y29" i="13"/>
  <c r="Y13" i="13"/>
  <c r="Y34" i="13"/>
  <c r="Y11" i="13"/>
  <c r="Y15" i="13"/>
  <c r="Y30" i="13"/>
  <c r="CO29" i="13"/>
  <c r="BS29" i="13" s="1"/>
  <c r="CP29" i="13"/>
  <c r="BT29" i="13" s="1"/>
  <c r="CM29" i="13"/>
  <c r="BQ29" i="13" s="1"/>
  <c r="BO28" i="13"/>
  <c r="CE29" i="13"/>
  <c r="CC29" i="13"/>
  <c r="CI29" i="13" s="1"/>
  <c r="CO30" i="13"/>
  <c r="BS30" i="13" s="1"/>
  <c r="CC30" i="13"/>
  <c r="CI30" i="13" s="1"/>
  <c r="CM30" i="13"/>
  <c r="BQ30" i="13" s="1"/>
  <c r="CN30" i="13"/>
  <c r="BR30" i="13" s="1"/>
  <c r="CE30" i="13"/>
  <c r="CP30" i="13"/>
  <c r="BT30" i="13" s="1"/>
  <c r="CF28" i="13"/>
  <c r="CU28" i="13" s="1"/>
  <c r="AA31" i="13"/>
  <c r="AC31" i="13"/>
  <c r="BZ31" i="13"/>
  <c r="AB31" i="13"/>
  <c r="Z32" i="13"/>
  <c r="AD31" i="13"/>
  <c r="M25" i="13" l="1"/>
  <c r="CY24" i="13"/>
  <c r="K24" i="13" s="1"/>
  <c r="CZ24" i="13"/>
  <c r="L24" i="13" s="1"/>
  <c r="CY25" i="13"/>
  <c r="K25" i="13" s="1"/>
  <c r="M24" i="13"/>
  <c r="CW26" i="13"/>
  <c r="CX26" i="13" s="1"/>
  <c r="CT28" i="13"/>
  <c r="J28" i="13"/>
  <c r="CV27" i="13"/>
  <c r="CF29" i="13"/>
  <c r="CU29" i="13" s="1"/>
  <c r="CF30" i="13"/>
  <c r="BM29" i="13"/>
  <c r="BO30" i="13"/>
  <c r="BM30" i="13"/>
  <c r="BO29" i="13"/>
  <c r="AB32" i="13"/>
  <c r="AD32" i="13"/>
  <c r="AC32" i="13"/>
  <c r="AA32" i="13"/>
  <c r="Z33" i="13"/>
  <c r="BZ32" i="13"/>
  <c r="CY26" i="13" l="1"/>
  <c r="K26" i="13" s="1"/>
  <c r="CW27" i="13"/>
  <c r="CX27" i="13" s="1"/>
  <c r="CT30" i="13"/>
  <c r="CU30" i="13" s="1"/>
  <c r="CT29" i="13"/>
  <c r="CV28" i="13"/>
  <c r="DA28" i="13"/>
  <c r="CN32" i="13"/>
  <c r="BR32" i="13" s="1"/>
  <c r="CC31" i="13"/>
  <c r="CP31" i="13"/>
  <c r="BT31" i="13" s="1"/>
  <c r="CN31" i="13"/>
  <c r="BR31" i="13" s="1"/>
  <c r="CE31" i="13"/>
  <c r="CM31" i="13"/>
  <c r="BQ31" i="13" s="1"/>
  <c r="CO31" i="13"/>
  <c r="BS31" i="13" s="1"/>
  <c r="BZ33" i="13"/>
  <c r="AA33" i="13"/>
  <c r="AD33" i="13"/>
  <c r="AB33" i="13"/>
  <c r="AC33" i="13"/>
  <c r="Z34" i="13"/>
  <c r="BM31" i="13" l="1"/>
  <c r="CI31" i="13"/>
  <c r="M27" i="13"/>
  <c r="CZ26" i="13"/>
  <c r="L26" i="13" s="1"/>
  <c r="M26" i="13"/>
  <c r="CW28" i="13"/>
  <c r="CX28" i="13" s="1"/>
  <c r="CV29" i="13"/>
  <c r="J29" i="13"/>
  <c r="CV30" i="13"/>
  <c r="J30" i="13"/>
  <c r="DA29" i="13"/>
  <c r="CM32" i="13"/>
  <c r="BQ32" i="13" s="1"/>
  <c r="CP33" i="13"/>
  <c r="BT33" i="13" s="1"/>
  <c r="DA30" i="13"/>
  <c r="CP32" i="13"/>
  <c r="BT32" i="13" s="1"/>
  <c r="CO32" i="13"/>
  <c r="BS32" i="13" s="1"/>
  <c r="CC32" i="13"/>
  <c r="CE32" i="13"/>
  <c r="CF31" i="13"/>
  <c r="AA34" i="13"/>
  <c r="AC34" i="13"/>
  <c r="BZ34" i="13"/>
  <c r="AB34" i="13"/>
  <c r="Z35" i="13"/>
  <c r="AB35" i="13" s="1"/>
  <c r="AD34" i="13"/>
  <c r="BO31" i="13"/>
  <c r="BO32" i="13" l="1"/>
  <c r="CI32" i="13"/>
  <c r="CZ27" i="13"/>
  <c r="L27" i="13" s="1"/>
  <c r="CY27" i="13"/>
  <c r="K27" i="13" s="1"/>
  <c r="CW30" i="13"/>
  <c r="CW29" i="13"/>
  <c r="CX29" i="13" s="1"/>
  <c r="CT31" i="13"/>
  <c r="CU31" i="13" s="1"/>
  <c r="J31" i="13" s="1"/>
  <c r="CF32" i="13"/>
  <c r="CU32" i="13" s="1"/>
  <c r="BM32" i="13"/>
  <c r="CC33" i="13"/>
  <c r="CI33" i="13" s="1"/>
  <c r="CN33" i="13"/>
  <c r="BR33" i="13" s="1"/>
  <c r="CM33" i="13"/>
  <c r="BQ33" i="13" s="1"/>
  <c r="CO33" i="13"/>
  <c r="BS33" i="13" s="1"/>
  <c r="CE33" i="13"/>
  <c r="AC35" i="13"/>
  <c r="AA35" i="13"/>
  <c r="BZ35" i="13"/>
  <c r="Z36" i="13"/>
  <c r="AB36" i="13" s="1"/>
  <c r="AD35" i="13"/>
  <c r="CX30" i="13" l="1"/>
  <c r="M30" i="13" s="1"/>
  <c r="CZ28" i="13"/>
  <c r="L28" i="13" s="1"/>
  <c r="CY28" i="13"/>
  <c r="K28" i="13" s="1"/>
  <c r="M28" i="13"/>
  <c r="CT32" i="13"/>
  <c r="J32" i="13"/>
  <c r="CV31" i="13"/>
  <c r="DA31" i="13"/>
  <c r="CF33" i="13"/>
  <c r="CU33" i="13" s="1"/>
  <c r="BO33" i="13"/>
  <c r="BM33" i="13"/>
  <c r="BZ36" i="13"/>
  <c r="AA36" i="13"/>
  <c r="AD36" i="13"/>
  <c r="Z37" i="13"/>
  <c r="AC36" i="13"/>
  <c r="CC34" i="13"/>
  <c r="CI34" i="13" s="1"/>
  <c r="CE34" i="13"/>
  <c r="CM34" i="13"/>
  <c r="BQ34" i="13" s="1"/>
  <c r="CO34" i="13"/>
  <c r="BS34" i="13" s="1"/>
  <c r="CP34" i="13"/>
  <c r="BT34" i="13" s="1"/>
  <c r="CN34" i="13"/>
  <c r="BR34" i="13" s="1"/>
  <c r="CZ30" i="13" l="1"/>
  <c r="L30" i="13" s="1"/>
  <c r="M29" i="13"/>
  <c r="CY29" i="13"/>
  <c r="K29" i="13" s="1"/>
  <c r="CY30" i="13"/>
  <c r="K30" i="13" s="1"/>
  <c r="CZ29" i="13"/>
  <c r="L29" i="13" s="1"/>
  <c r="CW31" i="13"/>
  <c r="CX31" i="13" s="1"/>
  <c r="CV32" i="13"/>
  <c r="CT33" i="13"/>
  <c r="J33" i="13"/>
  <c r="DA32" i="13"/>
  <c r="CF34" i="13"/>
  <c r="CU34" i="13" s="1"/>
  <c r="BM34" i="13"/>
  <c r="CP35" i="13"/>
  <c r="BT35" i="13" s="1"/>
  <c r="CO35" i="13"/>
  <c r="BS35" i="13" s="1"/>
  <c r="CM35" i="13"/>
  <c r="BQ35" i="13" s="1"/>
  <c r="CE35" i="13"/>
  <c r="CC35" i="13"/>
  <c r="CI35" i="13" s="1"/>
  <c r="CN35" i="13"/>
  <c r="BR35" i="13" s="1"/>
  <c r="Z38" i="13"/>
  <c r="AB37" i="13"/>
  <c r="AA37" i="13" s="1"/>
  <c r="AC37" i="13"/>
  <c r="BZ37" i="13"/>
  <c r="AD37" i="13"/>
  <c r="BO34" i="13"/>
  <c r="CW32" i="13" l="1"/>
  <c r="CX32" i="13" s="1"/>
  <c r="CV33" i="13"/>
  <c r="CT34" i="13"/>
  <c r="J34" i="13"/>
  <c r="DA34" i="13"/>
  <c r="DA33" i="13"/>
  <c r="CF35" i="13"/>
  <c r="CU35" i="13" s="1"/>
  <c r="BM35" i="13"/>
  <c r="CP36" i="13"/>
  <c r="BT36" i="13" s="1"/>
  <c r="CM36" i="13"/>
  <c r="BQ36" i="13" s="1"/>
  <c r="CN36" i="13"/>
  <c r="BR36" i="13" s="1"/>
  <c r="CE36" i="13"/>
  <c r="CO36" i="13"/>
  <c r="BS36" i="13" s="1"/>
  <c r="CC36" i="13"/>
  <c r="BO35" i="13"/>
  <c r="AB38" i="13"/>
  <c r="AA38" i="13" s="1"/>
  <c r="AD38" i="13"/>
  <c r="AC38" i="13"/>
  <c r="BZ38" i="13"/>
  <c r="Z39" i="28"/>
  <c r="O1" i="28" s="1"/>
  <c r="Z8" i="28" s="1"/>
  <c r="CO37" i="13"/>
  <c r="BS37" i="13" s="1"/>
  <c r="CM37" i="13"/>
  <c r="BQ37" i="13" s="1"/>
  <c r="CN37" i="13"/>
  <c r="BR37" i="13" s="1"/>
  <c r="CP37" i="13"/>
  <c r="BT37" i="13" s="1"/>
  <c r="CE37" i="13"/>
  <c r="CC37" i="13"/>
  <c r="BM37" i="13" l="1"/>
  <c r="CI37" i="13"/>
  <c r="BM36" i="13"/>
  <c r="CI36" i="13"/>
  <c r="CZ32" i="13"/>
  <c r="L32" i="13" s="1"/>
  <c r="CZ31" i="13"/>
  <c r="L31" i="13" s="1"/>
  <c r="CY31" i="13"/>
  <c r="K31" i="13" s="1"/>
  <c r="M31" i="13"/>
  <c r="CW33" i="13"/>
  <c r="CX33" i="13" s="1"/>
  <c r="CT35" i="13"/>
  <c r="J35" i="13"/>
  <c r="CV34" i="13"/>
  <c r="CW34" i="13" s="1"/>
  <c r="DA35" i="13"/>
  <c r="CE38" i="13"/>
  <c r="CC38" i="13"/>
  <c r="CI38" i="13" s="1"/>
  <c r="CN38" i="13"/>
  <c r="BR38" i="13" s="1"/>
  <c r="BR41" i="13" s="1"/>
  <c r="CO38" i="13"/>
  <c r="BS38" i="13" s="1"/>
  <c r="BS41" i="13" s="1"/>
  <c r="CP38" i="13"/>
  <c r="BT38" i="13" s="1"/>
  <c r="BT41" i="13" s="1"/>
  <c r="CM38" i="13"/>
  <c r="BQ38" i="13" s="1"/>
  <c r="BQ41" i="13" s="1"/>
  <c r="A8" i="28"/>
  <c r="BZ8" i="28" s="1"/>
  <c r="B8" i="28"/>
  <c r="AA8" i="28"/>
  <c r="AB8" i="28"/>
  <c r="BO37" i="13"/>
  <c r="CF36" i="13"/>
  <c r="CU36" i="13" s="1"/>
  <c r="BO36" i="13"/>
  <c r="CF37" i="13"/>
  <c r="AD8" i="28"/>
  <c r="AC8" i="28"/>
  <c r="Z9" i="28"/>
  <c r="CX34" i="13" l="1"/>
  <c r="CZ34" i="13" s="1"/>
  <c r="L34" i="13" s="1"/>
  <c r="CC8" i="28"/>
  <c r="CY32" i="13"/>
  <c r="K32" i="13" s="1"/>
  <c r="M32" i="13"/>
  <c r="I8" i="28"/>
  <c r="CT37" i="13"/>
  <c r="CT36" i="13"/>
  <c r="J36" i="13" s="1"/>
  <c r="CV35" i="13"/>
  <c r="CW35" i="13" s="1"/>
  <c r="DA36" i="13"/>
  <c r="BQ43" i="13"/>
  <c r="N42" i="13" s="1"/>
  <c r="BS43" i="13"/>
  <c r="N45" i="13" s="1"/>
  <c r="BO38" i="13"/>
  <c r="BO41" i="13" s="1"/>
  <c r="BO43" i="13" s="1"/>
  <c r="N44" i="13" s="1"/>
  <c r="CF38" i="13"/>
  <c r="BM38" i="13"/>
  <c r="BM41" i="13" s="1"/>
  <c r="BM43" i="13" s="1"/>
  <c r="N43" i="13" s="1"/>
  <c r="A9" i="28"/>
  <c r="BZ9" i="28" s="1"/>
  <c r="B9" i="28"/>
  <c r="AB9" i="28"/>
  <c r="Z10" i="28"/>
  <c r="AA9" i="28"/>
  <c r="AD9" i="28"/>
  <c r="AC9" i="28"/>
  <c r="CX35" i="13" l="1"/>
  <c r="CE8" i="28"/>
  <c r="CM8" i="28"/>
  <c r="CP8" i="28"/>
  <c r="BT8" i="28" s="1"/>
  <c r="CO8" i="28"/>
  <c r="BS8" i="28" s="1"/>
  <c r="CN8" i="28"/>
  <c r="BR8" i="28" s="1"/>
  <c r="CU37" i="13"/>
  <c r="J37" i="13" s="1"/>
  <c r="M33" i="13"/>
  <c r="M34" i="13"/>
  <c r="CY33" i="13"/>
  <c r="K33" i="13" s="1"/>
  <c r="M35" i="13"/>
  <c r="CY34" i="13"/>
  <c r="K34" i="13" s="1"/>
  <c r="CZ33" i="13"/>
  <c r="L33" i="13" s="1"/>
  <c r="CD8" i="28"/>
  <c r="BP8" i="28" s="1"/>
  <c r="BQ8" i="28"/>
  <c r="CV36" i="13"/>
  <c r="CT38" i="13"/>
  <c r="CU38" i="13" s="1"/>
  <c r="J38" i="13" s="1"/>
  <c r="P44" i="13"/>
  <c r="R44" i="13" s="1"/>
  <c r="P42" i="13"/>
  <c r="R42" i="13" s="1"/>
  <c r="P43" i="13"/>
  <c r="R43" i="13" s="1"/>
  <c r="P45" i="13"/>
  <c r="R45" i="13" s="1"/>
  <c r="BM8" i="28"/>
  <c r="AA10" i="28"/>
  <c r="B10" i="28"/>
  <c r="AD10" i="28"/>
  <c r="Z11" i="28"/>
  <c r="AC10" i="28"/>
  <c r="A10" i="28"/>
  <c r="BZ10" i="28" s="1"/>
  <c r="AB10" i="28"/>
  <c r="CV37" i="13" l="1"/>
  <c r="CW37" i="13" s="1"/>
  <c r="CI8" i="28"/>
  <c r="I9" i="28"/>
  <c r="CD9" i="28" s="1"/>
  <c r="CZ35" i="13"/>
  <c r="L35" i="13" s="1"/>
  <c r="CY35" i="13"/>
  <c r="K35" i="13" s="1"/>
  <c r="BN8" i="28"/>
  <c r="CF8" i="28"/>
  <c r="H10" i="28"/>
  <c r="CW36" i="13"/>
  <c r="CX36" i="13" s="1"/>
  <c r="CV38" i="13"/>
  <c r="BO8" i="28"/>
  <c r="AA11" i="28"/>
  <c r="Z12" i="28"/>
  <c r="B11" i="28"/>
  <c r="AB11" i="28"/>
  <c r="AD11" i="28"/>
  <c r="A11" i="28"/>
  <c r="BZ11" i="28" s="1"/>
  <c r="AC11" i="28"/>
  <c r="CE9" i="28" l="1"/>
  <c r="CP9" i="28"/>
  <c r="BT9" i="28" s="1"/>
  <c r="CO9" i="28"/>
  <c r="BS9" i="28" s="1"/>
  <c r="CN9" i="28"/>
  <c r="BR9" i="28" s="1"/>
  <c r="CM9" i="28"/>
  <c r="BQ9" i="28" s="1"/>
  <c r="CC9" i="28"/>
  <c r="BM9" i="28" s="1"/>
  <c r="CX37" i="13"/>
  <c r="M37" i="13" s="1"/>
  <c r="CU8" i="28"/>
  <c r="CT8" i="28"/>
  <c r="BP9" i="28"/>
  <c r="BN9" i="28"/>
  <c r="H11" i="28"/>
  <c r="I10" i="28"/>
  <c r="CC10" i="28"/>
  <c r="CW38" i="13"/>
  <c r="B12" i="28"/>
  <c r="A12" i="28"/>
  <c r="BZ12" i="28" s="1"/>
  <c r="AB12" i="28"/>
  <c r="AC12" i="28"/>
  <c r="AD12" i="28"/>
  <c r="Z13" i="28"/>
  <c r="AA12" i="28"/>
  <c r="CX38" i="13" l="1"/>
  <c r="CZ38" i="13" s="1"/>
  <c r="L38" i="13" s="1"/>
  <c r="CF9" i="28"/>
  <c r="BO9" i="28"/>
  <c r="CI9" i="28"/>
  <c r="CU9" i="28"/>
  <c r="CV9" i="28" s="1"/>
  <c r="CW9" i="28" s="1"/>
  <c r="CT9" i="28"/>
  <c r="CY37" i="13"/>
  <c r="K37" i="13" s="1"/>
  <c r="CY36" i="13"/>
  <c r="K36" i="13" s="1"/>
  <c r="CZ37" i="13"/>
  <c r="L37" i="13" s="1"/>
  <c r="CZ36" i="13"/>
  <c r="L36" i="13" s="1"/>
  <c r="M36" i="13"/>
  <c r="CD10" i="28"/>
  <c r="BN10" i="28" s="1"/>
  <c r="BS10" i="28"/>
  <c r="BQ10" i="28"/>
  <c r="I11" i="28"/>
  <c r="BT11" i="28" s="1"/>
  <c r="CC11" i="28"/>
  <c r="CE10" i="28"/>
  <c r="BM10" i="28"/>
  <c r="CV8" i="28"/>
  <c r="CW8" i="28" s="1"/>
  <c r="J8" i="28"/>
  <c r="BT10" i="28"/>
  <c r="H12" i="28"/>
  <c r="BR10" i="28"/>
  <c r="BO10" i="28"/>
  <c r="AB13" i="28"/>
  <c r="B13" i="28"/>
  <c r="Z14" i="28"/>
  <c r="A13" i="28"/>
  <c r="BZ13" i="28" s="1"/>
  <c r="AA13" i="28"/>
  <c r="AD13" i="28"/>
  <c r="AC13" i="28"/>
  <c r="H13" i="28" s="1"/>
  <c r="J9" i="28" l="1"/>
  <c r="BO11" i="28"/>
  <c r="CI10" i="28"/>
  <c r="CE11" i="28"/>
  <c r="CY38" i="13"/>
  <c r="K38" i="13" s="1"/>
  <c r="D3" i="28" s="1"/>
  <c r="CV3" i="28" s="1"/>
  <c r="M38" i="13"/>
  <c r="CF10" i="28"/>
  <c r="BP10" i="28"/>
  <c r="BR11" i="28"/>
  <c r="CD11" i="28"/>
  <c r="CF11" i="28" s="1"/>
  <c r="BS11" i="28"/>
  <c r="BQ11" i="28"/>
  <c r="I12" i="28"/>
  <c r="CE12" i="28" s="1"/>
  <c r="I13" i="28"/>
  <c r="CE13" i="28" s="1"/>
  <c r="BM11" i="28"/>
  <c r="AD14" i="28"/>
  <c r="AC14" i="28"/>
  <c r="H14" i="28" s="1"/>
  <c r="B14" i="28"/>
  <c r="Z15" i="28"/>
  <c r="AB14" i="28"/>
  <c r="A14" i="28"/>
  <c r="BZ14" i="28" s="1"/>
  <c r="AA14" i="28"/>
  <c r="E3" i="28" l="1"/>
  <c r="G3" i="28" s="1"/>
  <c r="CW3" i="28" s="1"/>
  <c r="CX8" i="28" s="1"/>
  <c r="CX9" i="28" s="1"/>
  <c r="CZ9" i="28" s="1"/>
  <c r="L9" i="28" s="1"/>
  <c r="CI11" i="28"/>
  <c r="CU11" i="28"/>
  <c r="CV11" i="28" s="1"/>
  <c r="CW11" i="28" s="1"/>
  <c r="CT11" i="28"/>
  <c r="CU10" i="28"/>
  <c r="CT10" i="28"/>
  <c r="BR13" i="28"/>
  <c r="BT13" i="28"/>
  <c r="CC13" i="28"/>
  <c r="BR12" i="28"/>
  <c r="CV10" i="28"/>
  <c r="CW10" i="28" s="1"/>
  <c r="J10" i="28"/>
  <c r="BN11" i="28"/>
  <c r="BS12" i="28"/>
  <c r="BQ12" i="28"/>
  <c r="CD12" i="28"/>
  <c r="BP12" i="28" s="1"/>
  <c r="BP11" i="28"/>
  <c r="I14" i="28"/>
  <c r="BR14" i="28" s="1"/>
  <c r="BQ13" i="28"/>
  <c r="BS13" i="28"/>
  <c r="CD13" i="28"/>
  <c r="BP13" i="28" s="1"/>
  <c r="CC12" i="28"/>
  <c r="BT12" i="28"/>
  <c r="AC15" i="28"/>
  <c r="B15" i="28"/>
  <c r="AA15" i="28"/>
  <c r="A15" i="28"/>
  <c r="BZ15" i="28" s="1"/>
  <c r="AD15" i="28"/>
  <c r="AB15" i="28"/>
  <c r="Z16" i="28"/>
  <c r="CZ8" i="28" l="1"/>
  <c r="L8" i="28" s="1"/>
  <c r="CX10" i="28"/>
  <c r="CX11" i="28" s="1"/>
  <c r="CY11" i="28" s="1"/>
  <c r="K11" i="28" s="1"/>
  <c r="CI12" i="28"/>
  <c r="BO13" i="28"/>
  <c r="CI13" i="28"/>
  <c r="BM13" i="28"/>
  <c r="J11" i="28"/>
  <c r="CF13" i="28"/>
  <c r="BN13" i="28"/>
  <c r="BN12" i="28"/>
  <c r="BS14" i="28"/>
  <c r="CD14" i="28"/>
  <c r="BN14" i="28" s="1"/>
  <c r="BT14" i="28"/>
  <c r="H15" i="28"/>
  <c r="CC14" i="28"/>
  <c r="CF12" i="28"/>
  <c r="BM12" i="28"/>
  <c r="BO12" i="28"/>
  <c r="CE14" i="28"/>
  <c r="M8" i="28"/>
  <c r="CY8" i="28"/>
  <c r="K8" i="28" s="1"/>
  <c r="CY9" i="28"/>
  <c r="K9" i="28" s="1"/>
  <c r="M9" i="28"/>
  <c r="AC16" i="28"/>
  <c r="AA16" i="28"/>
  <c r="B16" i="28"/>
  <c r="AB16" i="28"/>
  <c r="Z17" i="28"/>
  <c r="A16" i="28"/>
  <c r="BZ16" i="28" s="1"/>
  <c r="AD16" i="28"/>
  <c r="CY10" i="28" l="1"/>
  <c r="K10" i="28" s="1"/>
  <c r="CZ10" i="28"/>
  <c r="L10" i="28" s="1"/>
  <c r="M10" i="28"/>
  <c r="CI14" i="28"/>
  <c r="CT13" i="28"/>
  <c r="CU13" i="28" s="1"/>
  <c r="CU12" i="28"/>
  <c r="CV12" i="28" s="1"/>
  <c r="CW12" i="28" s="1"/>
  <c r="CX12" i="28" s="1"/>
  <c r="CT12" i="28"/>
  <c r="CF14" i="28"/>
  <c r="CZ11" i="28"/>
  <c r="L11" i="28" s="1"/>
  <c r="I15" i="28"/>
  <c r="CE15" i="28" s="1"/>
  <c r="CC15" i="28"/>
  <c r="BP14" i="28"/>
  <c r="H16" i="28"/>
  <c r="BM14" i="28"/>
  <c r="BO14" i="28"/>
  <c r="BQ14" i="28"/>
  <c r="M11" i="28"/>
  <c r="AC17" i="28"/>
  <c r="AD17" i="28"/>
  <c r="A17" i="28"/>
  <c r="BZ17" i="28" s="1"/>
  <c r="AA17" i="28"/>
  <c r="B17" i="28"/>
  <c r="Z18" i="28"/>
  <c r="AB17" i="28"/>
  <c r="J12" i="28" l="1"/>
  <c r="CT14" i="28"/>
  <c r="CU14" i="28" s="1"/>
  <c r="CV13" i="28"/>
  <c r="CW13" i="28" s="1"/>
  <c r="CX13" i="28" s="1"/>
  <c r="J13" i="28"/>
  <c r="BR15" i="28"/>
  <c r="I16" i="28"/>
  <c r="BR16" i="28" s="1"/>
  <c r="CC16" i="28"/>
  <c r="BT15" i="28"/>
  <c r="H17" i="28"/>
  <c r="BS15" i="28"/>
  <c r="CD15" i="28"/>
  <c r="BP15" i="28" s="1"/>
  <c r="CY12" i="28"/>
  <c r="K12" i="28" s="1"/>
  <c r="CZ12" i="28"/>
  <c r="L12" i="28" s="1"/>
  <c r="M12" i="28"/>
  <c r="BO15" i="28"/>
  <c r="BM15" i="28"/>
  <c r="Z19" i="28"/>
  <c r="A18" i="28"/>
  <c r="BZ18" i="28" s="1"/>
  <c r="AA18" i="28"/>
  <c r="AB18" i="28"/>
  <c r="AC18" i="28"/>
  <c r="B18" i="28"/>
  <c r="AD18" i="28"/>
  <c r="CI15" i="28" l="1"/>
  <c r="CV14" i="28"/>
  <c r="CW14" i="28" s="1"/>
  <c r="J14" i="28"/>
  <c r="M13" i="28"/>
  <c r="CZ13" i="28"/>
  <c r="L13" i="28" s="1"/>
  <c r="CY13" i="28"/>
  <c r="K13" i="28" s="1"/>
  <c r="CE16" i="28"/>
  <c r="BT16" i="28"/>
  <c r="I17" i="28"/>
  <c r="BR17" i="28" s="1"/>
  <c r="CC17" i="28"/>
  <c r="BN15" i="28"/>
  <c r="H18" i="28"/>
  <c r="CF15" i="28"/>
  <c r="BM16" i="28"/>
  <c r="CD16" i="28"/>
  <c r="BP16" i="28" s="1"/>
  <c r="BS16" i="28"/>
  <c r="BQ15" i="28"/>
  <c r="BO16" i="28"/>
  <c r="B19" i="28"/>
  <c r="AC19" i="28"/>
  <c r="Z20" i="28"/>
  <c r="AD19" i="28"/>
  <c r="AA19" i="28"/>
  <c r="AB19" i="28"/>
  <c r="A19" i="28"/>
  <c r="BZ19" i="28" s="1"/>
  <c r="CX14" i="28" l="1"/>
  <c r="CZ14" i="28" s="1"/>
  <c r="L14" i="28" s="1"/>
  <c r="BM17" i="28"/>
  <c r="CI16" i="28"/>
  <c r="CU15" i="28"/>
  <c r="CT15" i="28"/>
  <c r="BT17" i="28"/>
  <c r="CE17" i="28"/>
  <c r="I18" i="28"/>
  <c r="BT18" i="28" s="1"/>
  <c r="CC18" i="28"/>
  <c r="CF16" i="28"/>
  <c r="BQ16" i="28"/>
  <c r="BN16" i="28"/>
  <c r="H19" i="28"/>
  <c r="BS17" i="28"/>
  <c r="CD17" i="28"/>
  <c r="BN17" i="28" s="1"/>
  <c r="BO17" i="28"/>
  <c r="A20" i="28"/>
  <c r="BZ20" i="28" s="1"/>
  <c r="Z21" i="28"/>
  <c r="AA20" i="28"/>
  <c r="B20" i="28"/>
  <c r="AD20" i="28"/>
  <c r="AC20" i="28"/>
  <c r="H20" i="28" s="1"/>
  <c r="AB20" i="28"/>
  <c r="M14" i="28" l="1"/>
  <c r="CY14" i="28"/>
  <c r="K14" i="28" s="1"/>
  <c r="BO18" i="28"/>
  <c r="CI17" i="28"/>
  <c r="CU16" i="28"/>
  <c r="CT16" i="28"/>
  <c r="CE18" i="28"/>
  <c r="CF17" i="28"/>
  <c r="BP17" i="28"/>
  <c r="BR18" i="28"/>
  <c r="I20" i="28"/>
  <c r="CC20" i="28" s="1"/>
  <c r="CD18" i="28"/>
  <c r="BN18" i="28" s="1"/>
  <c r="BS18" i="28"/>
  <c r="BQ17" i="28"/>
  <c r="I19" i="28"/>
  <c r="BT19" i="28" s="1"/>
  <c r="CC19" i="28"/>
  <c r="CV15" i="28"/>
  <c r="CW15" i="28" s="1"/>
  <c r="CX15" i="28" s="1"/>
  <c r="J15" i="28"/>
  <c r="BM18" i="28"/>
  <c r="B21" i="28"/>
  <c r="Z22" i="28"/>
  <c r="AD21" i="28"/>
  <c r="A21" i="28"/>
  <c r="BZ21" i="28" s="1"/>
  <c r="AB21" i="28"/>
  <c r="AC21" i="28"/>
  <c r="H21" i="28" s="1"/>
  <c r="AA21" i="28"/>
  <c r="CI18" i="28" l="1"/>
  <c r="BM20" i="28"/>
  <c r="CU17" i="28"/>
  <c r="J17" i="28" s="1"/>
  <c r="CT17" i="28"/>
  <c r="CV17" i="28"/>
  <c r="CW17" i="28" s="1"/>
  <c r="CE20" i="28"/>
  <c r="BR20" i="28"/>
  <c r="BT20" i="28"/>
  <c r="CE19" i="28"/>
  <c r="BR19" i="28"/>
  <c r="CF18" i="28"/>
  <c r="BP18" i="28"/>
  <c r="BS19" i="28"/>
  <c r="CD19" i="28"/>
  <c r="CI19" i="28" s="1"/>
  <c r="I21" i="28"/>
  <c r="BT21" i="28" s="1"/>
  <c r="CC21" i="28"/>
  <c r="CV16" i="28"/>
  <c r="CW16" i="28" s="1"/>
  <c r="CX16" i="28" s="1"/>
  <c r="CX17" i="28" s="1"/>
  <c r="J16" i="28"/>
  <c r="BQ18" i="28"/>
  <c r="CD20" i="28"/>
  <c r="CF20" i="28" s="1"/>
  <c r="BS20" i="28"/>
  <c r="CZ15" i="28"/>
  <c r="L15" i="28" s="1"/>
  <c r="CY15" i="28"/>
  <c r="K15" i="28" s="1"/>
  <c r="M15" i="28"/>
  <c r="BO19" i="28"/>
  <c r="BM19" i="28"/>
  <c r="BO20" i="28"/>
  <c r="Z23" i="28"/>
  <c r="A22" i="28"/>
  <c r="BZ22" i="28" s="1"/>
  <c r="B22" i="28"/>
  <c r="AC22" i="28"/>
  <c r="AA22" i="28"/>
  <c r="AB22" i="28"/>
  <c r="AD22" i="28"/>
  <c r="CI20" i="28" l="1"/>
  <c r="CU18" i="28"/>
  <c r="CT18" i="28"/>
  <c r="CT20" i="28"/>
  <c r="CU20" i="28" s="1"/>
  <c r="J20" i="28" s="1"/>
  <c r="CF19" i="28"/>
  <c r="CV18" i="28"/>
  <c r="CW18" i="28" s="1"/>
  <c r="CX18" i="28" s="1"/>
  <c r="BN20" i="28"/>
  <c r="BP20" i="28"/>
  <c r="J18" i="28"/>
  <c r="BQ20" i="28"/>
  <c r="BP19" i="28"/>
  <c r="CD21" i="28"/>
  <c r="CI21" i="28" s="1"/>
  <c r="BS21" i="28"/>
  <c r="BN19" i="28"/>
  <c r="BR21" i="28"/>
  <c r="H22" i="28"/>
  <c r="BQ19" i="28"/>
  <c r="CE21" i="28"/>
  <c r="BM21" i="28"/>
  <c r="BO21" i="28"/>
  <c r="B23" i="28"/>
  <c r="A23" i="28"/>
  <c r="BZ23" i="28" s="1"/>
  <c r="AA23" i="28"/>
  <c r="AD23" i="28"/>
  <c r="AC23" i="28"/>
  <c r="Z24" i="28"/>
  <c r="AB23" i="28"/>
  <c r="CU19" i="28" l="1"/>
  <c r="J19" i="28" s="1"/>
  <c r="CT19" i="28"/>
  <c r="CV20" i="28"/>
  <c r="CW20" i="28" s="1"/>
  <c r="CF21" i="28"/>
  <c r="H23" i="28"/>
  <c r="CC23" i="28" s="1"/>
  <c r="CY16" i="28"/>
  <c r="K16" i="28" s="1"/>
  <c r="CZ16" i="28"/>
  <c r="L16" i="28" s="1"/>
  <c r="M16" i="28"/>
  <c r="M18" i="28"/>
  <c r="CZ17" i="28"/>
  <c r="L17" i="28" s="1"/>
  <c r="M17" i="28"/>
  <c r="CY17" i="28"/>
  <c r="K17" i="28" s="1"/>
  <c r="BN21" i="28"/>
  <c r="BP21" i="28"/>
  <c r="I22" i="28"/>
  <c r="CE22" i="28" s="1"/>
  <c r="CC22" i="28"/>
  <c r="BQ21" i="28"/>
  <c r="I23" i="28"/>
  <c r="A24" i="28"/>
  <c r="BZ24" i="28" s="1"/>
  <c r="AA24" i="28"/>
  <c r="AC24" i="28"/>
  <c r="AB24" i="28"/>
  <c r="Z25" i="28"/>
  <c r="B24" i="28"/>
  <c r="AD24" i="28"/>
  <c r="CT21" i="28" l="1"/>
  <c r="CU21" i="28" s="1"/>
  <c r="CV19" i="28"/>
  <c r="CW19" i="28" s="1"/>
  <c r="CX19" i="28" s="1"/>
  <c r="CX20" i="28" s="1"/>
  <c r="BT22" i="28"/>
  <c r="BR22" i="28"/>
  <c r="CY18" i="28"/>
  <c r="K18" i="28" s="1"/>
  <c r="CZ18" i="28"/>
  <c r="L18" i="28" s="1"/>
  <c r="CD23" i="28"/>
  <c r="CI23" i="28" s="1"/>
  <c r="BS23" i="28"/>
  <c r="BR23" i="28"/>
  <c r="H24" i="28"/>
  <c r="CE23" i="28"/>
  <c r="CD22" i="28"/>
  <c r="CF22" i="28" s="1"/>
  <c r="BS22" i="28"/>
  <c r="BM22" i="28"/>
  <c r="BO23" i="28"/>
  <c r="BT23" i="28"/>
  <c r="BO22" i="28"/>
  <c r="B25" i="28"/>
  <c r="AA25" i="28"/>
  <c r="AC25" i="28"/>
  <c r="AB25" i="28"/>
  <c r="A25" i="28"/>
  <c r="BZ25" i="28" s="1"/>
  <c r="Z26" i="28"/>
  <c r="AD25" i="28"/>
  <c r="M19" i="28" l="1"/>
  <c r="CI22" i="28"/>
  <c r="CU22" i="28"/>
  <c r="CT22" i="28"/>
  <c r="J21" i="28"/>
  <c r="CV21" i="28"/>
  <c r="CW21" i="28" s="1"/>
  <c r="CX21" i="28" s="1"/>
  <c r="CF23" i="28"/>
  <c r="M20" i="28"/>
  <c r="CY19" i="28"/>
  <c r="K19" i="28" s="1"/>
  <c r="CZ19" i="28"/>
  <c r="L19" i="28" s="1"/>
  <c r="BP23" i="28"/>
  <c r="BN23" i="28"/>
  <c r="BN22" i="28"/>
  <c r="BP22" i="28"/>
  <c r="I24" i="28"/>
  <c r="BR24" i="28" s="1"/>
  <c r="CC24" i="28"/>
  <c r="BQ23" i="28"/>
  <c r="H25" i="28"/>
  <c r="BQ22" i="28"/>
  <c r="BM23" i="28"/>
  <c r="AC26" i="28"/>
  <c r="A26" i="28"/>
  <c r="BZ26" i="28" s="1"/>
  <c r="Z27" i="28"/>
  <c r="AA26" i="28"/>
  <c r="B26" i="28"/>
  <c r="AD26" i="28"/>
  <c r="AB26" i="28"/>
  <c r="CU23" i="28" l="1"/>
  <c r="J23" i="28" s="1"/>
  <c r="CT23" i="28"/>
  <c r="H26" i="28"/>
  <c r="I26" i="28" s="1"/>
  <c r="CY20" i="28"/>
  <c r="K20" i="28" s="1"/>
  <c r="CZ20" i="28"/>
  <c r="L20" i="28" s="1"/>
  <c r="CC26" i="28"/>
  <c r="CE24" i="28"/>
  <c r="I25" i="28"/>
  <c r="BR25" i="28" s="1"/>
  <c r="CC25" i="28"/>
  <c r="BS24" i="28"/>
  <c r="CD24" i="28"/>
  <c r="BP24" i="28" s="1"/>
  <c r="BT24" i="28"/>
  <c r="BM24" i="28"/>
  <c r="CV22" i="28"/>
  <c r="CW22" i="28" s="1"/>
  <c r="CX22" i="28" s="1"/>
  <c r="J22" i="28"/>
  <c r="BO24" i="28"/>
  <c r="B27" i="28"/>
  <c r="AC27" i="28"/>
  <c r="H27" i="28" s="1"/>
  <c r="Z28" i="28"/>
  <c r="AA27" i="28"/>
  <c r="AD27" i="28"/>
  <c r="A27" i="28"/>
  <c r="BZ27" i="28" s="1"/>
  <c r="AB27" i="28"/>
  <c r="CV23" i="28" l="1"/>
  <c r="CW23" i="28" s="1"/>
  <c r="CX23" i="28" s="1"/>
  <c r="BO25" i="28"/>
  <c r="CI24" i="28"/>
  <c r="CE26" i="28"/>
  <c r="CF24" i="28"/>
  <c r="CZ21" i="28"/>
  <c r="L21" i="28" s="1"/>
  <c r="CY21" i="28"/>
  <c r="K21" i="28" s="1"/>
  <c r="M21" i="28"/>
  <c r="BN24" i="28"/>
  <c r="CD25" i="28"/>
  <c r="BP25" i="28" s="1"/>
  <c r="BS25" i="28"/>
  <c r="I27" i="28"/>
  <c r="CE27" i="28" s="1"/>
  <c r="CC27" i="28"/>
  <c r="BT27" i="28"/>
  <c r="BT25" i="28"/>
  <c r="BQ24" i="28"/>
  <c r="CE25" i="28"/>
  <c r="CD26" i="28"/>
  <c r="BN26" i="28" s="1"/>
  <c r="BS26" i="28"/>
  <c r="BM25" i="28"/>
  <c r="BR26" i="28"/>
  <c r="BT26" i="28"/>
  <c r="BM26" i="28"/>
  <c r="AD28" i="28"/>
  <c r="AB28" i="28"/>
  <c r="B28" i="28"/>
  <c r="Z29" i="28"/>
  <c r="AC28" i="28"/>
  <c r="H28" i="28" s="1"/>
  <c r="AA28" i="28"/>
  <c r="A28" i="28"/>
  <c r="BZ28" i="28" s="1"/>
  <c r="CI25" i="28" l="1"/>
  <c r="CY22" i="28"/>
  <c r="K22" i="28" s="1"/>
  <c r="CI26" i="28"/>
  <c r="CU24" i="28"/>
  <c r="CV24" i="28" s="1"/>
  <c r="CW24" i="28" s="1"/>
  <c r="CT24" i="28"/>
  <c r="BR27" i="28"/>
  <c r="CZ22" i="28"/>
  <c r="L22" i="28" s="1"/>
  <c r="M22" i="28"/>
  <c r="CZ23" i="28"/>
  <c r="L23" i="28" s="1"/>
  <c r="CY23" i="28"/>
  <c r="K23" i="28" s="1"/>
  <c r="CF25" i="28"/>
  <c r="BP26" i="28"/>
  <c r="CD27" i="28"/>
  <c r="CF27" i="28" s="1"/>
  <c r="BS27" i="28"/>
  <c r="I28" i="28"/>
  <c r="BQ26" i="28"/>
  <c r="BN25" i="28"/>
  <c r="CF26" i="28"/>
  <c r="BM27" i="28"/>
  <c r="BQ25" i="28"/>
  <c r="M23" i="28"/>
  <c r="BO26" i="28"/>
  <c r="BO27" i="28"/>
  <c r="B29" i="28"/>
  <c r="Z30" i="28"/>
  <c r="A29" i="28"/>
  <c r="BZ29" i="28" s="1"/>
  <c r="AA29" i="28"/>
  <c r="AD29" i="28"/>
  <c r="AB29" i="28"/>
  <c r="AC29" i="28"/>
  <c r="J24" i="28" l="1"/>
  <c r="CX24" i="28"/>
  <c r="CY24" i="28" s="1"/>
  <c r="K24" i="28" s="1"/>
  <c r="CI27" i="28"/>
  <c r="CU26" i="28"/>
  <c r="CT26" i="28"/>
  <c r="CU25" i="28"/>
  <c r="CT25" i="28"/>
  <c r="CT27" i="28"/>
  <c r="CU27" i="28" s="1"/>
  <c r="J26" i="28"/>
  <c r="CV25" i="28"/>
  <c r="CW25" i="28" s="1"/>
  <c r="BQ27" i="28"/>
  <c r="BN27" i="28"/>
  <c r="CD28" i="28"/>
  <c r="BN28" i="28" s="1"/>
  <c r="BS28" i="28"/>
  <c r="BP27" i="28"/>
  <c r="BR28" i="28"/>
  <c r="BT28" i="28"/>
  <c r="H29" i="28"/>
  <c r="CC28" i="28"/>
  <c r="CE28" i="28"/>
  <c r="Z31" i="28"/>
  <c r="AB30" i="28"/>
  <c r="B30" i="28"/>
  <c r="A30" i="28"/>
  <c r="BZ30" i="28" s="1"/>
  <c r="AA30" i="28"/>
  <c r="AC30" i="28"/>
  <c r="AD30" i="28"/>
  <c r="M24" i="28" l="1"/>
  <c r="CX25" i="28"/>
  <c r="CZ24" i="28"/>
  <c r="L24" i="28" s="1"/>
  <c r="BO28" i="28"/>
  <c r="CI28" i="28"/>
  <c r="J27" i="28"/>
  <c r="CV27" i="28"/>
  <c r="CW27" i="28" s="1"/>
  <c r="CV26" i="28"/>
  <c r="CW26" i="28" s="1"/>
  <c r="M25" i="28"/>
  <c r="CY25" i="28"/>
  <c r="K25" i="28" s="1"/>
  <c r="CZ25" i="28"/>
  <c r="L25" i="28" s="1"/>
  <c r="J25" i="28"/>
  <c r="BP28" i="28"/>
  <c r="H30" i="28"/>
  <c r="CF28" i="28"/>
  <c r="BM28" i="28"/>
  <c r="I29" i="28"/>
  <c r="CE29" i="28" s="1"/>
  <c r="CC29" i="28"/>
  <c r="BQ28" i="28"/>
  <c r="AD31" i="28"/>
  <c r="AB31" i="28"/>
  <c r="AA31" i="28"/>
  <c r="A31" i="28"/>
  <c r="BZ31" i="28" s="1"/>
  <c r="Z32" i="28"/>
  <c r="B31" i="28"/>
  <c r="AC31" i="28"/>
  <c r="CX26" i="28" l="1"/>
  <c r="CX27" i="28" s="1"/>
  <c r="CY27" i="28" s="1"/>
  <c r="K27" i="28" s="1"/>
  <c r="CT28" i="28"/>
  <c r="CU28" i="28" s="1"/>
  <c r="BR29" i="28"/>
  <c r="BT29" i="28"/>
  <c r="CD29" i="28"/>
  <c r="CF29" i="28" s="1"/>
  <c r="BS29" i="28"/>
  <c r="H31" i="28"/>
  <c r="I30" i="28"/>
  <c r="CC30" i="28"/>
  <c r="BM29" i="28"/>
  <c r="BO29" i="28"/>
  <c r="AA32" i="28"/>
  <c r="AB32" i="28"/>
  <c r="AC32" i="28"/>
  <c r="B32" i="28"/>
  <c r="Z33" i="28"/>
  <c r="A32" i="28"/>
  <c r="BZ32" i="28" s="1"/>
  <c r="AD32" i="28"/>
  <c r="M26" i="28" l="1"/>
  <c r="CZ26" i="28"/>
  <c r="L26" i="28" s="1"/>
  <c r="CY26" i="28"/>
  <c r="K26" i="28" s="1"/>
  <c r="CZ27" i="28"/>
  <c r="L27" i="28" s="1"/>
  <c r="BM30" i="28"/>
  <c r="CI29" i="28"/>
  <c r="CU29" i="28"/>
  <c r="CT29" i="28"/>
  <c r="CV28" i="28"/>
  <c r="CW28" i="28" s="1"/>
  <c r="CX28" i="28" s="1"/>
  <c r="J28" i="28"/>
  <c r="BN29" i="28"/>
  <c r="BP29" i="28"/>
  <c r="BO30" i="28"/>
  <c r="CD30" i="28"/>
  <c r="BN30" i="28" s="1"/>
  <c r="BS30" i="28"/>
  <c r="BQ29" i="28"/>
  <c r="BT30" i="28"/>
  <c r="CE30" i="28"/>
  <c r="H32" i="28"/>
  <c r="I31" i="28"/>
  <c r="BR31" i="28" s="1"/>
  <c r="CC31" i="28"/>
  <c r="BR30" i="28"/>
  <c r="M27" i="28"/>
  <c r="B33" i="28"/>
  <c r="AA33" i="28"/>
  <c r="AB33" i="28"/>
  <c r="AC33" i="28"/>
  <c r="Z34" i="28"/>
  <c r="AD33" i="28"/>
  <c r="A33" i="28"/>
  <c r="BZ33" i="28" s="1"/>
  <c r="BO31" i="28" l="1"/>
  <c r="CI30" i="28"/>
  <c r="CY28" i="28"/>
  <c r="K28" i="28" s="1"/>
  <c r="CZ28" i="28"/>
  <c r="L28" i="28" s="1"/>
  <c r="CF30" i="28"/>
  <c r="BP30" i="28"/>
  <c r="I32" i="28"/>
  <c r="BT32" i="28" s="1"/>
  <c r="CC32" i="28"/>
  <c r="BQ30" i="28"/>
  <c r="H33" i="28"/>
  <c r="BT31" i="28"/>
  <c r="CE31" i="28"/>
  <c r="CD31" i="28"/>
  <c r="BP31" i="28" s="1"/>
  <c r="BS31" i="28"/>
  <c r="CV29" i="28"/>
  <c r="CW29" i="28" s="1"/>
  <c r="CX29" i="28" s="1"/>
  <c r="J29" i="28"/>
  <c r="M28" i="28"/>
  <c r="BM31" i="28"/>
  <c r="Z35" i="28"/>
  <c r="AC34" i="28"/>
  <c r="H34" i="28" s="1"/>
  <c r="AB34" i="28"/>
  <c r="B34" i="28"/>
  <c r="AA34" i="28"/>
  <c r="AD34" i="28"/>
  <c r="A34" i="28"/>
  <c r="BZ34" i="28" s="1"/>
  <c r="CI31" i="28" l="1"/>
  <c r="CU30" i="28"/>
  <c r="CT30" i="28"/>
  <c r="CF31" i="28"/>
  <c r="CZ29" i="28"/>
  <c r="L29" i="28" s="1"/>
  <c r="CY29" i="28"/>
  <c r="K29" i="28" s="1"/>
  <c r="I34" i="28"/>
  <c r="BR34" i="28" s="1"/>
  <c r="CC34" i="28"/>
  <c r="CE34" i="28"/>
  <c r="BN31" i="28"/>
  <c r="BR32" i="28"/>
  <c r="CE32" i="28"/>
  <c r="I33" i="28"/>
  <c r="CE33" i="28" s="1"/>
  <c r="CC33" i="28"/>
  <c r="CD32" i="28"/>
  <c r="CI32" i="28" s="1"/>
  <c r="BS32" i="28"/>
  <c r="CV30" i="28"/>
  <c r="CW30" i="28" s="1"/>
  <c r="CX30" i="28" s="1"/>
  <c r="J30" i="28"/>
  <c r="BQ31" i="28"/>
  <c r="M29" i="28"/>
  <c r="BM32" i="28"/>
  <c r="BO32" i="28"/>
  <c r="B35" i="28"/>
  <c r="AA35" i="28"/>
  <c r="AD35" i="28"/>
  <c r="A35" i="28"/>
  <c r="BZ35" i="28" s="1"/>
  <c r="AC35" i="28"/>
  <c r="H35" i="28" s="1"/>
  <c r="AB35" i="28"/>
  <c r="Z36" i="28"/>
  <c r="BM34" i="28" l="1"/>
  <c r="CU31" i="28"/>
  <c r="CT31" i="28"/>
  <c r="CV31" i="28"/>
  <c r="CW31" i="28" s="1"/>
  <c r="CX31" i="28" s="1"/>
  <c r="BT34" i="28"/>
  <c r="CF32" i="28"/>
  <c r="BR33" i="28"/>
  <c r="BT33" i="28"/>
  <c r="J31" i="28"/>
  <c r="I35" i="28"/>
  <c r="CC35" i="28" s="1"/>
  <c r="CE35" i="28"/>
  <c r="BP32" i="28"/>
  <c r="BQ32" i="28"/>
  <c r="BN32" i="28"/>
  <c r="CD34" i="28"/>
  <c r="CF34" i="28" s="1"/>
  <c r="BS34" i="28"/>
  <c r="BS33" i="28"/>
  <c r="CD33" i="28"/>
  <c r="CF33" i="28" s="1"/>
  <c r="CZ30" i="28"/>
  <c r="L30" i="28" s="1"/>
  <c r="CY30" i="28"/>
  <c r="K30" i="28" s="1"/>
  <c r="M30" i="28"/>
  <c r="BM33" i="28"/>
  <c r="BO33" i="28"/>
  <c r="BO34" i="28"/>
  <c r="AD36" i="28"/>
  <c r="AB36" i="28"/>
  <c r="AC36" i="28"/>
  <c r="Z37" i="28"/>
  <c r="CY31" i="28" l="1"/>
  <c r="K31" i="28" s="1"/>
  <c r="CI33" i="28"/>
  <c r="CI34" i="28"/>
  <c r="CU33" i="28"/>
  <c r="CV33" i="28" s="1"/>
  <c r="CW33" i="28" s="1"/>
  <c r="CT33" i="28"/>
  <c r="CT34" i="28"/>
  <c r="CU34" i="28" s="1"/>
  <c r="CU32" i="28"/>
  <c r="J32" i="28" s="1"/>
  <c r="CT32" i="28"/>
  <c r="BR35" i="28"/>
  <c r="M31" i="28"/>
  <c r="CZ31" i="28"/>
  <c r="L31" i="28" s="1"/>
  <c r="BP34" i="28"/>
  <c r="BN34" i="28"/>
  <c r="BM35" i="28"/>
  <c r="BT35" i="28"/>
  <c r="BP33" i="28"/>
  <c r="BQ34" i="28"/>
  <c r="BS35" i="28"/>
  <c r="CD35" i="28"/>
  <c r="CF35" i="28" s="1"/>
  <c r="BN33" i="28"/>
  <c r="BQ33" i="28"/>
  <c r="H36" i="28"/>
  <c r="BO35" i="28"/>
  <c r="AD37" i="28"/>
  <c r="AC37" i="28"/>
  <c r="AB37" i="28"/>
  <c r="Z38" i="28"/>
  <c r="AA36" i="28"/>
  <c r="A36" i="28"/>
  <c r="BZ36" i="28" s="1"/>
  <c r="B36" i="28"/>
  <c r="CV32" i="28" l="1"/>
  <c r="CW32" i="28" s="1"/>
  <c r="CX32" i="28" s="1"/>
  <c r="CX33" i="28" s="1"/>
  <c r="CI35" i="28"/>
  <c r="CT35" i="28"/>
  <c r="CU35" i="28" s="1"/>
  <c r="J34" i="28"/>
  <c r="CV34" i="28"/>
  <c r="CW34" i="28" s="1"/>
  <c r="J33" i="28"/>
  <c r="BN35" i="28"/>
  <c r="BQ35" i="28"/>
  <c r="I36" i="28"/>
  <c r="BT36" i="28" s="1"/>
  <c r="CC36" i="28"/>
  <c r="H37" i="28"/>
  <c r="BP35" i="28"/>
  <c r="AA37" i="28"/>
  <c r="B37" i="28"/>
  <c r="A37" i="28"/>
  <c r="BZ37" i="28" s="1"/>
  <c r="AB38" i="28"/>
  <c r="AD38" i="28"/>
  <c r="Z39" i="29"/>
  <c r="AC38" i="28"/>
  <c r="CY32" i="28" l="1"/>
  <c r="K32" i="28" s="1"/>
  <c r="M32" i="28"/>
  <c r="CZ32" i="28"/>
  <c r="L32" i="28" s="1"/>
  <c r="CX34" i="28"/>
  <c r="CZ34" i="28" s="1"/>
  <c r="L34" i="28" s="1"/>
  <c r="M33" i="28"/>
  <c r="CV35" i="28"/>
  <c r="CW35" i="28" s="1"/>
  <c r="J35" i="28"/>
  <c r="CZ33" i="28"/>
  <c r="L33" i="28" s="1"/>
  <c r="CY33" i="28"/>
  <c r="K33" i="28" s="1"/>
  <c r="CE36" i="28"/>
  <c r="H38" i="28"/>
  <c r="BS36" i="28"/>
  <c r="CD36" i="28"/>
  <c r="CI36" i="28" s="1"/>
  <c r="BR36" i="28"/>
  <c r="I37" i="28"/>
  <c r="CC37" i="28"/>
  <c r="AA38" i="28"/>
  <c r="Z40" i="28" s="1"/>
  <c r="Z41" i="29" s="1"/>
  <c r="O1" i="29" s="1"/>
  <c r="Z8" i="29" s="1"/>
  <c r="A38" i="28"/>
  <c r="BZ38" i="28" s="1"/>
  <c r="B38" i="28"/>
  <c r="BO36" i="28"/>
  <c r="BM36" i="28"/>
  <c r="CY34" i="28" l="1"/>
  <c r="K34" i="28" s="1"/>
  <c r="CX35" i="28"/>
  <c r="CZ35" i="28" s="1"/>
  <c r="CF36" i="28"/>
  <c r="BP36" i="28"/>
  <c r="BN36" i="28"/>
  <c r="CD37" i="28"/>
  <c r="CI37" i="28" s="1"/>
  <c r="BS37" i="28"/>
  <c r="BQ36" i="28"/>
  <c r="BR37" i="28"/>
  <c r="BT37" i="28"/>
  <c r="I38" i="28"/>
  <c r="CE38" i="28" s="1"/>
  <c r="CC38" i="28"/>
  <c r="CE37" i="28"/>
  <c r="M34" i="28"/>
  <c r="BO37" i="28"/>
  <c r="BM37" i="28"/>
  <c r="AA8" i="29"/>
  <c r="A8" i="29"/>
  <c r="BZ8" i="29" s="1"/>
  <c r="B8" i="29"/>
  <c r="AD8" i="29"/>
  <c r="Z9" i="29"/>
  <c r="AB8" i="29"/>
  <c r="AC8" i="29"/>
  <c r="CY35" i="28" l="1"/>
  <c r="K35" i="28" s="1"/>
  <c r="CF37" i="28"/>
  <c r="CU36" i="28"/>
  <c r="CV36" i="28" s="1"/>
  <c r="CW36" i="28" s="1"/>
  <c r="CX36" i="28" s="1"/>
  <c r="CT36" i="28"/>
  <c r="BR38" i="28"/>
  <c r="BR40" i="28" s="1"/>
  <c r="BN37" i="28"/>
  <c r="BP37" i="28"/>
  <c r="BQ37" i="28"/>
  <c r="BT38" i="28"/>
  <c r="BT40" i="28" s="1"/>
  <c r="H8" i="29"/>
  <c r="CD38" i="28"/>
  <c r="CF38" i="28" s="1"/>
  <c r="BS38" i="28"/>
  <c r="BS40" i="28" s="1"/>
  <c r="M35" i="28"/>
  <c r="L35" i="28"/>
  <c r="BM38" i="28"/>
  <c r="BM40" i="28" s="1"/>
  <c r="BO38" i="28"/>
  <c r="BO40" i="28" s="1"/>
  <c r="AA9" i="29"/>
  <c r="Z10" i="29"/>
  <c r="AB9" i="29"/>
  <c r="B9" i="29"/>
  <c r="AC9" i="29"/>
  <c r="A9" i="29"/>
  <c r="BZ9" i="29" s="1"/>
  <c r="AD9" i="29"/>
  <c r="BS42" i="28" l="1"/>
  <c r="N44" i="28" s="1"/>
  <c r="CI38" i="28"/>
  <c r="CU38" i="28"/>
  <c r="CT38" i="28"/>
  <c r="J36" i="28"/>
  <c r="CU37" i="28"/>
  <c r="CV37" i="28" s="1"/>
  <c r="CW37" i="28" s="1"/>
  <c r="CX37" i="28" s="1"/>
  <c r="CT37" i="28"/>
  <c r="BN38" i="28"/>
  <c r="BN40" i="28" s="1"/>
  <c r="BM42" i="28" s="1"/>
  <c r="N42" i="28" s="1"/>
  <c r="P42" i="28" s="1"/>
  <c r="R42" i="28" s="1"/>
  <c r="BP38" i="28"/>
  <c r="BP40" i="28" s="1"/>
  <c r="BO42" i="28" s="1"/>
  <c r="N43" i="28" s="1"/>
  <c r="P43" i="28" s="1"/>
  <c r="R43" i="28" s="1"/>
  <c r="CV38" i="28"/>
  <c r="CW38" i="28" s="1"/>
  <c r="BQ38" i="28"/>
  <c r="BQ40" i="28" s="1"/>
  <c r="BQ42" i="28" s="1"/>
  <c r="N41" i="28" s="1"/>
  <c r="P41" i="28" s="1"/>
  <c r="R41" i="28" s="1"/>
  <c r="I8" i="29"/>
  <c r="CE8" i="29" s="1"/>
  <c r="CC8" i="29"/>
  <c r="P44" i="28"/>
  <c r="R44" i="28" s="1"/>
  <c r="AC10" i="29"/>
  <c r="AD10" i="29"/>
  <c r="AB10" i="29"/>
  <c r="Z11" i="29"/>
  <c r="AA10" i="29"/>
  <c r="B10" i="29"/>
  <c r="A10" i="29"/>
  <c r="BZ10" i="29" s="1"/>
  <c r="CX38" i="28" l="1"/>
  <c r="M38" i="28" s="1"/>
  <c r="E3" i="29" s="1"/>
  <c r="G3" i="29" s="1"/>
  <c r="M37" i="28"/>
  <c r="J37" i="28"/>
  <c r="CY37" i="28"/>
  <c r="K37" i="28" s="1"/>
  <c r="CZ37" i="28"/>
  <c r="L37" i="28" s="1"/>
  <c r="CY36" i="28"/>
  <c r="K36" i="28" s="1"/>
  <c r="CZ36" i="28"/>
  <c r="L36" i="28" s="1"/>
  <c r="M36" i="28"/>
  <c r="J38" i="28"/>
  <c r="BR8" i="29"/>
  <c r="BS8" i="29"/>
  <c r="BQ8" i="29"/>
  <c r="CD8" i="29"/>
  <c r="CF8" i="29" s="1"/>
  <c r="H10" i="29"/>
  <c r="BM8" i="29"/>
  <c r="I9" i="29"/>
  <c r="CC9" i="29"/>
  <c r="BT8" i="29"/>
  <c r="BO8" i="29"/>
  <c r="B11" i="29"/>
  <c r="AA11" i="29"/>
  <c r="AB11" i="29"/>
  <c r="Z12" i="29"/>
  <c r="AC11" i="29"/>
  <c r="A11" i="29"/>
  <c r="BZ11" i="29" s="1"/>
  <c r="AD11" i="29"/>
  <c r="CE9" i="29" l="1"/>
  <c r="CM9" i="29"/>
  <c r="CP9" i="29"/>
  <c r="BT9" i="29" s="1"/>
  <c r="CO9" i="29"/>
  <c r="BS9" i="29" s="1"/>
  <c r="CN9" i="29"/>
  <c r="BR9" i="29" s="1"/>
  <c r="BO9" i="29"/>
  <c r="CI8" i="29"/>
  <c r="CU8" i="29"/>
  <c r="CT8" i="29"/>
  <c r="CY38" i="28"/>
  <c r="K38" i="28" s="1"/>
  <c r="D3" i="29" s="1"/>
  <c r="CZ38" i="28"/>
  <c r="L38" i="28" s="1"/>
  <c r="CV8" i="29"/>
  <c r="CW8" i="29" s="1"/>
  <c r="BN8" i="29"/>
  <c r="CD9" i="29"/>
  <c r="CF9" i="29" s="1"/>
  <c r="BQ9" i="29"/>
  <c r="I10" i="29"/>
  <c r="CC10" i="29"/>
  <c r="H11" i="29"/>
  <c r="BP8" i="29"/>
  <c r="BM9" i="29"/>
  <c r="AB12" i="29"/>
  <c r="AA12" i="29"/>
  <c r="A12" i="29"/>
  <c r="BZ12" i="29" s="1"/>
  <c r="B12" i="29"/>
  <c r="AC12" i="29"/>
  <c r="AD12" i="29"/>
  <c r="Z13" i="29"/>
  <c r="CI9" i="29" l="1"/>
  <c r="CU9" i="29"/>
  <c r="CV9" i="29" s="1"/>
  <c r="CW9" i="29" s="1"/>
  <c r="CT9" i="29"/>
  <c r="J8" i="29"/>
  <c r="BN9" i="29"/>
  <c r="BP9" i="29"/>
  <c r="BS10" i="29"/>
  <c r="BQ10" i="29"/>
  <c r="CD10" i="29"/>
  <c r="BP10" i="29" s="1"/>
  <c r="CE10" i="29"/>
  <c r="H12" i="29"/>
  <c r="I11" i="29"/>
  <c r="CE11" i="29" s="1"/>
  <c r="CC11" i="29"/>
  <c r="BR10" i="29"/>
  <c r="BT10" i="29"/>
  <c r="CV3" i="29"/>
  <c r="CW3" i="29" s="1"/>
  <c r="CX8" i="29" s="1"/>
  <c r="CX9" i="29" s="1"/>
  <c r="BO10" i="29"/>
  <c r="BM10" i="29"/>
  <c r="AD13" i="29"/>
  <c r="AB13" i="29"/>
  <c r="AA13" i="29"/>
  <c r="A13" i="29"/>
  <c r="BZ13" i="29" s="1"/>
  <c r="B13" i="29"/>
  <c r="AC13" i="29"/>
  <c r="H13" i="29" s="1"/>
  <c r="Z14" i="29"/>
  <c r="CI10" i="29" l="1"/>
  <c r="M9" i="29"/>
  <c r="CF10" i="29"/>
  <c r="I13" i="29"/>
  <c r="BT13" i="29" s="1"/>
  <c r="BR13" i="29"/>
  <c r="CE13" i="29"/>
  <c r="CC13" i="29"/>
  <c r="I12" i="29"/>
  <c r="BT12" i="29" s="1"/>
  <c r="CC12" i="29"/>
  <c r="BT11" i="29"/>
  <c r="BN10" i="29"/>
  <c r="BR11" i="29"/>
  <c r="J9" i="29"/>
  <c r="CD11" i="29"/>
  <c r="CF11" i="29" s="1"/>
  <c r="BS11" i="29"/>
  <c r="BQ11" i="29"/>
  <c r="BM11" i="29"/>
  <c r="BO11" i="29"/>
  <c r="B14" i="29"/>
  <c r="Z15" i="29"/>
  <c r="AB14" i="29"/>
  <c r="AD14" i="29"/>
  <c r="AC14" i="29"/>
  <c r="H14" i="29" s="1"/>
  <c r="A14" i="29"/>
  <c r="BZ14" i="29" s="1"/>
  <c r="AA14" i="29"/>
  <c r="CI11" i="29" l="1"/>
  <c r="CU10" i="29"/>
  <c r="CT10" i="29"/>
  <c r="CU11" i="29"/>
  <c r="CT11" i="29"/>
  <c r="CE12" i="29"/>
  <c r="BP11" i="29"/>
  <c r="BN11" i="29"/>
  <c r="BO12" i="29"/>
  <c r="BS12" i="29"/>
  <c r="CD12" i="29"/>
  <c r="CI12" i="29" s="1"/>
  <c r="BS13" i="29"/>
  <c r="CD13" i="29"/>
  <c r="BP13" i="29" s="1"/>
  <c r="BO13" i="29"/>
  <c r="I14" i="29"/>
  <c r="BT14" i="29" s="1"/>
  <c r="BM12" i="29"/>
  <c r="BR12" i="29"/>
  <c r="CZ8" i="29"/>
  <c r="L8" i="29" s="1"/>
  <c r="CY8" i="29"/>
  <c r="K8" i="29" s="1"/>
  <c r="M8" i="29"/>
  <c r="CY9" i="29"/>
  <c r="K9" i="29" s="1"/>
  <c r="CZ9" i="29"/>
  <c r="L9" i="29" s="1"/>
  <c r="BM13" i="29"/>
  <c r="B15" i="29"/>
  <c r="A15" i="29"/>
  <c r="BZ15" i="29" s="1"/>
  <c r="AB15" i="29"/>
  <c r="Z16" i="29"/>
  <c r="AC15" i="29"/>
  <c r="AA15" i="29"/>
  <c r="AD15" i="29"/>
  <c r="CI13" i="29" l="1"/>
  <c r="CF12" i="29"/>
  <c r="CV10" i="29"/>
  <c r="CW10" i="29" s="1"/>
  <c r="CX10" i="29" s="1"/>
  <c r="J10" i="29"/>
  <c r="CE14" i="29"/>
  <c r="BR14" i="29"/>
  <c r="BN12" i="29"/>
  <c r="CF13" i="29"/>
  <c r="BN13" i="29"/>
  <c r="BP12" i="29"/>
  <c r="BS14" i="29"/>
  <c r="CD14" i="29"/>
  <c r="BP14" i="29" s="1"/>
  <c r="H15" i="29"/>
  <c r="BQ12" i="29"/>
  <c r="BQ13" i="29"/>
  <c r="CV11" i="29"/>
  <c r="CW11" i="29" s="1"/>
  <c r="J11" i="29"/>
  <c r="CC14" i="29"/>
  <c r="AD16" i="29"/>
  <c r="AB16" i="29"/>
  <c r="A16" i="29"/>
  <c r="BZ16" i="29" s="1"/>
  <c r="B16" i="29"/>
  <c r="Z17" i="29"/>
  <c r="AA16" i="29"/>
  <c r="AC16" i="29"/>
  <c r="CX11" i="29" l="1"/>
  <c r="BM14" i="29"/>
  <c r="CI14" i="29"/>
  <c r="CT13" i="29"/>
  <c r="CU13" i="29" s="1"/>
  <c r="CU12" i="29"/>
  <c r="CT12" i="29"/>
  <c r="M10" i="29"/>
  <c r="CY10" i="29"/>
  <c r="K10" i="29" s="1"/>
  <c r="CZ10" i="29"/>
  <c r="L10" i="29" s="1"/>
  <c r="BN14" i="29"/>
  <c r="BQ14" i="29"/>
  <c r="CF14" i="29"/>
  <c r="BO14" i="29"/>
  <c r="I15" i="29"/>
  <c r="BT15" i="29" s="1"/>
  <c r="CC15" i="29"/>
  <c r="H16" i="29"/>
  <c r="AB17" i="29"/>
  <c r="B17" i="29"/>
  <c r="A17" i="29"/>
  <c r="BZ17" i="29" s="1"/>
  <c r="AC17" i="29"/>
  <c r="AD17" i="29"/>
  <c r="AA17" i="29"/>
  <c r="Z18" i="29"/>
  <c r="BO15" i="29" l="1"/>
  <c r="CT14" i="29"/>
  <c r="CU14" i="29" s="1"/>
  <c r="J13" i="29"/>
  <c r="CV13" i="29"/>
  <c r="CW13" i="29" s="1"/>
  <c r="J12" i="29"/>
  <c r="CV12" i="29"/>
  <c r="CW12" i="29" s="1"/>
  <c r="CX12" i="29" s="1"/>
  <c r="CZ11" i="29"/>
  <c r="L11" i="29" s="1"/>
  <c r="CY11" i="29"/>
  <c r="K11" i="29" s="1"/>
  <c r="M11" i="29"/>
  <c r="CE15" i="29"/>
  <c r="BR15" i="29"/>
  <c r="BS15" i="29"/>
  <c r="CD15" i="29"/>
  <c r="BP15" i="29" s="1"/>
  <c r="I16" i="29"/>
  <c r="BR16" i="29" s="1"/>
  <c r="CC16" i="29"/>
  <c r="H17" i="29"/>
  <c r="BM15" i="29"/>
  <c r="A18" i="29"/>
  <c r="BZ18" i="29" s="1"/>
  <c r="AD18" i="29"/>
  <c r="AB18" i="29"/>
  <c r="B18" i="29"/>
  <c r="Z19" i="29"/>
  <c r="AA18" i="29"/>
  <c r="AC18" i="29"/>
  <c r="CX13" i="29" l="1"/>
  <c r="CI15" i="29"/>
  <c r="BO16" i="29"/>
  <c r="J14" i="29"/>
  <c r="CV14" i="29"/>
  <c r="CW14" i="29" s="1"/>
  <c r="CZ12" i="29"/>
  <c r="L12" i="29" s="1"/>
  <c r="CY12" i="29"/>
  <c r="K12" i="29" s="1"/>
  <c r="M12" i="29"/>
  <c r="H18" i="29"/>
  <c r="CF15" i="29"/>
  <c r="BN15" i="29"/>
  <c r="I18" i="29"/>
  <c r="CE18" i="29" s="1"/>
  <c r="CC18" i="29"/>
  <c r="BQ15" i="29"/>
  <c r="BS16" i="29"/>
  <c r="CD16" i="29"/>
  <c r="BN16" i="29" s="1"/>
  <c r="I17" i="29"/>
  <c r="CE17" i="29" s="1"/>
  <c r="CC17" i="29"/>
  <c r="CE16" i="29"/>
  <c r="BT16" i="29"/>
  <c r="BM16" i="29"/>
  <c r="AB19" i="29"/>
  <c r="AD19" i="29"/>
  <c r="Z20" i="29"/>
  <c r="AA19" i="29"/>
  <c r="A19" i="29"/>
  <c r="BZ19" i="29" s="1"/>
  <c r="B19" i="29"/>
  <c r="AC19" i="29"/>
  <c r="CX14" i="29" l="1"/>
  <c r="CI16" i="29"/>
  <c r="CU15" i="29"/>
  <c r="CV15" i="29" s="1"/>
  <c r="CW15" i="29" s="1"/>
  <c r="CT15" i="29"/>
  <c r="CY13" i="29"/>
  <c r="K13" i="29" s="1"/>
  <c r="M13" i="29"/>
  <c r="CZ13" i="29"/>
  <c r="L13" i="29" s="1"/>
  <c r="BR17" i="29"/>
  <c r="CF16" i="29"/>
  <c r="BQ16" i="29"/>
  <c r="BT17" i="29"/>
  <c r="BT18" i="29"/>
  <c r="H19" i="29"/>
  <c r="BM17" i="29"/>
  <c r="CD18" i="29"/>
  <c r="BP18" i="29" s="1"/>
  <c r="BS18" i="29"/>
  <c r="BS17" i="29"/>
  <c r="CD17" i="29"/>
  <c r="BP17" i="29" s="1"/>
  <c r="BP16" i="29"/>
  <c r="BO18" i="29"/>
  <c r="BR18" i="29"/>
  <c r="BQ18" i="29"/>
  <c r="BO17" i="29"/>
  <c r="AB20" i="29"/>
  <c r="AD20" i="29"/>
  <c r="A20" i="29"/>
  <c r="BZ20" i="29" s="1"/>
  <c r="AC20" i="29"/>
  <c r="H20" i="29" s="1"/>
  <c r="B20" i="29"/>
  <c r="AA20" i="29"/>
  <c r="Z21" i="29"/>
  <c r="J15" i="29" l="1"/>
  <c r="CX15" i="29"/>
  <c r="CI18" i="29"/>
  <c r="CI17" i="29"/>
  <c r="CU16" i="29"/>
  <c r="CV16" i="29" s="1"/>
  <c r="CW16" i="29" s="1"/>
  <c r="CT16" i="29"/>
  <c r="M14" i="29"/>
  <c r="CY14" i="29"/>
  <c r="K14" i="29" s="1"/>
  <c r="CZ14" i="29"/>
  <c r="L14" i="29" s="1"/>
  <c r="I19" i="29"/>
  <c r="CE19" i="29" s="1"/>
  <c r="CC19" i="29"/>
  <c r="CF17" i="29"/>
  <c r="BN17" i="29"/>
  <c r="BN18" i="29"/>
  <c r="BQ17" i="29"/>
  <c r="CF18" i="29"/>
  <c r="I20" i="29"/>
  <c r="CE20" i="29" s="1"/>
  <c r="BM18" i="29"/>
  <c r="AC21" i="29"/>
  <c r="H21" i="29" s="1"/>
  <c r="AA21" i="29"/>
  <c r="B21" i="29"/>
  <c r="AD21" i="29"/>
  <c r="Z22" i="29"/>
  <c r="A21" i="29"/>
  <c r="BZ21" i="29" s="1"/>
  <c r="AB21" i="29"/>
  <c r="CX16" i="29" l="1"/>
  <c r="M16" i="29" s="1"/>
  <c r="BO19" i="29"/>
  <c r="CU17" i="29"/>
  <c r="CT17" i="29"/>
  <c r="CU18" i="29"/>
  <c r="CT18" i="29"/>
  <c r="CY15" i="29"/>
  <c r="K15" i="29" s="1"/>
  <c r="M15" i="29"/>
  <c r="CZ15" i="29"/>
  <c r="L15" i="29" s="1"/>
  <c r="J16" i="29"/>
  <c r="CC20" i="29"/>
  <c r="BT20" i="29"/>
  <c r="BR19" i="29"/>
  <c r="BT19" i="29"/>
  <c r="I21" i="29"/>
  <c r="BR21" i="29" s="1"/>
  <c r="BR20" i="29"/>
  <c r="CD19" i="29"/>
  <c r="BN19" i="29" s="1"/>
  <c r="BS19" i="29"/>
  <c r="CD20" i="29"/>
  <c r="BP20" i="29" s="1"/>
  <c r="BS20" i="29"/>
  <c r="CV18" i="29"/>
  <c r="CW18" i="29" s="1"/>
  <c r="BM19" i="29"/>
  <c r="AD22" i="29"/>
  <c r="Z23" i="29"/>
  <c r="AC22" i="29"/>
  <c r="AA22" i="29"/>
  <c r="AB22" i="29"/>
  <c r="A22" i="29"/>
  <c r="BZ22" i="29" s="1"/>
  <c r="B22" i="29"/>
  <c r="CZ16" i="29" l="1"/>
  <c r="L16" i="29" s="1"/>
  <c r="CY16" i="29"/>
  <c r="K16" i="29" s="1"/>
  <c r="BM20" i="29"/>
  <c r="CI20" i="29"/>
  <c r="CI19" i="29"/>
  <c r="BO20" i="29"/>
  <c r="CC21" i="29"/>
  <c r="CE21" i="29"/>
  <c r="BT21" i="29"/>
  <c r="H22" i="29"/>
  <c r="BN20" i="29"/>
  <c r="CF20" i="29"/>
  <c r="CF19" i="29"/>
  <c r="CV17" i="29"/>
  <c r="CW17" i="29" s="1"/>
  <c r="CX17" i="29" s="1"/>
  <c r="CX18" i="29" s="1"/>
  <c r="J17" i="29"/>
  <c r="BP19" i="29"/>
  <c r="BQ20" i="29"/>
  <c r="J18" i="29"/>
  <c r="BQ19" i="29"/>
  <c r="CD21" i="29"/>
  <c r="BP21" i="29" s="1"/>
  <c r="BS21" i="29"/>
  <c r="AB23" i="29"/>
  <c r="A23" i="29"/>
  <c r="BZ23" i="29" s="1"/>
  <c r="AD23" i="29"/>
  <c r="AA23" i="29"/>
  <c r="Z24" i="29"/>
  <c r="B23" i="29"/>
  <c r="AC23" i="29"/>
  <c r="BM21" i="29" l="1"/>
  <c r="CI21" i="29"/>
  <c r="CT20" i="29"/>
  <c r="CU20" i="29" s="1"/>
  <c r="CU19" i="29"/>
  <c r="CV19" i="29" s="1"/>
  <c r="CW19" i="29" s="1"/>
  <c r="CX19" i="29" s="1"/>
  <c r="CT19" i="29"/>
  <c r="BO21" i="29"/>
  <c r="CY18" i="29"/>
  <c r="K18" i="29" s="1"/>
  <c r="CZ18" i="29"/>
  <c r="L18" i="29" s="1"/>
  <c r="M18" i="29"/>
  <c r="J19" i="29"/>
  <c r="BN21" i="29"/>
  <c r="H23" i="29"/>
  <c r="CF21" i="29"/>
  <c r="CY17" i="29"/>
  <c r="K17" i="29" s="1"/>
  <c r="CZ17" i="29"/>
  <c r="L17" i="29" s="1"/>
  <c r="M17" i="29"/>
  <c r="BQ21" i="29"/>
  <c r="I22" i="29"/>
  <c r="CC22" i="29"/>
  <c r="AD24" i="29"/>
  <c r="Z25" i="29"/>
  <c r="AB24" i="29"/>
  <c r="B24" i="29"/>
  <c r="AC24" i="29"/>
  <c r="AA24" i="29"/>
  <c r="A24" i="29"/>
  <c r="BZ24" i="29" s="1"/>
  <c r="BO22" i="29" l="1"/>
  <c r="CT21" i="29"/>
  <c r="CU21" i="29" s="1"/>
  <c r="CV21" i="29" s="1"/>
  <c r="CW21" i="29" s="1"/>
  <c r="J20" i="29"/>
  <c r="CV20" i="29"/>
  <c r="CW20" i="29" s="1"/>
  <c r="CY19" i="29"/>
  <c r="K19" i="29" s="1"/>
  <c r="M19" i="29"/>
  <c r="CZ19" i="29"/>
  <c r="L19" i="29" s="1"/>
  <c r="H24" i="29"/>
  <c r="BS22" i="29"/>
  <c r="CD22" i="29"/>
  <c r="CI22" i="29" s="1"/>
  <c r="I23" i="29"/>
  <c r="BT23" i="29" s="1"/>
  <c r="CC23" i="29"/>
  <c r="CE22" i="29"/>
  <c r="BR22" i="29"/>
  <c r="I24" i="29"/>
  <c r="CE24" i="29" s="1"/>
  <c r="CC24" i="29"/>
  <c r="BT22" i="29"/>
  <c r="BM22" i="29"/>
  <c r="B25" i="29"/>
  <c r="Z26" i="29"/>
  <c r="AD25" i="29"/>
  <c r="AB25" i="29"/>
  <c r="A25" i="29"/>
  <c r="BZ25" i="29" s="1"/>
  <c r="AA25" i="29"/>
  <c r="AC25" i="29"/>
  <c r="H25" i="29" s="1"/>
  <c r="CX20" i="29" l="1"/>
  <c r="CX21" i="29" s="1"/>
  <c r="CZ21" i="29" s="1"/>
  <c r="L21" i="29" s="1"/>
  <c r="BM23" i="29"/>
  <c r="J21" i="29"/>
  <c r="CF22" i="29"/>
  <c r="BP22" i="29"/>
  <c r="CE23" i="29"/>
  <c r="BN22" i="29"/>
  <c r="BQ22" i="29"/>
  <c r="BS24" i="29"/>
  <c r="CD24" i="29"/>
  <c r="CF24" i="29" s="1"/>
  <c r="BR23" i="29"/>
  <c r="I25" i="29"/>
  <c r="CC25" i="29"/>
  <c r="BS23" i="29"/>
  <c r="CD23" i="29"/>
  <c r="BN23" i="29" s="1"/>
  <c r="BR24" i="29"/>
  <c r="BM24" i="29"/>
  <c r="BO23" i="29"/>
  <c r="BT24" i="29"/>
  <c r="BO24" i="29"/>
  <c r="B26" i="29"/>
  <c r="AA26" i="29"/>
  <c r="AB26" i="29"/>
  <c r="A26" i="29"/>
  <c r="BZ26" i="29" s="1"/>
  <c r="Z27" i="29"/>
  <c r="AD26" i="29"/>
  <c r="AC26" i="29"/>
  <c r="CZ20" i="29" l="1"/>
  <c r="L20" i="29" s="1"/>
  <c r="CY20" i="29"/>
  <c r="K20" i="29" s="1"/>
  <c r="M20" i="29"/>
  <c r="CY21" i="29"/>
  <c r="K21" i="29" s="1"/>
  <c r="CI23" i="29"/>
  <c r="M21" i="29"/>
  <c r="CI24" i="29"/>
  <c r="CU24" i="29"/>
  <c r="CV24" i="29" s="1"/>
  <c r="CW24" i="29" s="1"/>
  <c r="CT24" i="29"/>
  <c r="CU22" i="29"/>
  <c r="CV22" i="29" s="1"/>
  <c r="CW22" i="29" s="1"/>
  <c r="CX22" i="29" s="1"/>
  <c r="CT22" i="29"/>
  <c r="H26" i="29"/>
  <c r="CE25" i="29"/>
  <c r="BP24" i="29"/>
  <c r="BN24" i="29"/>
  <c r="BP23" i="29"/>
  <c r="I26" i="29"/>
  <c r="CC26" i="29"/>
  <c r="BQ24" i="29"/>
  <c r="BQ23" i="29"/>
  <c r="CF23" i="29"/>
  <c r="CD25" i="29"/>
  <c r="BP25" i="29" s="1"/>
  <c r="BS25" i="29"/>
  <c r="J22" i="29"/>
  <c r="BR25" i="29"/>
  <c r="BO25" i="29"/>
  <c r="BT25" i="29"/>
  <c r="BQ25" i="29"/>
  <c r="AD27" i="29"/>
  <c r="AC27" i="29"/>
  <c r="H27" i="29" s="1"/>
  <c r="Z28" i="29"/>
  <c r="B27" i="29"/>
  <c r="A27" i="29"/>
  <c r="BZ27" i="29" s="1"/>
  <c r="AB27" i="29"/>
  <c r="AA27" i="29"/>
  <c r="CI25" i="29" l="1"/>
  <c r="CU23" i="29"/>
  <c r="CT23" i="29"/>
  <c r="BT26" i="29"/>
  <c r="CE26" i="29"/>
  <c r="CF25" i="29"/>
  <c r="J24" i="29"/>
  <c r="BN25" i="29"/>
  <c r="I27" i="29"/>
  <c r="BR27" i="29" s="1"/>
  <c r="CC27" i="29"/>
  <c r="BS26" i="29"/>
  <c r="CD26" i="29"/>
  <c r="BP26" i="29" s="1"/>
  <c r="CZ22" i="29"/>
  <c r="L22" i="29" s="1"/>
  <c r="CY22" i="29"/>
  <c r="K22" i="29" s="1"/>
  <c r="M22" i="29"/>
  <c r="BM25" i="29"/>
  <c r="BR26" i="29"/>
  <c r="B28" i="29"/>
  <c r="AA28" i="29"/>
  <c r="Z29" i="29"/>
  <c r="AC28" i="29"/>
  <c r="H28" i="29" s="1"/>
  <c r="AB28" i="29"/>
  <c r="A28" i="29"/>
  <c r="BZ28" i="29" s="1"/>
  <c r="AD28" i="29"/>
  <c r="CI26" i="29" l="1"/>
  <c r="CU25" i="29"/>
  <c r="CV25" i="29" s="1"/>
  <c r="CW25" i="29" s="1"/>
  <c r="CT25" i="29"/>
  <c r="BT27" i="29"/>
  <c r="CE27" i="29"/>
  <c r="BN26" i="29"/>
  <c r="CV23" i="29"/>
  <c r="CW23" i="29" s="1"/>
  <c r="J23" i="29"/>
  <c r="BQ26" i="29"/>
  <c r="CD27" i="29"/>
  <c r="BP27" i="29" s="1"/>
  <c r="BS27" i="29"/>
  <c r="CF26" i="29"/>
  <c r="I28" i="29"/>
  <c r="BT28" i="29" s="1"/>
  <c r="BO26" i="29"/>
  <c r="BM27" i="29"/>
  <c r="BM26" i="29"/>
  <c r="BO27" i="29"/>
  <c r="B29" i="29"/>
  <c r="Z30" i="29"/>
  <c r="A29" i="29"/>
  <c r="BZ29" i="29" s="1"/>
  <c r="AD29" i="29"/>
  <c r="AA29" i="29"/>
  <c r="AC29" i="29"/>
  <c r="AB29" i="29"/>
  <c r="CX23" i="29" l="1"/>
  <c r="CX24" i="29" s="1"/>
  <c r="CX25" i="29" s="1"/>
  <c r="CI27" i="29"/>
  <c r="CU26" i="29"/>
  <c r="J26" i="29" s="1"/>
  <c r="CT26" i="29"/>
  <c r="J25" i="29"/>
  <c r="CE28" i="29"/>
  <c r="CC28" i="29"/>
  <c r="BQ27" i="29"/>
  <c r="CF27" i="29"/>
  <c r="BR28" i="29"/>
  <c r="BN27" i="29"/>
  <c r="CD28" i="29"/>
  <c r="BN28" i="29" s="1"/>
  <c r="BS28" i="29"/>
  <c r="H29" i="29"/>
  <c r="AB30" i="29"/>
  <c r="Z31" i="29"/>
  <c r="A30" i="29"/>
  <c r="BZ30" i="29" s="1"/>
  <c r="AC30" i="29"/>
  <c r="AD30" i="29"/>
  <c r="B30" i="29"/>
  <c r="AA30" i="29"/>
  <c r="CV26" i="29" l="1"/>
  <c r="CW26" i="29" s="1"/>
  <c r="CX26" i="29"/>
  <c r="M26" i="29" s="1"/>
  <c r="M24" i="29"/>
  <c r="M23" i="29"/>
  <c r="CY24" i="29"/>
  <c r="K24" i="29" s="1"/>
  <c r="CZ24" i="29"/>
  <c r="L24" i="29" s="1"/>
  <c r="CY23" i="29"/>
  <c r="K23" i="29" s="1"/>
  <c r="CZ23" i="29"/>
  <c r="L23" i="29" s="1"/>
  <c r="BO28" i="29"/>
  <c r="CI28" i="29"/>
  <c r="CT27" i="29"/>
  <c r="CU27" i="29" s="1"/>
  <c r="BM28" i="29"/>
  <c r="CZ25" i="29"/>
  <c r="L25" i="29" s="1"/>
  <c r="CY25" i="29"/>
  <c r="K25" i="29" s="1"/>
  <c r="M25" i="29"/>
  <c r="BP28" i="29"/>
  <c r="H30" i="29"/>
  <c r="I29" i="29"/>
  <c r="CE29" i="29" s="1"/>
  <c r="CC29" i="29"/>
  <c r="CF28" i="29"/>
  <c r="BQ28" i="29"/>
  <c r="A31" i="29"/>
  <c r="BZ31" i="29" s="1"/>
  <c r="AB31" i="29"/>
  <c r="AD31" i="29"/>
  <c r="Z32" i="29"/>
  <c r="B31" i="29"/>
  <c r="AA31" i="29"/>
  <c r="AC31" i="29"/>
  <c r="CT28" i="29" l="1"/>
  <c r="CU28" i="29" s="1"/>
  <c r="CV27" i="29"/>
  <c r="CW27" i="29" s="1"/>
  <c r="CX27" i="29" s="1"/>
  <c r="J27" i="29"/>
  <c r="CZ26" i="29"/>
  <c r="L26" i="29" s="1"/>
  <c r="CY26" i="29"/>
  <c r="K26" i="29" s="1"/>
  <c r="BS29" i="29"/>
  <c r="CD29" i="29"/>
  <c r="BP29" i="29" s="1"/>
  <c r="I30" i="29"/>
  <c r="BT30" i="29" s="1"/>
  <c r="CC30" i="29"/>
  <c r="BR29" i="29"/>
  <c r="BT29" i="29"/>
  <c r="BO29" i="29"/>
  <c r="H31" i="29"/>
  <c r="BM29" i="29"/>
  <c r="AC32" i="29"/>
  <c r="AD32" i="29"/>
  <c r="B32" i="29"/>
  <c r="Z33" i="29"/>
  <c r="A32" i="29"/>
  <c r="BZ32" i="29" s="1"/>
  <c r="AB32" i="29"/>
  <c r="AA32" i="29"/>
  <c r="CI29" i="29" l="1"/>
  <c r="J28" i="29"/>
  <c r="CV28" i="29"/>
  <c r="CW28" i="29" s="1"/>
  <c r="CF29" i="29"/>
  <c r="M27" i="29"/>
  <c r="CY27" i="29"/>
  <c r="K27" i="29" s="1"/>
  <c r="CZ27" i="29"/>
  <c r="L27" i="29" s="1"/>
  <c r="BN29" i="29"/>
  <c r="BR30" i="29"/>
  <c r="BS30" i="29"/>
  <c r="CD30" i="29"/>
  <c r="BP30" i="29" s="1"/>
  <c r="I31" i="29"/>
  <c r="BR31" i="29" s="1"/>
  <c r="CC31" i="29"/>
  <c r="H32" i="29"/>
  <c r="BQ29" i="29"/>
  <c r="CE30" i="29"/>
  <c r="BM30" i="29"/>
  <c r="BO30" i="29"/>
  <c r="AD33" i="29"/>
  <c r="A33" i="29"/>
  <c r="BZ33" i="29" s="1"/>
  <c r="AA33" i="29"/>
  <c r="B33" i="29"/>
  <c r="AB33" i="29"/>
  <c r="AC33" i="29"/>
  <c r="Z34" i="29"/>
  <c r="CX28" i="29" l="1"/>
  <c r="M28" i="29" s="1"/>
  <c r="BO31" i="29"/>
  <c r="CI30" i="29"/>
  <c r="CU29" i="29"/>
  <c r="J29" i="29" s="1"/>
  <c r="CT29" i="29"/>
  <c r="H33" i="29"/>
  <c r="BT31" i="29"/>
  <c r="BN30" i="29"/>
  <c r="I33" i="29"/>
  <c r="CE33" i="29" s="1"/>
  <c r="CC33" i="29"/>
  <c r="BS31" i="29"/>
  <c r="CD31" i="29"/>
  <c r="CI31" i="29" s="1"/>
  <c r="CF30" i="29"/>
  <c r="BQ30" i="29"/>
  <c r="CE31" i="29"/>
  <c r="I32" i="29"/>
  <c r="BT32" i="29" s="1"/>
  <c r="CC32" i="29"/>
  <c r="BM31" i="29"/>
  <c r="B34" i="29"/>
  <c r="AD34" i="29"/>
  <c r="Z35" i="29"/>
  <c r="AC34" i="29"/>
  <c r="H34" i="29" s="1"/>
  <c r="A34" i="29"/>
  <c r="BZ34" i="29" s="1"/>
  <c r="AA34" i="29"/>
  <c r="AB34" i="29"/>
  <c r="CY28" i="29" l="1"/>
  <c r="K28" i="29" s="1"/>
  <c r="CV29" i="29"/>
  <c r="CW29" i="29" s="1"/>
  <c r="CX29" i="29" s="1"/>
  <c r="M29" i="29" s="1"/>
  <c r="CZ28" i="29"/>
  <c r="L28" i="29" s="1"/>
  <c r="CU30" i="29"/>
  <c r="CT30" i="29"/>
  <c r="CF31" i="29"/>
  <c r="BR32" i="29"/>
  <c r="BR33" i="29"/>
  <c r="BN31" i="29"/>
  <c r="BQ31" i="29"/>
  <c r="I34" i="29"/>
  <c r="CE34" i="29" s="1"/>
  <c r="CC34" i="29"/>
  <c r="BP31" i="29"/>
  <c r="CD32" i="29"/>
  <c r="BP32" i="29" s="1"/>
  <c r="BS32" i="29"/>
  <c r="CD33" i="29"/>
  <c r="CF33" i="29" s="1"/>
  <c r="BS33" i="29"/>
  <c r="BQ33" i="29"/>
  <c r="CE32" i="29"/>
  <c r="BT33" i="29"/>
  <c r="BM32" i="29"/>
  <c r="BO32" i="29"/>
  <c r="AA35" i="29"/>
  <c r="Z36" i="29"/>
  <c r="A35" i="29"/>
  <c r="BZ35" i="29" s="1"/>
  <c r="AC35" i="29"/>
  <c r="H35" i="29" s="1"/>
  <c r="AB35" i="29"/>
  <c r="B35" i="29"/>
  <c r="AD35" i="29"/>
  <c r="CY29" i="29" l="1"/>
  <c r="K29" i="29" s="1"/>
  <c r="CZ29" i="29"/>
  <c r="L29" i="29" s="1"/>
  <c r="CI32" i="29"/>
  <c r="CI33" i="29"/>
  <c r="CU33" i="29"/>
  <c r="J33" i="29" s="1"/>
  <c r="CT33" i="29"/>
  <c r="CU31" i="29"/>
  <c r="CV31" i="29" s="1"/>
  <c r="CW31" i="29" s="1"/>
  <c r="CT31" i="29"/>
  <c r="CV33" i="29"/>
  <c r="CW33" i="29" s="1"/>
  <c r="BT34" i="29"/>
  <c r="BR34" i="29"/>
  <c r="BN33" i="29"/>
  <c r="BP33" i="29"/>
  <c r="CF32" i="29"/>
  <c r="I35" i="29"/>
  <c r="BT35" i="29" s="1"/>
  <c r="CC35" i="29"/>
  <c r="CD34" i="29"/>
  <c r="CF34" i="29" s="1"/>
  <c r="BS34" i="29"/>
  <c r="BN32" i="29"/>
  <c r="BQ32" i="29"/>
  <c r="BM34" i="29"/>
  <c r="CV30" i="29"/>
  <c r="CW30" i="29" s="1"/>
  <c r="CX30" i="29" s="1"/>
  <c r="J30" i="29"/>
  <c r="BO33" i="29"/>
  <c r="BM33" i="29"/>
  <c r="BO34" i="29"/>
  <c r="AB36" i="29"/>
  <c r="AC36" i="29"/>
  <c r="H36" i="29" s="1"/>
  <c r="Z37" i="29"/>
  <c r="AD36" i="29"/>
  <c r="CX31" i="29" l="1"/>
  <c r="CI34" i="29"/>
  <c r="CU32" i="29"/>
  <c r="CT32" i="29"/>
  <c r="CT34" i="29"/>
  <c r="CU34" i="29" s="1"/>
  <c r="J31" i="29"/>
  <c r="CZ31" i="29"/>
  <c r="L31" i="29" s="1"/>
  <c r="BP34" i="29"/>
  <c r="BN34" i="29"/>
  <c r="CE35" i="29"/>
  <c r="BR35" i="29"/>
  <c r="CY30" i="29"/>
  <c r="K30" i="29" s="1"/>
  <c r="CZ30" i="29"/>
  <c r="L30" i="29" s="1"/>
  <c r="M30" i="29"/>
  <c r="CD35" i="29"/>
  <c r="BN35" i="29" s="1"/>
  <c r="BS35" i="29"/>
  <c r="BQ34" i="29"/>
  <c r="I36" i="29"/>
  <c r="CC36" i="29"/>
  <c r="BM35" i="29"/>
  <c r="BO35" i="29"/>
  <c r="AB37" i="29"/>
  <c r="Z38" i="29"/>
  <c r="AD37" i="29"/>
  <c r="AC37" i="29"/>
  <c r="A36" i="29"/>
  <c r="BZ36" i="29" s="1"/>
  <c r="AA36" i="29"/>
  <c r="B36" i="29"/>
  <c r="CI35" i="29" l="1"/>
  <c r="J34" i="29"/>
  <c r="CV34" i="29"/>
  <c r="CW34" i="29" s="1"/>
  <c r="CE36" i="29"/>
  <c r="CY31" i="29"/>
  <c r="K31" i="29" s="1"/>
  <c r="M31" i="29"/>
  <c r="BP35" i="29"/>
  <c r="BQ35" i="29"/>
  <c r="CV32" i="29"/>
  <c r="CW32" i="29" s="1"/>
  <c r="CX32" i="29" s="1"/>
  <c r="CX33" i="29" s="1"/>
  <c r="CX34" i="29" s="1"/>
  <c r="J32" i="29"/>
  <c r="H37" i="29"/>
  <c r="CD36" i="29"/>
  <c r="CF36" i="29" s="1"/>
  <c r="BS36" i="29"/>
  <c r="CF35" i="29"/>
  <c r="Z39" i="30"/>
  <c r="AC38" i="29"/>
  <c r="AD38" i="29"/>
  <c r="AB38" i="29"/>
  <c r="B37" i="29"/>
  <c r="AA37" i="29"/>
  <c r="A37" i="29"/>
  <c r="BZ37" i="29" s="1"/>
  <c r="BT36" i="29"/>
  <c r="BR36" i="29"/>
  <c r="CI36" i="29" l="1"/>
  <c r="CU36" i="29"/>
  <c r="CT36" i="29"/>
  <c r="CT35" i="29"/>
  <c r="CU35" i="29" s="1"/>
  <c r="CZ33" i="29"/>
  <c r="L33" i="29" s="1"/>
  <c r="CY33" i="29"/>
  <c r="K33" i="29" s="1"/>
  <c r="M33" i="29"/>
  <c r="BN36" i="29"/>
  <c r="CV36" i="29"/>
  <c r="CW36" i="29" s="1"/>
  <c r="BP36" i="29"/>
  <c r="CZ32" i="29"/>
  <c r="L32" i="29" s="1"/>
  <c r="CY32" i="29"/>
  <c r="K32" i="29" s="1"/>
  <c r="M32" i="29"/>
  <c r="I37" i="29"/>
  <c r="CC37" i="29"/>
  <c r="H38" i="29"/>
  <c r="BQ36" i="29"/>
  <c r="B38" i="29"/>
  <c r="AA38" i="29"/>
  <c r="Z40" i="29" s="1"/>
  <c r="Z41" i="30" s="1"/>
  <c r="O1" i="30" s="1"/>
  <c r="Z8" i="30" s="1"/>
  <c r="A38" i="29"/>
  <c r="BZ38" i="29" s="1"/>
  <c r="BM36" i="29"/>
  <c r="BO36" i="29"/>
  <c r="BM37" i="29" l="1"/>
  <c r="CV35" i="29"/>
  <c r="CW35" i="29" s="1"/>
  <c r="J35" i="29"/>
  <c r="CY34" i="29"/>
  <c r="K34" i="29" s="1"/>
  <c r="M34" i="29"/>
  <c r="CZ34" i="29"/>
  <c r="L34" i="29" s="1"/>
  <c r="J36" i="29"/>
  <c r="CD37" i="29"/>
  <c r="BN37" i="29" s="1"/>
  <c r="BS37" i="29"/>
  <c r="BT37" i="29"/>
  <c r="BO37" i="29"/>
  <c r="I38" i="29"/>
  <c r="BT38" i="29" s="1"/>
  <c r="BT40" i="29" s="1"/>
  <c r="CC38" i="29"/>
  <c r="CE37" i="29"/>
  <c r="BR37" i="29"/>
  <c r="AD8" i="30"/>
  <c r="AC8" i="30"/>
  <c r="A8" i="30"/>
  <c r="BZ8" i="30" s="1"/>
  <c r="AA8" i="30"/>
  <c r="B8" i="30"/>
  <c r="Z9" i="30"/>
  <c r="AB8" i="30"/>
  <c r="CX35" i="29" l="1"/>
  <c r="CX36" i="29" s="1"/>
  <c r="CZ36" i="29" s="1"/>
  <c r="L36" i="29" s="1"/>
  <c r="CI37" i="29"/>
  <c r="BP37" i="29"/>
  <c r="CF37" i="29"/>
  <c r="BQ37" i="29"/>
  <c r="H8" i="30"/>
  <c r="BS38" i="29"/>
  <c r="BS40" i="29" s="1"/>
  <c r="BS42" i="29" s="1"/>
  <c r="N44" i="29" s="1"/>
  <c r="CD38" i="29"/>
  <c r="BP38" i="29" s="1"/>
  <c r="CE38" i="29"/>
  <c r="BR38" i="29"/>
  <c r="BR40" i="29" s="1"/>
  <c r="BO38" i="29"/>
  <c r="BO40" i="29" s="1"/>
  <c r="BM38" i="29"/>
  <c r="BM40" i="29" s="1"/>
  <c r="Z10" i="30"/>
  <c r="AD9" i="30"/>
  <c r="B9" i="30"/>
  <c r="AB9" i="30"/>
  <c r="AC9" i="30"/>
  <c r="AA9" i="30"/>
  <c r="A9" i="30"/>
  <c r="BZ9" i="30" s="1"/>
  <c r="CY35" i="29" l="1"/>
  <c r="K35" i="29" s="1"/>
  <c r="CZ35" i="29"/>
  <c r="L35" i="29" s="1"/>
  <c r="M36" i="29"/>
  <c r="M35" i="29"/>
  <c r="CY36" i="29"/>
  <c r="K36" i="29" s="1"/>
  <c r="CI38" i="29"/>
  <c r="CU37" i="29"/>
  <c r="CV37" i="29" s="1"/>
  <c r="CW37" i="29" s="1"/>
  <c r="CX37" i="29" s="1"/>
  <c r="CT37" i="29"/>
  <c r="BP40" i="29"/>
  <c r="BO42" i="29" s="1"/>
  <c r="N43" i="29" s="1"/>
  <c r="P43" i="29" s="1"/>
  <c r="R43" i="29" s="1"/>
  <c r="BN38" i="29"/>
  <c r="BN40" i="29" s="1"/>
  <c r="BM42" i="29" s="1"/>
  <c r="N42" i="29" s="1"/>
  <c r="P42" i="29" s="1"/>
  <c r="R42" i="29" s="1"/>
  <c r="CF38" i="29"/>
  <c r="I8" i="30"/>
  <c r="BT8" i="30" s="1"/>
  <c r="CC8" i="30"/>
  <c r="BQ38" i="29"/>
  <c r="BQ40" i="29" s="1"/>
  <c r="BQ42" i="29" s="1"/>
  <c r="N41" i="29" s="1"/>
  <c r="P41" i="29" s="1"/>
  <c r="R41" i="29" s="1"/>
  <c r="H9" i="30"/>
  <c r="P44" i="29"/>
  <c r="R44" i="29" s="1"/>
  <c r="AB10" i="30"/>
  <c r="Z11" i="30"/>
  <c r="AA10" i="30"/>
  <c r="AD10" i="30"/>
  <c r="A10" i="30"/>
  <c r="BZ10" i="30" s="1"/>
  <c r="B10" i="30"/>
  <c r="AC10" i="30"/>
  <c r="H10" i="30" s="1"/>
  <c r="BM8" i="30" l="1"/>
  <c r="CU38" i="29"/>
  <c r="CT38" i="29"/>
  <c r="J37" i="29"/>
  <c r="CY37" i="29"/>
  <c r="K37" i="29" s="1"/>
  <c r="I9" i="30"/>
  <c r="BT9" i="30" s="1"/>
  <c r="CC9" i="30"/>
  <c r="BR8" i="30"/>
  <c r="CE8" i="30"/>
  <c r="BS8" i="30"/>
  <c r="BQ8" i="30"/>
  <c r="CD8" i="30"/>
  <c r="BP8" i="30" s="1"/>
  <c r="I10" i="30"/>
  <c r="BT10" i="30" s="1"/>
  <c r="BO8" i="30"/>
  <c r="AD11" i="30"/>
  <c r="B11" i="30"/>
  <c r="AB11" i="30"/>
  <c r="AC11" i="30"/>
  <c r="H11" i="30" s="1"/>
  <c r="Z12" i="30"/>
  <c r="A11" i="30"/>
  <c r="BZ11" i="30" s="1"/>
  <c r="AA11" i="30"/>
  <c r="CI8" i="30" l="1"/>
  <c r="CE9" i="30"/>
  <c r="BR10" i="30"/>
  <c r="BR9" i="30"/>
  <c r="CE10" i="30"/>
  <c r="CC10" i="30"/>
  <c r="CZ37" i="29"/>
  <c r="L37" i="29" s="1"/>
  <c r="M37" i="29"/>
  <c r="I11" i="30"/>
  <c r="CE11" i="30" s="1"/>
  <c r="CC11" i="30"/>
  <c r="BN8" i="30"/>
  <c r="CF8" i="30"/>
  <c r="CV38" i="29"/>
  <c r="CW38" i="29" s="1"/>
  <c r="CX38" i="29" s="1"/>
  <c r="J38" i="29"/>
  <c r="CD10" i="30"/>
  <c r="BP10" i="30" s="1"/>
  <c r="BQ10" i="30"/>
  <c r="BS10" i="30"/>
  <c r="BM9" i="30"/>
  <c r="CD9" i="30"/>
  <c r="BP9" i="30" s="1"/>
  <c r="BS9" i="30"/>
  <c r="BQ9" i="30"/>
  <c r="BO9" i="30"/>
  <c r="AC12" i="30"/>
  <c r="AD12" i="30"/>
  <c r="A12" i="30"/>
  <c r="BZ12" i="30" s="1"/>
  <c r="B12" i="30"/>
  <c r="AB12" i="30"/>
  <c r="Z13" i="30"/>
  <c r="AA12" i="30"/>
  <c r="BO11" i="30" l="1"/>
  <c r="BO10" i="30"/>
  <c r="CI10" i="30"/>
  <c r="CI9" i="30"/>
  <c r="CU8" i="30"/>
  <c r="CT8" i="30"/>
  <c r="BR11" i="30"/>
  <c r="BT11" i="30"/>
  <c r="BM10" i="30"/>
  <c r="CF10" i="30"/>
  <c r="BN10" i="30"/>
  <c r="CF9" i="30"/>
  <c r="BN9" i="30"/>
  <c r="H12" i="30"/>
  <c r="BQ11" i="30"/>
  <c r="CD11" i="30"/>
  <c r="BP11" i="30" s="1"/>
  <c r="BS11" i="30"/>
  <c r="CZ38" i="29"/>
  <c r="L38" i="29" s="1"/>
  <c r="CY38" i="29"/>
  <c r="K38" i="29" s="1"/>
  <c r="D3" i="30" s="1"/>
  <c r="CV3" i="30" s="1"/>
  <c r="M38" i="29"/>
  <c r="E3" i="30" s="1"/>
  <c r="G3" i="30" s="1"/>
  <c r="BM11" i="30"/>
  <c r="AD13" i="30"/>
  <c r="Z14" i="30"/>
  <c r="AB13" i="30"/>
  <c r="B13" i="30"/>
  <c r="AC13" i="30"/>
  <c r="A13" i="30"/>
  <c r="BZ13" i="30" s="1"/>
  <c r="AA13" i="30"/>
  <c r="CI11" i="30" l="1"/>
  <c r="CU9" i="30"/>
  <c r="CV9" i="30" s="1"/>
  <c r="CW9" i="30" s="1"/>
  <c r="CT9" i="30"/>
  <c r="CT10" i="30"/>
  <c r="CU10" i="30" s="1"/>
  <c r="CW3" i="30"/>
  <c r="CX8" i="30" s="1"/>
  <c r="BN11" i="30"/>
  <c r="H13" i="30"/>
  <c r="CV8" i="30"/>
  <c r="CW8" i="30" s="1"/>
  <c r="J8" i="30"/>
  <c r="I12" i="30"/>
  <c r="BT12" i="30" s="1"/>
  <c r="CC12" i="30"/>
  <c r="CF11" i="30"/>
  <c r="A14" i="30"/>
  <c r="BZ14" i="30" s="1"/>
  <c r="AA14" i="30"/>
  <c r="Z15" i="30"/>
  <c r="AB14" i="30"/>
  <c r="AC14" i="30"/>
  <c r="B14" i="30"/>
  <c r="AD14" i="30"/>
  <c r="J9" i="30" l="1"/>
  <c r="CX9" i="30"/>
  <c r="CT11" i="30"/>
  <c r="CU11" i="30" s="1"/>
  <c r="CV10" i="30"/>
  <c r="CW10" i="30" s="1"/>
  <c r="J10" i="30"/>
  <c r="BR12" i="30"/>
  <c r="H14" i="30"/>
  <c r="CE12" i="30"/>
  <c r="BS12" i="30"/>
  <c r="CD12" i="30"/>
  <c r="CI12" i="30" s="1"/>
  <c r="I14" i="30"/>
  <c r="CC14" i="30"/>
  <c r="I13" i="30"/>
  <c r="CE13" i="30" s="1"/>
  <c r="CC13" i="30"/>
  <c r="BO12" i="30"/>
  <c r="BM12" i="30"/>
  <c r="B15" i="30"/>
  <c r="AA15" i="30"/>
  <c r="A15" i="30"/>
  <c r="BZ15" i="30" s="1"/>
  <c r="AC15" i="30"/>
  <c r="Z16" i="30"/>
  <c r="AB15" i="30"/>
  <c r="AD15" i="30"/>
  <c r="CX10" i="30" l="1"/>
  <c r="CZ10" i="30" s="1"/>
  <c r="L10" i="30" s="1"/>
  <c r="J11" i="30"/>
  <c r="CV11" i="30"/>
  <c r="CW11" i="30" s="1"/>
  <c r="CF12" i="30"/>
  <c r="BR13" i="30"/>
  <c r="BT13" i="30"/>
  <c r="CZ8" i="30"/>
  <c r="L8" i="30" s="1"/>
  <c r="M9" i="30"/>
  <c r="M8" i="30"/>
  <c r="CZ9" i="30"/>
  <c r="L9" i="30" s="1"/>
  <c r="CY9" i="30"/>
  <c r="K9" i="30" s="1"/>
  <c r="CY8" i="30"/>
  <c r="K8" i="30" s="1"/>
  <c r="BP12" i="30"/>
  <c r="BN12" i="30"/>
  <c r="CD14" i="30"/>
  <c r="CI14" i="30" s="1"/>
  <c r="BS14" i="30"/>
  <c r="BQ14" i="30"/>
  <c r="H15" i="30"/>
  <c r="BO13" i="30"/>
  <c r="BT14" i="30"/>
  <c r="BQ12" i="30"/>
  <c r="CD13" i="30"/>
  <c r="BN13" i="30" s="1"/>
  <c r="BS13" i="30"/>
  <c r="BM13" i="30"/>
  <c r="CE14" i="30"/>
  <c r="BR14" i="30"/>
  <c r="Z17" i="30"/>
  <c r="AA16" i="30"/>
  <c r="A16" i="30"/>
  <c r="BZ16" i="30" s="1"/>
  <c r="B16" i="30"/>
  <c r="AC16" i="30"/>
  <c r="AD16" i="30"/>
  <c r="AB16" i="30"/>
  <c r="CY10" i="30" l="1"/>
  <c r="K10" i="30" s="1"/>
  <c r="CX11" i="30"/>
  <c r="CY11" i="30" s="1"/>
  <c r="K11" i="30" s="1"/>
  <c r="M10" i="30"/>
  <c r="CI13" i="30"/>
  <c r="CF14" i="30"/>
  <c r="CT12" i="30"/>
  <c r="CU12" i="30" s="1"/>
  <c r="H16" i="30"/>
  <c r="CZ11" i="30"/>
  <c r="L11" i="30" s="1"/>
  <c r="CF13" i="30"/>
  <c r="BN14" i="30"/>
  <c r="BP13" i="30"/>
  <c r="BP14" i="30"/>
  <c r="I15" i="30"/>
  <c r="BR15" i="30" s="1"/>
  <c r="CC15" i="30"/>
  <c r="BQ13" i="30"/>
  <c r="I16" i="30"/>
  <c r="CC16" i="30"/>
  <c r="BM14" i="30"/>
  <c r="BO14" i="30"/>
  <c r="AD17" i="30"/>
  <c r="AB17" i="30"/>
  <c r="AA17" i="30"/>
  <c r="B17" i="30"/>
  <c r="Z18" i="30"/>
  <c r="AC17" i="30"/>
  <c r="H17" i="30" s="1"/>
  <c r="A17" i="30"/>
  <c r="BZ17" i="30" s="1"/>
  <c r="M11" i="30" l="1"/>
  <c r="CU13" i="30"/>
  <c r="CT13" i="30"/>
  <c r="CU14" i="30"/>
  <c r="CV14" i="30" s="1"/>
  <c r="CW14" i="30" s="1"/>
  <c r="CT14" i="30"/>
  <c r="J12" i="30"/>
  <c r="CV12" i="30"/>
  <c r="CW12" i="30" s="1"/>
  <c r="BT15" i="30"/>
  <c r="CE16" i="30"/>
  <c r="CV13" i="30"/>
  <c r="CW13" i="30" s="1"/>
  <c r="J13" i="30"/>
  <c r="CE15" i="30"/>
  <c r="CD15" i="30"/>
  <c r="BN15" i="30" s="1"/>
  <c r="BS15" i="30"/>
  <c r="BQ16" i="30"/>
  <c r="CD16" i="30"/>
  <c r="BP16" i="30" s="1"/>
  <c r="BS16" i="30"/>
  <c r="BO15" i="30"/>
  <c r="I17" i="30"/>
  <c r="BR17" i="30" s="1"/>
  <c r="BM15" i="30"/>
  <c r="J14" i="30"/>
  <c r="BT16" i="30"/>
  <c r="BR16" i="30"/>
  <c r="AC18" i="30"/>
  <c r="H18" i="30" s="1"/>
  <c r="Z19" i="30"/>
  <c r="AB18" i="30"/>
  <c r="B18" i="30"/>
  <c r="AA18" i="30"/>
  <c r="A18" i="30"/>
  <c r="BZ18" i="30" s="1"/>
  <c r="AD18" i="30"/>
  <c r="CX12" i="30" l="1"/>
  <c r="CX13" i="30" s="1"/>
  <c r="CX14" i="30" s="1"/>
  <c r="CY14" i="30" s="1"/>
  <c r="K14" i="30" s="1"/>
  <c r="CI15" i="30"/>
  <c r="CI16" i="30"/>
  <c r="BT17" i="30"/>
  <c r="CC17" i="30"/>
  <c r="CE17" i="30"/>
  <c r="BP15" i="30"/>
  <c r="CF16" i="30"/>
  <c r="BN16" i="30"/>
  <c r="BQ15" i="30"/>
  <c r="CD17" i="30"/>
  <c r="BN17" i="30" s="1"/>
  <c r="BS17" i="30"/>
  <c r="CF15" i="30"/>
  <c r="I18" i="30"/>
  <c r="BO16" i="30"/>
  <c r="BM16" i="30"/>
  <c r="B19" i="30"/>
  <c r="Z20" i="30"/>
  <c r="A19" i="30"/>
  <c r="BZ19" i="30" s="1"/>
  <c r="AA19" i="30"/>
  <c r="AD19" i="30"/>
  <c r="AB19" i="30"/>
  <c r="AC19" i="30"/>
  <c r="M13" i="30" l="1"/>
  <c r="CZ13" i="30"/>
  <c r="L13" i="30" s="1"/>
  <c r="CZ14" i="30"/>
  <c r="L14" i="30" s="1"/>
  <c r="M14" i="30"/>
  <c r="CY13" i="30"/>
  <c r="K13" i="30" s="1"/>
  <c r="M12" i="30"/>
  <c r="CZ12" i="30"/>
  <c r="L12" i="30" s="1"/>
  <c r="CY12" i="30"/>
  <c r="K12" i="30" s="1"/>
  <c r="BO17" i="30"/>
  <c r="CI17" i="30"/>
  <c r="CU16" i="30"/>
  <c r="CV16" i="30" s="1"/>
  <c r="CW16" i="30" s="1"/>
  <c r="CT16" i="30"/>
  <c r="CU15" i="30"/>
  <c r="CT15" i="30"/>
  <c r="BM17" i="30"/>
  <c r="BP17" i="30"/>
  <c r="CF17" i="30"/>
  <c r="BS18" i="30"/>
  <c r="BQ18" i="30"/>
  <c r="CD18" i="30"/>
  <c r="BP18" i="30" s="1"/>
  <c r="H19" i="30"/>
  <c r="BQ17" i="30"/>
  <c r="BR18" i="30"/>
  <c r="BT18" i="30"/>
  <c r="CE18" i="30"/>
  <c r="CC18" i="30"/>
  <c r="B20" i="30"/>
  <c r="AA20" i="30"/>
  <c r="A20" i="30"/>
  <c r="BZ20" i="30" s="1"/>
  <c r="AB20" i="30"/>
  <c r="Z21" i="30"/>
  <c r="AD20" i="30"/>
  <c r="AC20" i="30"/>
  <c r="BM18" i="30" l="1"/>
  <c r="CI18" i="30"/>
  <c r="CT17" i="30"/>
  <c r="CU17" i="30" s="1"/>
  <c r="CV17" i="30" s="1"/>
  <c r="CW17" i="30" s="1"/>
  <c r="J16" i="30"/>
  <c r="H20" i="30"/>
  <c r="I20" i="30" s="1"/>
  <c r="CE20" i="30" s="1"/>
  <c r="I19" i="30"/>
  <c r="BT19" i="30" s="1"/>
  <c r="CC19" i="30"/>
  <c r="BN18" i="30"/>
  <c r="CC20" i="30"/>
  <c r="CF18" i="30"/>
  <c r="BO18" i="30"/>
  <c r="CV15" i="30"/>
  <c r="CW15" i="30" s="1"/>
  <c r="CX15" i="30" s="1"/>
  <c r="CX16" i="30" s="1"/>
  <c r="J15" i="30"/>
  <c r="AD21" i="30"/>
  <c r="B21" i="30"/>
  <c r="Z22" i="30"/>
  <c r="AA21" i="30"/>
  <c r="A21" i="30"/>
  <c r="BZ21" i="30" s="1"/>
  <c r="AC21" i="30"/>
  <c r="AB21" i="30"/>
  <c r="CX17" i="30" l="1"/>
  <c r="M17" i="30" s="1"/>
  <c r="BO19" i="30"/>
  <c r="CT18" i="30"/>
  <c r="CU18" i="30" s="1"/>
  <c r="J17" i="30"/>
  <c r="H21" i="30"/>
  <c r="CZ16" i="30"/>
  <c r="L16" i="30" s="1"/>
  <c r="CY16" i="30"/>
  <c r="K16" i="30" s="1"/>
  <c r="M16" i="30"/>
  <c r="BM19" i="30"/>
  <c r="BR20" i="30"/>
  <c r="BQ20" i="30"/>
  <c r="CD20" i="30"/>
  <c r="CF20" i="30" s="1"/>
  <c r="BS20" i="30"/>
  <c r="I21" i="30"/>
  <c r="CC21" i="30"/>
  <c r="CE19" i="30"/>
  <c r="BR19" i="30"/>
  <c r="CZ15" i="30"/>
  <c r="L15" i="30" s="1"/>
  <c r="CY15" i="30"/>
  <c r="K15" i="30" s="1"/>
  <c r="M15" i="30"/>
  <c r="BT20" i="30"/>
  <c r="BS19" i="30"/>
  <c r="CD19" i="30"/>
  <c r="BP19" i="30" s="1"/>
  <c r="BO20" i="30"/>
  <c r="AC22" i="30"/>
  <c r="AD22" i="30"/>
  <c r="A22" i="30"/>
  <c r="BZ22" i="30" s="1"/>
  <c r="AB22" i="30"/>
  <c r="Z23" i="30"/>
  <c r="B22" i="30"/>
  <c r="AA22" i="30"/>
  <c r="CI19" i="30" l="1"/>
  <c r="CI20" i="30"/>
  <c r="CU20" i="30"/>
  <c r="CT20" i="30"/>
  <c r="CV18" i="30"/>
  <c r="CW18" i="30" s="1"/>
  <c r="J18" i="30"/>
  <c r="CY17" i="30"/>
  <c r="K17" i="30" s="1"/>
  <c r="CZ17" i="30"/>
  <c r="L17" i="30" s="1"/>
  <c r="BN20" i="30"/>
  <c r="CV20" i="30"/>
  <c r="CW20" i="30" s="1"/>
  <c r="CD21" i="30"/>
  <c r="CI21" i="30" s="1"/>
  <c r="BS21" i="30"/>
  <c r="BQ21" i="30"/>
  <c r="CE21" i="30"/>
  <c r="BP20" i="30"/>
  <c r="BT21" i="30"/>
  <c r="BN19" i="30"/>
  <c r="CF19" i="30"/>
  <c r="H22" i="30"/>
  <c r="BQ19" i="30"/>
  <c r="BR21" i="30"/>
  <c r="BO21" i="30"/>
  <c r="BM20" i="30"/>
  <c r="AD23" i="30"/>
  <c r="B23" i="30"/>
  <c r="AB23" i="30"/>
  <c r="A23" i="30"/>
  <c r="BZ23" i="30" s="1"/>
  <c r="AC23" i="30"/>
  <c r="Z24" i="30"/>
  <c r="AA23" i="30"/>
  <c r="CX18" i="30" l="1"/>
  <c r="CY18" i="30" s="1"/>
  <c r="K18" i="30" s="1"/>
  <c r="CU19" i="30"/>
  <c r="CT19" i="30"/>
  <c r="H23" i="30"/>
  <c r="CF21" i="30"/>
  <c r="J20" i="30"/>
  <c r="BN21" i="30"/>
  <c r="BP21" i="30"/>
  <c r="I22" i="30"/>
  <c r="BT22" i="30" s="1"/>
  <c r="CC22" i="30"/>
  <c r="I23" i="30"/>
  <c r="CE23" i="30" s="1"/>
  <c r="BM21" i="30"/>
  <c r="A24" i="30"/>
  <c r="BZ24" i="30" s="1"/>
  <c r="AB24" i="30"/>
  <c r="Z25" i="30"/>
  <c r="AD24" i="30"/>
  <c r="AC24" i="30"/>
  <c r="H24" i="30" s="1"/>
  <c r="AA24" i="30"/>
  <c r="B24" i="30"/>
  <c r="CZ18" i="30" l="1"/>
  <c r="L18" i="30" s="1"/>
  <c r="M18" i="30"/>
  <c r="CU21" i="30"/>
  <c r="CV21" i="30" s="1"/>
  <c r="CW21" i="30" s="1"/>
  <c r="CT21" i="30"/>
  <c r="CD22" i="30"/>
  <c r="BN22" i="30" s="1"/>
  <c r="BS22" i="30"/>
  <c r="I24" i="30"/>
  <c r="CC24" i="30" s="1"/>
  <c r="BS23" i="30"/>
  <c r="CD23" i="30"/>
  <c r="BP23" i="30" s="1"/>
  <c r="BR22" i="30"/>
  <c r="CE22" i="30"/>
  <c r="CC23" i="30"/>
  <c r="CV19" i="30"/>
  <c r="CW19" i="30" s="1"/>
  <c r="CX19" i="30" s="1"/>
  <c r="CX20" i="30" s="1"/>
  <c r="J19" i="30"/>
  <c r="BR23" i="30"/>
  <c r="BT23" i="30"/>
  <c r="BO22" i="30"/>
  <c r="BM22" i="30"/>
  <c r="A25" i="30"/>
  <c r="BZ25" i="30" s="1"/>
  <c r="B25" i="30"/>
  <c r="AC25" i="30"/>
  <c r="H25" i="30" s="1"/>
  <c r="AB25" i="30"/>
  <c r="AD25" i="30"/>
  <c r="Z26" i="30"/>
  <c r="AA25" i="30"/>
  <c r="CX21" i="30" l="1"/>
  <c r="M21" i="30" s="1"/>
  <c r="CI23" i="30"/>
  <c r="CI22" i="30"/>
  <c r="J21" i="30"/>
  <c r="BR24" i="30"/>
  <c r="BT24" i="30"/>
  <c r="CF22" i="30"/>
  <c r="CF23" i="30"/>
  <c r="BP22" i="30"/>
  <c r="CZ20" i="30"/>
  <c r="L20" i="30" s="1"/>
  <c r="CY20" i="30"/>
  <c r="K20" i="30" s="1"/>
  <c r="M20" i="30"/>
  <c r="BN23" i="30"/>
  <c r="CZ19" i="30"/>
  <c r="L19" i="30" s="1"/>
  <c r="CY19" i="30"/>
  <c r="K19" i="30" s="1"/>
  <c r="M19" i="30"/>
  <c r="CD24" i="30"/>
  <c r="BN24" i="30" s="1"/>
  <c r="BS24" i="30"/>
  <c r="I25" i="30"/>
  <c r="CE25" i="30" s="1"/>
  <c r="BQ22" i="30"/>
  <c r="BO23" i="30"/>
  <c r="BQ23" i="30"/>
  <c r="BM24" i="30"/>
  <c r="CE24" i="30"/>
  <c r="BM23" i="30"/>
  <c r="BO24" i="30"/>
  <c r="AC26" i="30"/>
  <c r="Z27" i="30"/>
  <c r="A26" i="30"/>
  <c r="BZ26" i="30" s="1"/>
  <c r="AB26" i="30"/>
  <c r="AD26" i="30"/>
  <c r="AA26" i="30"/>
  <c r="B26" i="30"/>
  <c r="CI24" i="30" l="1"/>
  <c r="CU23" i="30"/>
  <c r="CT23" i="30"/>
  <c r="CU22" i="30"/>
  <c r="CV22" i="30" s="1"/>
  <c r="CW22" i="30" s="1"/>
  <c r="CX22" i="30" s="1"/>
  <c r="CT22" i="30"/>
  <c r="CV23" i="30"/>
  <c r="CW23" i="30" s="1"/>
  <c r="CY21" i="30"/>
  <c r="K21" i="30" s="1"/>
  <c r="CZ21" i="30"/>
  <c r="L21" i="30" s="1"/>
  <c r="BP24" i="30"/>
  <c r="CF24" i="30"/>
  <c r="BQ24" i="30"/>
  <c r="H26" i="30"/>
  <c r="BS25" i="30"/>
  <c r="CD25" i="30"/>
  <c r="BP25" i="30" s="1"/>
  <c r="BQ25" i="30"/>
  <c r="CC25" i="30"/>
  <c r="CI25" i="30" s="1"/>
  <c r="BR25" i="30"/>
  <c r="BT25" i="30"/>
  <c r="J23" i="30"/>
  <c r="A27" i="30"/>
  <c r="BZ27" i="30" s="1"/>
  <c r="AB27" i="30"/>
  <c r="AC27" i="30"/>
  <c r="B27" i="30"/>
  <c r="AD27" i="30"/>
  <c r="Z28" i="30"/>
  <c r="AA27" i="30"/>
  <c r="CX23" i="30" l="1"/>
  <c r="CY23" i="30" s="1"/>
  <c r="K23" i="30" s="1"/>
  <c r="CT24" i="30"/>
  <c r="CU24" i="30" s="1"/>
  <c r="CV24" i="30" s="1"/>
  <c r="CW24" i="30" s="1"/>
  <c r="CF25" i="30"/>
  <c r="J22" i="30"/>
  <c r="H27" i="30"/>
  <c r="CC27" i="30" s="1"/>
  <c r="CY22" i="30"/>
  <c r="K22" i="30" s="1"/>
  <c r="M22" i="30"/>
  <c r="CZ22" i="30"/>
  <c r="L22" i="30" s="1"/>
  <c r="I26" i="30"/>
  <c r="BR26" i="30" s="1"/>
  <c r="CC26" i="30"/>
  <c r="BN25" i="30"/>
  <c r="BM25" i="30"/>
  <c r="BO25" i="30"/>
  <c r="I27" i="30"/>
  <c r="AA28" i="30"/>
  <c r="AB28" i="30"/>
  <c r="Z29" i="30"/>
  <c r="A28" i="30"/>
  <c r="BZ28" i="30" s="1"/>
  <c r="AD28" i="30"/>
  <c r="B28" i="30"/>
  <c r="AC28" i="30"/>
  <c r="CX24" i="30" l="1"/>
  <c r="M24" i="30" s="1"/>
  <c r="CZ23" i="30"/>
  <c r="L23" i="30" s="1"/>
  <c r="M23" i="30"/>
  <c r="CT25" i="30"/>
  <c r="CU25" i="30" s="1"/>
  <c r="J24" i="30"/>
  <c r="CE26" i="30"/>
  <c r="BT26" i="30"/>
  <c r="BQ27" i="30"/>
  <c r="CD27" i="30"/>
  <c r="BP27" i="30" s="1"/>
  <c r="BS27" i="30"/>
  <c r="H28" i="30"/>
  <c r="BR27" i="30"/>
  <c r="BT27" i="30"/>
  <c r="CE27" i="30"/>
  <c r="BS26" i="30"/>
  <c r="CD26" i="30"/>
  <c r="BN26" i="30" s="1"/>
  <c r="BM26" i="30"/>
  <c r="BO26" i="30"/>
  <c r="AC29" i="30"/>
  <c r="B29" i="30"/>
  <c r="AA29" i="30"/>
  <c r="Z30" i="30"/>
  <c r="A29" i="30"/>
  <c r="BZ29" i="30" s="1"/>
  <c r="AB29" i="30"/>
  <c r="AD29" i="30"/>
  <c r="CZ24" i="30" l="1"/>
  <c r="L24" i="30" s="1"/>
  <c r="CI27" i="30"/>
  <c r="CI26" i="30"/>
  <c r="CY24" i="30"/>
  <c r="K24" i="30" s="1"/>
  <c r="CV25" i="30"/>
  <c r="CW25" i="30" s="1"/>
  <c r="J25" i="30"/>
  <c r="BP26" i="30"/>
  <c r="CF27" i="30"/>
  <c r="I28" i="30"/>
  <c r="BT28" i="30" s="1"/>
  <c r="CC28" i="30"/>
  <c r="CF26" i="30"/>
  <c r="BN27" i="30"/>
  <c r="H29" i="30"/>
  <c r="BQ26" i="30"/>
  <c r="BM27" i="30"/>
  <c r="BO27" i="30"/>
  <c r="Z31" i="30"/>
  <c r="AA30" i="30"/>
  <c r="B30" i="30"/>
  <c r="A30" i="30"/>
  <c r="BZ30" i="30" s="1"/>
  <c r="AB30" i="30"/>
  <c r="AD30" i="30"/>
  <c r="AC30" i="30"/>
  <c r="CX25" i="30" l="1"/>
  <c r="M25" i="30" s="1"/>
  <c r="CU26" i="30"/>
  <c r="CT26" i="30"/>
  <c r="CU27" i="30"/>
  <c r="CV27" i="30" s="1"/>
  <c r="CW27" i="30" s="1"/>
  <c r="CT27" i="30"/>
  <c r="CE28" i="30"/>
  <c r="I29" i="30"/>
  <c r="CE29" i="30" s="1"/>
  <c r="CC29" i="30"/>
  <c r="BR28" i="30"/>
  <c r="H30" i="30"/>
  <c r="CD28" i="30"/>
  <c r="BP28" i="30" s="1"/>
  <c r="BS28" i="30"/>
  <c r="BM28" i="30"/>
  <c r="BO28" i="30"/>
  <c r="AD31" i="30"/>
  <c r="AB31" i="30"/>
  <c r="AC31" i="30"/>
  <c r="H31" i="30" s="1"/>
  <c r="A31" i="30"/>
  <c r="BZ31" i="30" s="1"/>
  <c r="Z32" i="30"/>
  <c r="B31" i="30"/>
  <c r="AA31" i="30"/>
  <c r="CY25" i="30" l="1"/>
  <c r="K25" i="30" s="1"/>
  <c r="CZ25" i="30"/>
  <c r="L25" i="30" s="1"/>
  <c r="BO29" i="30"/>
  <c r="CI28" i="30"/>
  <c r="J27" i="30"/>
  <c r="BR29" i="30"/>
  <c r="BT29" i="30"/>
  <c r="CF28" i="30"/>
  <c r="BN28" i="30"/>
  <c r="I30" i="30"/>
  <c r="CE30" i="30" s="1"/>
  <c r="CC30" i="30"/>
  <c r="I31" i="30"/>
  <c r="BT31" i="30" s="1"/>
  <c r="CC31" i="30"/>
  <c r="BS29" i="30"/>
  <c r="CD29" i="30"/>
  <c r="BN29" i="30" s="1"/>
  <c r="CV26" i="30"/>
  <c r="CW26" i="30" s="1"/>
  <c r="CX26" i="30" s="1"/>
  <c r="CX27" i="30" s="1"/>
  <c r="J26" i="30"/>
  <c r="BQ28" i="30"/>
  <c r="BM29" i="30"/>
  <c r="B32" i="30"/>
  <c r="Z33" i="30"/>
  <c r="AB32" i="30"/>
  <c r="AC32" i="30"/>
  <c r="H32" i="30" s="1"/>
  <c r="AA32" i="30"/>
  <c r="A32" i="30"/>
  <c r="BZ32" i="30" s="1"/>
  <c r="AD32" i="30"/>
  <c r="CI29" i="30" l="1"/>
  <c r="CU28" i="30"/>
  <c r="CV28" i="30" s="1"/>
  <c r="CW28" i="30" s="1"/>
  <c r="CX28" i="30" s="1"/>
  <c r="CT28" i="30"/>
  <c r="BR30" i="30"/>
  <c r="BT30" i="30"/>
  <c r="CZ27" i="30"/>
  <c r="L27" i="30" s="1"/>
  <c r="CY27" i="30"/>
  <c r="K27" i="30" s="1"/>
  <c r="M27" i="30"/>
  <c r="CF29" i="30"/>
  <c r="BP29" i="30"/>
  <c r="CE31" i="30"/>
  <c r="BR31" i="30"/>
  <c r="BS31" i="30"/>
  <c r="CD31" i="30"/>
  <c r="CI31" i="30" s="1"/>
  <c r="BQ29" i="30"/>
  <c r="I32" i="30"/>
  <c r="BR32" i="30" s="1"/>
  <c r="CC32" i="30"/>
  <c r="BM31" i="30"/>
  <c r="CY26" i="30"/>
  <c r="K26" i="30" s="1"/>
  <c r="CZ26" i="30"/>
  <c r="L26" i="30" s="1"/>
  <c r="M26" i="30"/>
  <c r="BO30" i="30"/>
  <c r="CD30" i="30"/>
  <c r="BN30" i="30" s="1"/>
  <c r="BS30" i="30"/>
  <c r="BM30" i="30"/>
  <c r="BO31" i="30"/>
  <c r="B33" i="30"/>
  <c r="AB33" i="30"/>
  <c r="Z34" i="30"/>
  <c r="AD33" i="30"/>
  <c r="AC33" i="30"/>
  <c r="AA33" i="30"/>
  <c r="A33" i="30"/>
  <c r="BZ33" i="30" s="1"/>
  <c r="J28" i="30" l="1"/>
  <c r="CI30" i="30"/>
  <c r="CU29" i="30"/>
  <c r="J29" i="30" s="1"/>
  <c r="CT29" i="30"/>
  <c r="BT32" i="30"/>
  <c r="CE32" i="30"/>
  <c r="CF31" i="30"/>
  <c r="CF30" i="30"/>
  <c r="BP30" i="30"/>
  <c r="BN31" i="30"/>
  <c r="BP31" i="30"/>
  <c r="H33" i="30"/>
  <c r="BQ31" i="30"/>
  <c r="BQ30" i="30"/>
  <c r="BQ32" i="30"/>
  <c r="CD32" i="30"/>
  <c r="BP32" i="30" s="1"/>
  <c r="BS32" i="30"/>
  <c r="BO32" i="30"/>
  <c r="BM32" i="30"/>
  <c r="AB34" i="30"/>
  <c r="AA34" i="30"/>
  <c r="AC34" i="30"/>
  <c r="AD34" i="30"/>
  <c r="A34" i="30"/>
  <c r="BZ34" i="30" s="1"/>
  <c r="Z35" i="30"/>
  <c r="B34" i="30"/>
  <c r="CV29" i="30" l="1"/>
  <c r="CW29" i="30" s="1"/>
  <c r="CX29" i="30" s="1"/>
  <c r="CZ29" i="30" s="1"/>
  <c r="L29" i="30" s="1"/>
  <c r="CI32" i="30"/>
  <c r="CU30" i="30"/>
  <c r="J30" i="30" s="1"/>
  <c r="CT30" i="30"/>
  <c r="CT31" i="30"/>
  <c r="CU31" i="30" s="1"/>
  <c r="CZ28" i="30"/>
  <c r="L28" i="30" s="1"/>
  <c r="CY28" i="30"/>
  <c r="K28" i="30" s="1"/>
  <c r="M28" i="30"/>
  <c r="BN32" i="30"/>
  <c r="CF32" i="30"/>
  <c r="I33" i="30"/>
  <c r="CC33" i="30"/>
  <c r="H34" i="30"/>
  <c r="Z36" i="30"/>
  <c r="AB35" i="30"/>
  <c r="AA35" i="30"/>
  <c r="AD35" i="30"/>
  <c r="AC35" i="30"/>
  <c r="A35" i="30"/>
  <c r="BZ35" i="30" s="1"/>
  <c r="B35" i="30"/>
  <c r="M29" i="30" l="1"/>
  <c r="CY29" i="30"/>
  <c r="K29" i="30" s="1"/>
  <c r="BM33" i="30"/>
  <c r="CT32" i="30"/>
  <c r="CU32" i="30" s="1"/>
  <c r="J31" i="30"/>
  <c r="CV31" i="30"/>
  <c r="CW31" i="30" s="1"/>
  <c r="CV30" i="30"/>
  <c r="CW30" i="30" s="1"/>
  <c r="CX30" i="30" s="1"/>
  <c r="BS33" i="30"/>
  <c r="CD33" i="30"/>
  <c r="BP33" i="30" s="1"/>
  <c r="I34" i="30"/>
  <c r="CC34" i="30"/>
  <c r="BT33" i="30"/>
  <c r="BR33" i="30"/>
  <c r="CE33" i="30"/>
  <c r="H35" i="30"/>
  <c r="BO33" i="30"/>
  <c r="AB36" i="30"/>
  <c r="AC36" i="30"/>
  <c r="Z37" i="30"/>
  <c r="AD36" i="30"/>
  <c r="CX31" i="30" l="1"/>
  <c r="CI33" i="30"/>
  <c r="J32" i="30"/>
  <c r="CV32" i="30"/>
  <c r="CW32" i="30" s="1"/>
  <c r="M30" i="30"/>
  <c r="CY30" i="30"/>
  <c r="K30" i="30" s="1"/>
  <c r="CZ30" i="30"/>
  <c r="L30" i="30" s="1"/>
  <c r="CF33" i="30"/>
  <c r="BN33" i="30"/>
  <c r="BS34" i="30"/>
  <c r="CD34" i="30"/>
  <c r="CI34" i="30" s="1"/>
  <c r="BR34" i="30"/>
  <c r="BM34" i="30"/>
  <c r="I35" i="30"/>
  <c r="BT35" i="30" s="1"/>
  <c r="CC35" i="30"/>
  <c r="BT34" i="30"/>
  <c r="BQ33" i="30"/>
  <c r="H36" i="30"/>
  <c r="CE34" i="30"/>
  <c r="BO34" i="30"/>
  <c r="AA36" i="30"/>
  <c r="B36" i="30"/>
  <c r="A36" i="30"/>
  <c r="BZ36" i="30" s="1"/>
  <c r="AC37" i="30"/>
  <c r="AD37" i="30"/>
  <c r="AB37" i="30"/>
  <c r="Z38" i="30"/>
  <c r="CX32" i="30" l="1"/>
  <c r="CZ31" i="30"/>
  <c r="L31" i="30" s="1"/>
  <c r="CY31" i="30"/>
  <c r="K31" i="30" s="1"/>
  <c r="M31" i="30"/>
  <c r="CU33" i="30"/>
  <c r="CV33" i="30" s="1"/>
  <c r="CW33" i="30" s="1"/>
  <c r="CT33" i="30"/>
  <c r="CY32" i="30"/>
  <c r="K32" i="30" s="1"/>
  <c r="CZ32" i="30"/>
  <c r="L32" i="30" s="1"/>
  <c r="CF34" i="30"/>
  <c r="CE35" i="30"/>
  <c r="BN34" i="30"/>
  <c r="BS35" i="30"/>
  <c r="CD35" i="30"/>
  <c r="CI35" i="30" s="1"/>
  <c r="I36" i="30"/>
  <c r="BR36" i="30" s="1"/>
  <c r="CC36" i="30"/>
  <c r="BP34" i="30"/>
  <c r="BQ34" i="30"/>
  <c r="H37" i="30"/>
  <c r="BR35" i="30"/>
  <c r="BO35" i="30"/>
  <c r="BM35" i="30"/>
  <c r="AD38" i="30"/>
  <c r="AB38" i="30"/>
  <c r="AC38" i="30"/>
  <c r="H38" i="30" s="1"/>
  <c r="Z39" i="31"/>
  <c r="A37" i="30"/>
  <c r="BZ37" i="30" s="1"/>
  <c r="AA37" i="30"/>
  <c r="B37" i="30"/>
  <c r="J33" i="30" l="1"/>
  <c r="CX33" i="30"/>
  <c r="CY33" i="30" s="1"/>
  <c r="K33" i="30" s="1"/>
  <c r="M32" i="30"/>
  <c r="CF35" i="30"/>
  <c r="CU34" i="30"/>
  <c r="CT34" i="30"/>
  <c r="BP35" i="30"/>
  <c r="BN35" i="30"/>
  <c r="BT36" i="30"/>
  <c r="I38" i="30"/>
  <c r="CE38" i="30" s="1"/>
  <c r="I37" i="30"/>
  <c r="CC37" i="30" s="1"/>
  <c r="BQ35" i="30"/>
  <c r="CD36" i="30"/>
  <c r="CI36" i="30" s="1"/>
  <c r="BS36" i="30"/>
  <c r="CE36" i="30"/>
  <c r="BM36" i="30"/>
  <c r="BO36" i="30"/>
  <c r="A38" i="30"/>
  <c r="BZ38" i="30" s="1"/>
  <c r="B38" i="30"/>
  <c r="AA38" i="30"/>
  <c r="Z40" i="30" s="1"/>
  <c r="Z41" i="31" s="1"/>
  <c r="O1" i="31" s="1"/>
  <c r="Z8" i="31" s="1"/>
  <c r="M33" i="30" l="1"/>
  <c r="CZ33" i="30"/>
  <c r="L33" i="30" s="1"/>
  <c r="CU35" i="30"/>
  <c r="CV35" i="30" s="1"/>
  <c r="CW35" i="30" s="1"/>
  <c r="CT35" i="30"/>
  <c r="J34" i="30"/>
  <c r="CV34" i="30"/>
  <c r="CW34" i="30" s="1"/>
  <c r="CX34" i="30" s="1"/>
  <c r="CC38" i="30"/>
  <c r="CI38" i="30" s="1"/>
  <c r="BT37" i="30"/>
  <c r="CF36" i="30"/>
  <c r="BN36" i="30"/>
  <c r="BM37" i="30"/>
  <c r="BR37" i="30"/>
  <c r="BP36" i="30"/>
  <c r="BS38" i="30"/>
  <c r="CD38" i="30"/>
  <c r="BN38" i="30" s="1"/>
  <c r="BQ36" i="30"/>
  <c r="CD37" i="30"/>
  <c r="CI37" i="30" s="1"/>
  <c r="BS37" i="30"/>
  <c r="CE37" i="30"/>
  <c r="BO37" i="30"/>
  <c r="A8" i="31"/>
  <c r="BZ8" i="31" s="1"/>
  <c r="AA8" i="31"/>
  <c r="AB8" i="31"/>
  <c r="Z9" i="31"/>
  <c r="AD8" i="31"/>
  <c r="AC8" i="31"/>
  <c r="H8" i="31" s="1"/>
  <c r="B8" i="31"/>
  <c r="BT38" i="30"/>
  <c r="BR38" i="30"/>
  <c r="J35" i="30" l="1"/>
  <c r="CX35" i="30"/>
  <c r="CU36" i="30"/>
  <c r="CT36" i="30"/>
  <c r="BT40" i="30"/>
  <c r="CZ34" i="30"/>
  <c r="L34" i="30" s="1"/>
  <c r="CY34" i="30"/>
  <c r="K34" i="30" s="1"/>
  <c r="M34" i="30"/>
  <c r="CV36" i="30"/>
  <c r="CW36" i="30" s="1"/>
  <c r="BS40" i="30"/>
  <c r="BS42" i="30" s="1"/>
  <c r="N44" i="30" s="1"/>
  <c r="CF37" i="30"/>
  <c r="BP38" i="30"/>
  <c r="BN37" i="30"/>
  <c r="BN40" i="30" s="1"/>
  <c r="BP37" i="30"/>
  <c r="I8" i="31"/>
  <c r="BT8" i="31" s="1"/>
  <c r="CC8" i="31"/>
  <c r="CF38" i="30"/>
  <c r="J36" i="30"/>
  <c r="BQ37" i="30"/>
  <c r="BR40" i="30"/>
  <c r="B9" i="31"/>
  <c r="AB9" i="31"/>
  <c r="AD9" i="31"/>
  <c r="Z10" i="31"/>
  <c r="AA9" i="31"/>
  <c r="AC9" i="31"/>
  <c r="H9" i="31" s="1"/>
  <c r="A9" i="31"/>
  <c r="BZ9" i="31" s="1"/>
  <c r="BO38" i="30"/>
  <c r="BO40" i="30" s="1"/>
  <c r="BM38" i="30"/>
  <c r="BM40" i="30" s="1"/>
  <c r="BQ38" i="30"/>
  <c r="CX36" i="30" l="1"/>
  <c r="CU37" i="30"/>
  <c r="CT37" i="30"/>
  <c r="CT38" i="30"/>
  <c r="CU38" i="30" s="1"/>
  <c r="CV38" i="30" s="1"/>
  <c r="CW38" i="30" s="1"/>
  <c r="BP40" i="30"/>
  <c r="CY35" i="30"/>
  <c r="K35" i="30" s="1"/>
  <c r="CZ35" i="30"/>
  <c r="L35" i="30" s="1"/>
  <c r="M35" i="30"/>
  <c r="CV37" i="30"/>
  <c r="CW37" i="30" s="1"/>
  <c r="J37" i="30"/>
  <c r="BQ40" i="30"/>
  <c r="BQ42" i="30" s="1"/>
  <c r="N41" i="30" s="1"/>
  <c r="P41" i="30" s="1"/>
  <c r="R41" i="30" s="1"/>
  <c r="BM42" i="30"/>
  <c r="N42" i="30" s="1"/>
  <c r="P42" i="30" s="1"/>
  <c r="R42" i="30" s="1"/>
  <c r="CE8" i="31"/>
  <c r="BR8" i="31"/>
  <c r="BS8" i="31"/>
  <c r="CD8" i="31"/>
  <c r="BN8" i="31" s="1"/>
  <c r="BQ8" i="31"/>
  <c r="I9" i="31"/>
  <c r="CE9" i="31" s="1"/>
  <c r="CC9" i="31"/>
  <c r="BO42" i="30"/>
  <c r="N43" i="30" s="1"/>
  <c r="P43" i="30" s="1"/>
  <c r="R43" i="30" s="1"/>
  <c r="P44" i="30"/>
  <c r="R44" i="30" s="1"/>
  <c r="AC10" i="31"/>
  <c r="AB10" i="31"/>
  <c r="Z11" i="31"/>
  <c r="AA10" i="31"/>
  <c r="B10" i="31"/>
  <c r="A10" i="31"/>
  <c r="BZ10" i="31" s="1"/>
  <c r="AD10" i="31"/>
  <c r="BO8" i="31"/>
  <c r="BM8" i="31"/>
  <c r="CX37" i="30" l="1"/>
  <c r="CX38" i="30" s="1"/>
  <c r="CI8" i="31"/>
  <c r="M36" i="30"/>
  <c r="J38" i="30"/>
  <c r="CZ36" i="30"/>
  <c r="L36" i="30" s="1"/>
  <c r="CY36" i="30"/>
  <c r="K36" i="30" s="1"/>
  <c r="CF8" i="31"/>
  <c r="BR9" i="31"/>
  <c r="BT9" i="31"/>
  <c r="CD9" i="31"/>
  <c r="BN9" i="31" s="1"/>
  <c r="BS9" i="31"/>
  <c r="BQ9" i="31"/>
  <c r="BP8" i="31"/>
  <c r="H10" i="31"/>
  <c r="AB11" i="31"/>
  <c r="AC11" i="31"/>
  <c r="AD11" i="31"/>
  <c r="A11" i="31"/>
  <c r="BZ11" i="31" s="1"/>
  <c r="AA11" i="31"/>
  <c r="Z12" i="31"/>
  <c r="B11" i="31"/>
  <c r="BO9" i="31"/>
  <c r="BM9" i="31"/>
  <c r="CI9" i="31" l="1"/>
  <c r="CT8" i="31"/>
  <c r="CU8" i="31" s="1"/>
  <c r="M37" i="30"/>
  <c r="CZ37" i="30"/>
  <c r="L37" i="30" s="1"/>
  <c r="CY37" i="30"/>
  <c r="K37" i="30" s="1"/>
  <c r="CF9" i="31"/>
  <c r="BP9" i="31"/>
  <c r="I10" i="31"/>
  <c r="CE10" i="31" s="1"/>
  <c r="CC10" i="31"/>
  <c r="H11" i="31"/>
  <c r="AA12" i="31"/>
  <c r="A12" i="31"/>
  <c r="BZ12" i="31" s="1"/>
  <c r="Z13" i="31"/>
  <c r="AC12" i="31"/>
  <c r="H12" i="31" s="1"/>
  <c r="B12" i="31"/>
  <c r="AB12" i="31"/>
  <c r="AD12" i="31"/>
  <c r="BO10" i="31" l="1"/>
  <c r="CT9" i="31"/>
  <c r="CU9" i="31" s="1"/>
  <c r="J9" i="31" s="1"/>
  <c r="CV8" i="31"/>
  <c r="CW8" i="31" s="1"/>
  <c r="J8" i="31"/>
  <c r="CZ38" i="30"/>
  <c r="L38" i="30" s="1"/>
  <c r="CY38" i="30"/>
  <c r="K38" i="30" s="1"/>
  <c r="D3" i="31" s="1"/>
  <c r="CV3" i="31" s="1"/>
  <c r="M38" i="30"/>
  <c r="E3" i="31" s="1"/>
  <c r="G3" i="31" s="1"/>
  <c r="BR10" i="31"/>
  <c r="I11" i="31"/>
  <c r="CE11" i="31" s="1"/>
  <c r="CC11" i="31"/>
  <c r="BT10" i="31"/>
  <c r="I12" i="31"/>
  <c r="CC12" i="31"/>
  <c r="BS10" i="31"/>
  <c r="CD10" i="31"/>
  <c r="BN10" i="31" s="1"/>
  <c r="A13" i="31"/>
  <c r="BZ13" i="31" s="1"/>
  <c r="AA13" i="31"/>
  <c r="AD13" i="31"/>
  <c r="Z14" i="31"/>
  <c r="AB13" i="31"/>
  <c r="AC13" i="31"/>
  <c r="B13" i="31"/>
  <c r="BM10" i="31"/>
  <c r="CI10" i="31" l="1"/>
  <c r="CW3" i="31"/>
  <c r="CV9" i="31"/>
  <c r="CW9" i="31" s="1"/>
  <c r="BT12" i="31"/>
  <c r="CF10" i="31"/>
  <c r="CE12" i="31"/>
  <c r="BS12" i="31"/>
  <c r="CD12" i="31"/>
  <c r="CI12" i="31" s="1"/>
  <c r="BP10" i="31"/>
  <c r="BR11" i="31"/>
  <c r="BT11" i="31"/>
  <c r="BQ10" i="31"/>
  <c r="H13" i="31"/>
  <c r="CD11" i="31"/>
  <c r="CF11" i="31" s="1"/>
  <c r="BS11" i="31"/>
  <c r="BQ11" i="31"/>
  <c r="AA14" i="31"/>
  <c r="Z15" i="31"/>
  <c r="AB14" i="31"/>
  <c r="A14" i="31"/>
  <c r="BZ14" i="31" s="1"/>
  <c r="B14" i="31"/>
  <c r="AD14" i="31"/>
  <c r="AC14" i="31"/>
  <c r="BO11" i="31"/>
  <c r="BR12" i="31"/>
  <c r="BM11" i="31"/>
  <c r="CX8" i="31" l="1"/>
  <c r="CX9" i="31" s="1"/>
  <c r="CZ9" i="31" s="1"/>
  <c r="L9" i="31" s="1"/>
  <c r="CI11" i="31"/>
  <c r="CU10" i="31"/>
  <c r="CV10" i="31" s="1"/>
  <c r="CW10" i="31" s="1"/>
  <c r="CT10" i="31"/>
  <c r="CU11" i="31"/>
  <c r="CV11" i="31" s="1"/>
  <c r="CW11" i="31" s="1"/>
  <c r="CT11" i="31"/>
  <c r="CF12" i="31"/>
  <c r="BN11" i="31"/>
  <c r="BP11" i="31"/>
  <c r="BN12" i="31"/>
  <c r="BP12" i="31"/>
  <c r="I13" i="31"/>
  <c r="CE13" i="31" s="1"/>
  <c r="CC13" i="31"/>
  <c r="J10" i="31"/>
  <c r="H14" i="31"/>
  <c r="AC15" i="31"/>
  <c r="H15" i="31" s="1"/>
  <c r="AA15" i="31"/>
  <c r="Z16" i="31"/>
  <c r="AD15" i="31"/>
  <c r="A15" i="31"/>
  <c r="BZ15" i="31" s="1"/>
  <c r="AB15" i="31"/>
  <c r="B15" i="31"/>
  <c r="BM12" i="31"/>
  <c r="BO12" i="31"/>
  <c r="BQ12" i="31"/>
  <c r="CY8" i="31" l="1"/>
  <c r="K8" i="31" s="1"/>
  <c r="CX10" i="31"/>
  <c r="CX11" i="31" s="1"/>
  <c r="CZ11" i="31" s="1"/>
  <c r="L11" i="31" s="1"/>
  <c r="M8" i="31"/>
  <c r="CZ8" i="31"/>
  <c r="L8" i="31" s="1"/>
  <c r="CU12" i="31"/>
  <c r="CV12" i="31" s="1"/>
  <c r="CW12" i="31" s="1"/>
  <c r="CT12" i="31"/>
  <c r="CY9" i="31"/>
  <c r="K9" i="31" s="1"/>
  <c r="M9" i="31"/>
  <c r="J11" i="31"/>
  <c r="BS13" i="31"/>
  <c r="CD13" i="31"/>
  <c r="CF13" i="31" s="1"/>
  <c r="BR13" i="31"/>
  <c r="I15" i="31"/>
  <c r="CE15" i="31" s="1"/>
  <c r="I14" i="31"/>
  <c r="BT14" i="31" s="1"/>
  <c r="CC14" i="31"/>
  <c r="BT13" i="31"/>
  <c r="A16" i="31"/>
  <c r="BZ16" i="31" s="1"/>
  <c r="B16" i="31"/>
  <c r="AB16" i="31"/>
  <c r="Z17" i="31"/>
  <c r="AA16" i="31"/>
  <c r="AD16" i="31"/>
  <c r="AC16" i="31"/>
  <c r="H16" i="31" s="1"/>
  <c r="BM13" i="31"/>
  <c r="BO13" i="31"/>
  <c r="CX12" i="31" l="1"/>
  <c r="CY12" i="31" s="1"/>
  <c r="K12" i="31" s="1"/>
  <c r="CI13" i="31"/>
  <c r="M10" i="31"/>
  <c r="CY10" i="31"/>
  <c r="K10" i="31" s="1"/>
  <c r="CZ10" i="31"/>
  <c r="L10" i="31" s="1"/>
  <c r="M11" i="31"/>
  <c r="CY11" i="31"/>
  <c r="K11" i="31" s="1"/>
  <c r="CU13" i="31"/>
  <c r="CT13" i="31"/>
  <c r="J12" i="31"/>
  <c r="CE14" i="31"/>
  <c r="BR14" i="31"/>
  <c r="BN13" i="31"/>
  <c r="BP13" i="31"/>
  <c r="BQ13" i="31"/>
  <c r="CD15" i="31"/>
  <c r="BP15" i="31" s="1"/>
  <c r="BS15" i="31"/>
  <c r="CD14" i="31"/>
  <c r="BP14" i="31" s="1"/>
  <c r="BS14" i="31"/>
  <c r="I16" i="31"/>
  <c r="CE16" i="31" s="1"/>
  <c r="BR15" i="31"/>
  <c r="BM14" i="31"/>
  <c r="BT15" i="31"/>
  <c r="CC15" i="31"/>
  <c r="B17" i="31"/>
  <c r="Z18" i="31"/>
  <c r="AB17" i="31"/>
  <c r="AC17" i="31"/>
  <c r="AA17" i="31"/>
  <c r="A17" i="31"/>
  <c r="BZ17" i="31" s="1"/>
  <c r="AD17" i="31"/>
  <c r="BO14" i="31"/>
  <c r="M12" i="31" l="1"/>
  <c r="CZ12" i="31"/>
  <c r="L12" i="31" s="1"/>
  <c r="CF15" i="31"/>
  <c r="CT15" i="31" s="1"/>
  <c r="CU15" i="31" s="1"/>
  <c r="CV15" i="31" s="1"/>
  <c r="CW15" i="31" s="1"/>
  <c r="CI15" i="31"/>
  <c r="CI14" i="31"/>
  <c r="CC16" i="31"/>
  <c r="BR16" i="31"/>
  <c r="BT16" i="31"/>
  <c r="BN15" i="31"/>
  <c r="CF14" i="31"/>
  <c r="BN14" i="31"/>
  <c r="BQ14" i="31"/>
  <c r="H17" i="31"/>
  <c r="CD16" i="31"/>
  <c r="BS16" i="31"/>
  <c r="CV13" i="31"/>
  <c r="CW13" i="31" s="1"/>
  <c r="CX13" i="31" s="1"/>
  <c r="J13" i="31"/>
  <c r="AB18" i="31"/>
  <c r="Z19" i="31"/>
  <c r="AC18" i="31"/>
  <c r="AD18" i="31"/>
  <c r="A18" i="31"/>
  <c r="BZ18" i="31" s="1"/>
  <c r="B18" i="31"/>
  <c r="AA18" i="31"/>
  <c r="BM15" i="31"/>
  <c r="BO15" i="31"/>
  <c r="BQ15" i="31"/>
  <c r="BM16" i="31" l="1"/>
  <c r="CI16" i="31"/>
  <c r="CU14" i="31"/>
  <c r="CT14" i="31"/>
  <c r="CF16" i="31"/>
  <c r="BO16" i="31"/>
  <c r="CV14" i="31"/>
  <c r="CW14" i="31" s="1"/>
  <c r="CX14" i="31" s="1"/>
  <c r="CX15" i="31" s="1"/>
  <c r="J14" i="31"/>
  <c r="BP16" i="31"/>
  <c r="BN16" i="31"/>
  <c r="CZ13" i="31"/>
  <c r="L13" i="31" s="1"/>
  <c r="CY13" i="31"/>
  <c r="K13" i="31" s="1"/>
  <c r="M13" i="31"/>
  <c r="I17" i="31"/>
  <c r="BT17" i="31" s="1"/>
  <c r="CC17" i="31"/>
  <c r="H18" i="31"/>
  <c r="BQ16" i="31"/>
  <c r="AB19" i="31"/>
  <c r="AD19" i="31"/>
  <c r="AC19" i="31"/>
  <c r="A19" i="31"/>
  <c r="BZ19" i="31" s="1"/>
  <c r="Z20" i="31"/>
  <c r="B19" i="31"/>
  <c r="AA19" i="31"/>
  <c r="J15" i="31"/>
  <c r="CT16" i="31" l="1"/>
  <c r="CU16" i="31" s="1"/>
  <c r="M14" i="31"/>
  <c r="CZ14" i="31"/>
  <c r="L14" i="31" s="1"/>
  <c r="CY14" i="31"/>
  <c r="K14" i="31" s="1"/>
  <c r="CE17" i="31"/>
  <c r="BR17" i="31"/>
  <c r="BS17" i="31"/>
  <c r="CD17" i="31"/>
  <c r="CI17" i="31" s="1"/>
  <c r="I18" i="31"/>
  <c r="CE18" i="31" s="1"/>
  <c r="CC18" i="31"/>
  <c r="H19" i="31"/>
  <c r="A20" i="31"/>
  <c r="BZ20" i="31" s="1"/>
  <c r="AA20" i="31"/>
  <c r="Z21" i="31"/>
  <c r="AC20" i="31"/>
  <c r="B20" i="31"/>
  <c r="AB20" i="31"/>
  <c r="AD20" i="31"/>
  <c r="M15" i="31"/>
  <c r="BM17" i="31"/>
  <c r="BO17" i="31"/>
  <c r="J16" i="31" l="1"/>
  <c r="CV16" i="31"/>
  <c r="CW16" i="31" s="1"/>
  <c r="CX16" i="31" s="1"/>
  <c r="CF17" i="31"/>
  <c r="CY15" i="31"/>
  <c r="K15" i="31" s="1"/>
  <c r="CZ15" i="31"/>
  <c r="L15" i="31" s="1"/>
  <c r="BP17" i="31"/>
  <c r="BN17" i="31"/>
  <c r="H20" i="31"/>
  <c r="BQ17" i="31"/>
  <c r="BT18" i="31"/>
  <c r="I19" i="31"/>
  <c r="CE19" i="31" s="1"/>
  <c r="CC19" i="31"/>
  <c r="CD18" i="31"/>
  <c r="BP18" i="31" s="1"/>
  <c r="BS18" i="31"/>
  <c r="BM18" i="31"/>
  <c r="BR18" i="31"/>
  <c r="AA21" i="31"/>
  <c r="Z22" i="31"/>
  <c r="AB21" i="31"/>
  <c r="AC21" i="31"/>
  <c r="AD21" i="31"/>
  <c r="A21" i="31"/>
  <c r="BZ21" i="31" s="1"/>
  <c r="B21" i="31"/>
  <c r="BO18" i="31"/>
  <c r="CI18" i="31" l="1"/>
  <c r="CU17" i="31"/>
  <c r="CT17" i="31"/>
  <c r="CY16" i="31"/>
  <c r="K16" i="31" s="1"/>
  <c r="CZ16" i="31"/>
  <c r="L16" i="31" s="1"/>
  <c r="M16" i="31"/>
  <c r="CV17" i="31"/>
  <c r="CW17" i="31" s="1"/>
  <c r="CX17" i="31" s="1"/>
  <c r="H21" i="31"/>
  <c r="BN18" i="31"/>
  <c r="BS19" i="31"/>
  <c r="CD19" i="31"/>
  <c r="CF19" i="31" s="1"/>
  <c r="CF18" i="31"/>
  <c r="I21" i="31"/>
  <c r="CC21" i="31"/>
  <c r="BT19" i="31"/>
  <c r="I20" i="31"/>
  <c r="BT20" i="31" s="1"/>
  <c r="BR19" i="31"/>
  <c r="BQ18" i="31"/>
  <c r="Z23" i="31"/>
  <c r="AB22" i="31"/>
  <c r="AD22" i="31"/>
  <c r="A22" i="31"/>
  <c r="BZ22" i="31" s="1"/>
  <c r="B22" i="31"/>
  <c r="AA22" i="31"/>
  <c r="AC22" i="31"/>
  <c r="H22" i="31" s="1"/>
  <c r="BO19" i="31"/>
  <c r="BM19" i="31"/>
  <c r="CI19" i="31" l="1"/>
  <c r="CU19" i="31"/>
  <c r="CT19" i="31"/>
  <c r="CU18" i="31"/>
  <c r="CT18" i="31"/>
  <c r="J17" i="31"/>
  <c r="CE21" i="31"/>
  <c r="CC20" i="31"/>
  <c r="CE20" i="31"/>
  <c r="CZ17" i="31"/>
  <c r="L17" i="31" s="1"/>
  <c r="CY17" i="31"/>
  <c r="K17" i="31" s="1"/>
  <c r="M17" i="31"/>
  <c r="CD21" i="31"/>
  <c r="CI21" i="31" s="1"/>
  <c r="BS21" i="31"/>
  <c r="BQ21" i="31"/>
  <c r="I22" i="31"/>
  <c r="CC22" i="31" s="1"/>
  <c r="BR20" i="31"/>
  <c r="BN19" i="31"/>
  <c r="BP19" i="31"/>
  <c r="BQ19" i="31"/>
  <c r="BS20" i="31"/>
  <c r="CD20" i="31"/>
  <c r="BN20" i="31" s="1"/>
  <c r="AC23" i="31"/>
  <c r="H23" i="31" s="1"/>
  <c r="AA23" i="31"/>
  <c r="Z24" i="31"/>
  <c r="AB23" i="31"/>
  <c r="AD23" i="31"/>
  <c r="A23" i="31"/>
  <c r="BZ23" i="31" s="1"/>
  <c r="B23" i="31"/>
  <c r="BR21" i="31"/>
  <c r="BT21" i="31"/>
  <c r="BM20" i="31" l="1"/>
  <c r="CI20" i="31"/>
  <c r="CF21" i="31"/>
  <c r="BO20" i="31"/>
  <c r="BT22" i="31"/>
  <c r="CE22" i="31"/>
  <c r="BR22" i="31"/>
  <c r="BP21" i="31"/>
  <c r="CF20" i="31"/>
  <c r="BN21" i="31"/>
  <c r="I23" i="31"/>
  <c r="BT23" i="31" s="1"/>
  <c r="BP20" i="31"/>
  <c r="BQ20" i="31"/>
  <c r="CD22" i="31"/>
  <c r="BN22" i="31" s="1"/>
  <c r="BS22" i="31"/>
  <c r="BQ22" i="31"/>
  <c r="CV18" i="31"/>
  <c r="CW18" i="31" s="1"/>
  <c r="CX18" i="31" s="1"/>
  <c r="J18" i="31"/>
  <c r="CV19" i="31"/>
  <c r="CW19" i="31" s="1"/>
  <c r="J19" i="31"/>
  <c r="Z25" i="31"/>
  <c r="AA24" i="31"/>
  <c r="AD24" i="31"/>
  <c r="A24" i="31"/>
  <c r="BZ24" i="31" s="1"/>
  <c r="B24" i="31"/>
  <c r="AB24" i="31"/>
  <c r="AC24" i="31"/>
  <c r="BM21" i="31"/>
  <c r="BO21" i="31"/>
  <c r="BM22" i="31"/>
  <c r="BO22" i="31"/>
  <c r="CX19" i="31" l="1"/>
  <c r="CZ19" i="31" s="1"/>
  <c r="L19" i="31" s="1"/>
  <c r="CI22" i="31"/>
  <c r="CT20" i="31"/>
  <c r="CU20" i="31" s="1"/>
  <c r="CU21" i="31"/>
  <c r="J21" i="31" s="1"/>
  <c r="CT21" i="31"/>
  <c r="CC23" i="31"/>
  <c r="BR23" i="31"/>
  <c r="H24" i="31"/>
  <c r="I24" i="31" s="1"/>
  <c r="CE23" i="31"/>
  <c r="CF22" i="31"/>
  <c r="BP22" i="31"/>
  <c r="CZ18" i="31"/>
  <c r="L18" i="31" s="1"/>
  <c r="CY18" i="31"/>
  <c r="K18" i="31" s="1"/>
  <c r="M18" i="31"/>
  <c r="BS23" i="31"/>
  <c r="CD23" i="31"/>
  <c r="BN23" i="31" s="1"/>
  <c r="BQ23" i="31"/>
  <c r="CC24" i="31"/>
  <c r="AD25" i="31"/>
  <c r="AA25" i="31"/>
  <c r="B25" i="31"/>
  <c r="Z26" i="31"/>
  <c r="A25" i="31"/>
  <c r="BZ25" i="31" s="1"/>
  <c r="AB25" i="31"/>
  <c r="AC25" i="31"/>
  <c r="BO23" i="31" l="1"/>
  <c r="CI23" i="31"/>
  <c r="CT22" i="31"/>
  <c r="CU22" i="31" s="1"/>
  <c r="BM23" i="31"/>
  <c r="CV20" i="31"/>
  <c r="CW20" i="31" s="1"/>
  <c r="J20" i="31"/>
  <c r="CV21" i="31"/>
  <c r="CW21" i="31" s="1"/>
  <c r="CY19" i="31"/>
  <c r="K19" i="31" s="1"/>
  <c r="BT24" i="31"/>
  <c r="CE24" i="31"/>
  <c r="M19" i="31"/>
  <c r="BP23" i="31"/>
  <c r="H25" i="31"/>
  <c r="CD24" i="31"/>
  <c r="BP24" i="31" s="1"/>
  <c r="BS24" i="31"/>
  <c r="CF23" i="31"/>
  <c r="AD26" i="31"/>
  <c r="A26" i="31"/>
  <c r="BZ26" i="31" s="1"/>
  <c r="AA26" i="31"/>
  <c r="AB26" i="31"/>
  <c r="B26" i="31"/>
  <c r="Z27" i="31"/>
  <c r="AC26" i="31"/>
  <c r="BR24" i="31"/>
  <c r="CX20" i="31" l="1"/>
  <c r="CX21" i="31" s="1"/>
  <c r="CZ21" i="31" s="1"/>
  <c r="L21" i="31" s="1"/>
  <c r="CI24" i="31"/>
  <c r="CT23" i="31"/>
  <c r="CU23" i="31" s="1"/>
  <c r="J22" i="31"/>
  <c r="CV22" i="31"/>
  <c r="CW22" i="31" s="1"/>
  <c r="H26" i="31"/>
  <c r="CF24" i="31"/>
  <c r="BN24" i="31"/>
  <c r="I26" i="31"/>
  <c r="CC26" i="31"/>
  <c r="BQ24" i="31"/>
  <c r="I25" i="31"/>
  <c r="BT25" i="31" s="1"/>
  <c r="CC25" i="31"/>
  <c r="AB27" i="31"/>
  <c r="A27" i="31"/>
  <c r="BZ27" i="31" s="1"/>
  <c r="AC27" i="31"/>
  <c r="AD27" i="31"/>
  <c r="B27" i="31"/>
  <c r="Z28" i="31"/>
  <c r="AA27" i="31"/>
  <c r="BM24" i="31"/>
  <c r="BO24" i="31"/>
  <c r="M20" i="31" l="1"/>
  <c r="CY20" i="31"/>
  <c r="K20" i="31" s="1"/>
  <c r="CY21" i="31"/>
  <c r="K21" i="31" s="1"/>
  <c r="CZ20" i="31"/>
  <c r="L20" i="31" s="1"/>
  <c r="CX22" i="31"/>
  <c r="CZ22" i="31" s="1"/>
  <c r="L22" i="31" s="1"/>
  <c r="M21" i="31"/>
  <c r="CU24" i="31"/>
  <c r="CT24" i="31"/>
  <c r="CV23" i="31"/>
  <c r="CW23" i="31" s="1"/>
  <c r="J23" i="31"/>
  <c r="CV24" i="31"/>
  <c r="CW24" i="31" s="1"/>
  <c r="H27" i="31"/>
  <c r="BR25" i="31"/>
  <c r="CE26" i="31"/>
  <c r="CD25" i="31"/>
  <c r="CI25" i="31" s="1"/>
  <c r="BS25" i="31"/>
  <c r="BS26" i="31"/>
  <c r="CD26" i="31"/>
  <c r="BN26" i="31" s="1"/>
  <c r="CE25" i="31"/>
  <c r="I27" i="31"/>
  <c r="CC27" i="31"/>
  <c r="BO25" i="31"/>
  <c r="AA28" i="31"/>
  <c r="Z29" i="31"/>
  <c r="AB28" i="31"/>
  <c r="A28" i="31"/>
  <c r="BZ28" i="31" s="1"/>
  <c r="B28" i="31"/>
  <c r="AC28" i="31"/>
  <c r="AD28" i="31"/>
  <c r="BT26" i="31"/>
  <c r="BR26" i="31"/>
  <c r="BM26" i="31"/>
  <c r="BM25" i="31"/>
  <c r="M22" i="31" l="1"/>
  <c r="CY22" i="31"/>
  <c r="K22" i="31" s="1"/>
  <c r="CX23" i="31"/>
  <c r="CY23" i="31" s="1"/>
  <c r="K23" i="31" s="1"/>
  <c r="CI26" i="31"/>
  <c r="J24" i="31"/>
  <c r="CE27" i="31"/>
  <c r="CF25" i="31"/>
  <c r="BP25" i="31"/>
  <c r="BN25" i="31"/>
  <c r="BQ26" i="31"/>
  <c r="CF26" i="31"/>
  <c r="H28" i="31"/>
  <c r="BP26" i="31"/>
  <c r="BS27" i="31"/>
  <c r="CD27" i="31"/>
  <c r="BP27" i="31" s="1"/>
  <c r="BQ25" i="31"/>
  <c r="AA29" i="31"/>
  <c r="AC29" i="31"/>
  <c r="H29" i="31" s="1"/>
  <c r="A29" i="31"/>
  <c r="BZ29" i="31" s="1"/>
  <c r="AB29" i="31"/>
  <c r="AD29" i="31"/>
  <c r="B29" i="31"/>
  <c r="BO26" i="31"/>
  <c r="BT27" i="31"/>
  <c r="BR27" i="31"/>
  <c r="Z30" i="31"/>
  <c r="M23" i="31" l="1"/>
  <c r="CX24" i="31"/>
  <c r="CZ24" i="31" s="1"/>
  <c r="L24" i="31" s="1"/>
  <c r="CZ23" i="31"/>
  <c r="L23" i="31" s="1"/>
  <c r="CI27" i="31"/>
  <c r="CU25" i="31"/>
  <c r="CV25" i="31" s="1"/>
  <c r="CW25" i="31" s="1"/>
  <c r="CT25" i="31"/>
  <c r="CU26" i="31"/>
  <c r="CV26" i="31" s="1"/>
  <c r="CW26" i="31" s="1"/>
  <c r="CT26" i="31"/>
  <c r="I28" i="31"/>
  <c r="BT28" i="31" s="1"/>
  <c r="CC28" i="31"/>
  <c r="I29" i="31"/>
  <c r="CE29" i="31" s="1"/>
  <c r="BN27" i="31"/>
  <c r="CF27" i="31"/>
  <c r="B30" i="31"/>
  <c r="A30" i="31"/>
  <c r="BZ30" i="31" s="1"/>
  <c r="BO27" i="31"/>
  <c r="AB30" i="31"/>
  <c r="AA30" i="31"/>
  <c r="Z31" i="31"/>
  <c r="AD30" i="31"/>
  <c r="AC30" i="31"/>
  <c r="H30" i="31" s="1"/>
  <c r="BQ27" i="31"/>
  <c r="BM27" i="31"/>
  <c r="CY24" i="31" l="1"/>
  <c r="K24" i="31" s="1"/>
  <c r="CX25" i="31"/>
  <c r="CX26" i="31" s="1"/>
  <c r="M26" i="31" s="1"/>
  <c r="M24" i="31"/>
  <c r="J25" i="31"/>
  <c r="CU27" i="31"/>
  <c r="CT27" i="31"/>
  <c r="BR28" i="31"/>
  <c r="BR29" i="31"/>
  <c r="J26" i="31"/>
  <c r="I30" i="31"/>
  <c r="CE30" i="31" s="1"/>
  <c r="BT29" i="31"/>
  <c r="CE28" i="31"/>
  <c r="BS28" i="31"/>
  <c r="CD28" i="31"/>
  <c r="CI28" i="31" s="1"/>
  <c r="CD29" i="31"/>
  <c r="BP29" i="31" s="1"/>
  <c r="BS29" i="31"/>
  <c r="CC29" i="31"/>
  <c r="A31" i="31"/>
  <c r="BZ31" i="31" s="1"/>
  <c r="B31" i="31"/>
  <c r="BM28" i="31"/>
  <c r="AC31" i="31"/>
  <c r="AA31" i="31"/>
  <c r="Z32" i="31"/>
  <c r="AD31" i="31"/>
  <c r="AB31" i="31"/>
  <c r="BQ28" i="31"/>
  <c r="BO28" i="31"/>
  <c r="CY25" i="31" l="1"/>
  <c r="K25" i="31" s="1"/>
  <c r="CZ25" i="31"/>
  <c r="L25" i="31" s="1"/>
  <c r="M25" i="31"/>
  <c r="BO29" i="31"/>
  <c r="CI29" i="31"/>
  <c r="CY26" i="31"/>
  <c r="K26" i="31" s="1"/>
  <c r="CZ26" i="31"/>
  <c r="L26" i="31" s="1"/>
  <c r="CC30" i="31"/>
  <c r="BM30" i="31" s="1"/>
  <c r="CF28" i="31"/>
  <c r="BT30" i="31"/>
  <c r="BR30" i="31"/>
  <c r="BN28" i="31"/>
  <c r="BP28" i="31"/>
  <c r="CF29" i="31"/>
  <c r="CD30" i="31"/>
  <c r="BS30" i="31"/>
  <c r="BN29" i="31"/>
  <c r="CV27" i="31"/>
  <c r="CW27" i="31" s="1"/>
  <c r="CX27" i="31" s="1"/>
  <c r="J27" i="31"/>
  <c r="H31" i="31"/>
  <c r="B32" i="31"/>
  <c r="A32" i="31"/>
  <c r="BZ32" i="31" s="1"/>
  <c r="AB32" i="31"/>
  <c r="Z33" i="31"/>
  <c r="AA32" i="31"/>
  <c r="AD32" i="31"/>
  <c r="AC32" i="31"/>
  <c r="BQ29" i="31"/>
  <c r="BM29" i="31"/>
  <c r="CF30" i="31" l="1"/>
  <c r="BO30" i="31"/>
  <c r="CI30" i="31"/>
  <c r="CT30" i="31"/>
  <c r="CU30" i="31" s="1"/>
  <c r="CT29" i="31"/>
  <c r="CU29" i="31" s="1"/>
  <c r="CU28" i="31"/>
  <c r="J28" i="31" s="1"/>
  <c r="CT28" i="31"/>
  <c r="BP30" i="31"/>
  <c r="BN30" i="31"/>
  <c r="CZ27" i="31"/>
  <c r="L27" i="31" s="1"/>
  <c r="CY27" i="31"/>
  <c r="K27" i="31" s="1"/>
  <c r="M27" i="31"/>
  <c r="BQ30" i="31"/>
  <c r="H32" i="31"/>
  <c r="I31" i="31"/>
  <c r="BT31" i="31" s="1"/>
  <c r="CC31" i="31"/>
  <c r="A33" i="31"/>
  <c r="BZ33" i="31" s="1"/>
  <c r="B33" i="31"/>
  <c r="AA33" i="31"/>
  <c r="AD33" i="31"/>
  <c r="AB33" i="31"/>
  <c r="Z34" i="31"/>
  <c r="AC33" i="31"/>
  <c r="BM31" i="31" l="1"/>
  <c r="CV29" i="31"/>
  <c r="CW29" i="31" s="1"/>
  <c r="J29" i="31"/>
  <c r="CV30" i="31"/>
  <c r="CW30" i="31" s="1"/>
  <c r="J30" i="31"/>
  <c r="CV28" i="31"/>
  <c r="CW28" i="31" s="1"/>
  <c r="CX28" i="31" s="1"/>
  <c r="CX29" i="31" s="1"/>
  <c r="H33" i="31"/>
  <c r="CE31" i="31"/>
  <c r="BR31" i="31"/>
  <c r="I33" i="31"/>
  <c r="CC33" i="31"/>
  <c r="CD31" i="31"/>
  <c r="CI31" i="31" s="1"/>
  <c r="BS31" i="31"/>
  <c r="I32" i="31"/>
  <c r="BT32" i="31" s="1"/>
  <c r="CC32" i="31"/>
  <c r="B34" i="31"/>
  <c r="A34" i="31"/>
  <c r="BZ34" i="31" s="1"/>
  <c r="BO31" i="31"/>
  <c r="AC34" i="31"/>
  <c r="AD34" i="31"/>
  <c r="AA34" i="31"/>
  <c r="AB34" i="31"/>
  <c r="Z35" i="31"/>
  <c r="CX30" i="31" l="1"/>
  <c r="CY28" i="31"/>
  <c r="K28" i="31" s="1"/>
  <c r="CZ28" i="31"/>
  <c r="L28" i="31" s="1"/>
  <c r="M28" i="31"/>
  <c r="CF31" i="31"/>
  <c r="BR32" i="31"/>
  <c r="BN31" i="31"/>
  <c r="BP31" i="31"/>
  <c r="BQ31" i="31"/>
  <c r="CE33" i="31"/>
  <c r="H34" i="31"/>
  <c r="CE32" i="31"/>
  <c r="BR33" i="31"/>
  <c r="BO32" i="31"/>
  <c r="BS32" i="31"/>
  <c r="CD32" i="31"/>
  <c r="BN32" i="31" s="1"/>
  <c r="BS33" i="31"/>
  <c r="CD33" i="31"/>
  <c r="BP33" i="31" s="1"/>
  <c r="A35" i="31"/>
  <c r="BZ35" i="31" s="1"/>
  <c r="B35" i="31"/>
  <c r="BM32" i="31"/>
  <c r="BT33" i="31"/>
  <c r="BO33" i="31"/>
  <c r="AA35" i="31"/>
  <c r="AD35" i="31"/>
  <c r="Z36" i="31"/>
  <c r="AC35" i="31"/>
  <c r="AB35" i="31"/>
  <c r="CI32" i="31" l="1"/>
  <c r="CI33" i="31"/>
  <c r="CT31" i="31"/>
  <c r="CU31" i="31" s="1"/>
  <c r="CZ29" i="31"/>
  <c r="L29" i="31" s="1"/>
  <c r="CY29" i="31"/>
  <c r="K29" i="31" s="1"/>
  <c r="M29" i="31"/>
  <c r="CF32" i="31"/>
  <c r="I34" i="31"/>
  <c r="CE34" i="31" s="1"/>
  <c r="CC34" i="31"/>
  <c r="H35" i="31"/>
  <c r="CF33" i="31"/>
  <c r="BN33" i="31"/>
  <c r="BP32" i="31"/>
  <c r="BQ33" i="31"/>
  <c r="BQ32" i="31"/>
  <c r="BM33" i="31"/>
  <c r="AD36" i="31"/>
  <c r="Z37" i="31"/>
  <c r="AB36" i="31"/>
  <c r="AC36" i="31"/>
  <c r="H36" i="31" s="1"/>
  <c r="CU33" i="31" l="1"/>
  <c r="CT33" i="31"/>
  <c r="CU32" i="31"/>
  <c r="CT32" i="31"/>
  <c r="J31" i="31"/>
  <c r="CV31" i="31"/>
  <c r="CW31" i="31" s="1"/>
  <c r="J32" i="31"/>
  <c r="CY30" i="31"/>
  <c r="K30" i="31" s="1"/>
  <c r="CZ30" i="31"/>
  <c r="L30" i="31" s="1"/>
  <c r="M30" i="31"/>
  <c r="BR34" i="31"/>
  <c r="BT34" i="31"/>
  <c r="I35" i="31"/>
  <c r="CE35" i="31" s="1"/>
  <c r="CC35" i="31"/>
  <c r="CD34" i="31"/>
  <c r="BN34" i="31" s="1"/>
  <c r="BS34" i="31"/>
  <c r="I36" i="31"/>
  <c r="CE36" i="31" s="1"/>
  <c r="B36" i="31"/>
  <c r="A36" i="31"/>
  <c r="BZ36" i="31" s="1"/>
  <c r="BM34" i="31"/>
  <c r="BO34" i="31"/>
  <c r="AB37" i="31"/>
  <c r="Z38" i="31"/>
  <c r="AD37" i="31"/>
  <c r="AC37" i="31"/>
  <c r="H37" i="31" s="1"/>
  <c r="AA36" i="31"/>
  <c r="CX31" i="31" l="1"/>
  <c r="CZ31" i="31" s="1"/>
  <c r="L31" i="31" s="1"/>
  <c r="CI34" i="31"/>
  <c r="CV32" i="31"/>
  <c r="CW32" i="31" s="1"/>
  <c r="M31" i="31"/>
  <c r="BR35" i="31"/>
  <c r="CC36" i="31"/>
  <c r="BP34" i="31"/>
  <c r="I37" i="31"/>
  <c r="CE37" i="31" s="1"/>
  <c r="BT35" i="31"/>
  <c r="CD35" i="31"/>
  <c r="BP35" i="31" s="1"/>
  <c r="BS35" i="31"/>
  <c r="BQ34" i="31"/>
  <c r="CF34" i="31"/>
  <c r="CD36" i="31"/>
  <c r="BS36" i="31"/>
  <c r="CV33" i="31"/>
  <c r="CW33" i="31" s="1"/>
  <c r="J33" i="31"/>
  <c r="A37" i="31"/>
  <c r="BZ37" i="31" s="1"/>
  <c r="B37" i="31"/>
  <c r="BM35" i="31"/>
  <c r="BO35" i="31"/>
  <c r="AB38" i="31"/>
  <c r="Z39" i="32"/>
  <c r="AD38" i="31"/>
  <c r="AC38" i="31"/>
  <c r="AA37" i="31"/>
  <c r="BR36" i="31"/>
  <c r="BT36" i="31"/>
  <c r="CX32" i="31" l="1"/>
  <c r="CX33" i="31" s="1"/>
  <c r="CZ33" i="31" s="1"/>
  <c r="L33" i="31" s="1"/>
  <c r="CY31" i="31"/>
  <c r="K31" i="31" s="1"/>
  <c r="BO36" i="31"/>
  <c r="CI36" i="31"/>
  <c r="CI35" i="31"/>
  <c r="CU34" i="31"/>
  <c r="CT34" i="31"/>
  <c r="M32" i="31"/>
  <c r="CC37" i="31"/>
  <c r="CF36" i="31"/>
  <c r="BR37" i="31"/>
  <c r="BN35" i="31"/>
  <c r="BN36" i="31"/>
  <c r="BP36" i="31"/>
  <c r="CF35" i="31"/>
  <c r="H38" i="31"/>
  <c r="BQ35" i="31"/>
  <c r="M33" i="31"/>
  <c r="BS37" i="31"/>
  <c r="CD37" i="31"/>
  <c r="B38" i="31"/>
  <c r="A38" i="31"/>
  <c r="BZ38" i="31" s="1"/>
  <c r="AA38" i="31"/>
  <c r="Z40" i="31" s="1"/>
  <c r="Z41" i="32" s="1"/>
  <c r="O1" i="32" s="1"/>
  <c r="Z8" i="32" s="1"/>
  <c r="BM36" i="31"/>
  <c r="BT37" i="31"/>
  <c r="BQ36" i="31"/>
  <c r="CZ32" i="31" l="1"/>
  <c r="L32" i="31" s="1"/>
  <c r="CY33" i="31"/>
  <c r="K33" i="31" s="1"/>
  <c r="CY32" i="31"/>
  <c r="K32" i="31" s="1"/>
  <c r="CI37" i="31"/>
  <c r="CU35" i="31"/>
  <c r="CV35" i="31" s="1"/>
  <c r="CW35" i="31" s="1"/>
  <c r="CT35" i="31"/>
  <c r="CT36" i="31"/>
  <c r="CU36" i="31" s="1"/>
  <c r="CF37" i="31"/>
  <c r="CV34" i="31"/>
  <c r="CW34" i="31" s="1"/>
  <c r="CX34" i="31" s="1"/>
  <c r="J34" i="31"/>
  <c r="BN37" i="31"/>
  <c r="BP37" i="31"/>
  <c r="I38" i="31"/>
  <c r="BR38" i="31" s="1"/>
  <c r="BR40" i="31" s="1"/>
  <c r="CC38" i="31"/>
  <c r="BO37" i="31"/>
  <c r="BQ37" i="31"/>
  <c r="AD8" i="32"/>
  <c r="AA8" i="32"/>
  <c r="AB8" i="32"/>
  <c r="Z9" i="32"/>
  <c r="A8" i="32"/>
  <c r="BZ8" i="32" s="1"/>
  <c r="B8" i="32"/>
  <c r="AC8" i="32"/>
  <c r="BM37" i="31"/>
  <c r="CX35" i="31" l="1"/>
  <c r="M35" i="31" s="1"/>
  <c r="J35" i="31"/>
  <c r="CT37" i="31"/>
  <c r="CU37" i="31" s="1"/>
  <c r="J36" i="31"/>
  <c r="CV36" i="31"/>
  <c r="CW36" i="31" s="1"/>
  <c r="CE38" i="31"/>
  <c r="BT38" i="31"/>
  <c r="BT40" i="31" s="1"/>
  <c r="CD38" i="31"/>
  <c r="BN38" i="31" s="1"/>
  <c r="BN40" i="31" s="1"/>
  <c r="BS38" i="31"/>
  <c r="BS40" i="31" s="1"/>
  <c r="H8" i="32"/>
  <c r="CZ34" i="31"/>
  <c r="L34" i="31" s="1"/>
  <c r="CY34" i="31"/>
  <c r="K34" i="31" s="1"/>
  <c r="M34" i="31"/>
  <c r="BO38" i="31"/>
  <c r="BO40" i="31" s="1"/>
  <c r="B9" i="32"/>
  <c r="AC9" i="32"/>
  <c r="Z10" i="32"/>
  <c r="AD9" i="32"/>
  <c r="AB9" i="32"/>
  <c r="AA9" i="32"/>
  <c r="A9" i="32"/>
  <c r="BZ9" i="32" s="1"/>
  <c r="BM38" i="31"/>
  <c r="BM40" i="31" s="1"/>
  <c r="CX36" i="31" l="1"/>
  <c r="CI38" i="31"/>
  <c r="J37" i="31"/>
  <c r="CV37" i="31"/>
  <c r="CW37" i="31" s="1"/>
  <c r="BS42" i="31"/>
  <c r="N44" i="31" s="1"/>
  <c r="CZ35" i="31"/>
  <c r="L35" i="31" s="1"/>
  <c r="CY35" i="31"/>
  <c r="K35" i="31" s="1"/>
  <c r="H9" i="32"/>
  <c r="BP38" i="31"/>
  <c r="BP40" i="31" s="1"/>
  <c r="BO42" i="31" s="1"/>
  <c r="N43" i="31" s="1"/>
  <c r="P43" i="31" s="1"/>
  <c r="R43" i="31" s="1"/>
  <c r="CF38" i="31"/>
  <c r="BM42" i="31"/>
  <c r="N42" i="31" s="1"/>
  <c r="P42" i="31" s="1"/>
  <c r="R42" i="31" s="1"/>
  <c r="BQ38" i="31"/>
  <c r="BQ40" i="31" s="1"/>
  <c r="BQ42" i="31" s="1"/>
  <c r="N41" i="31" s="1"/>
  <c r="P41" i="31" s="1"/>
  <c r="R41" i="31" s="1"/>
  <c r="I9" i="32"/>
  <c r="CC9" i="32"/>
  <c r="I8" i="32"/>
  <c r="BT8" i="32" s="1"/>
  <c r="CC8" i="32"/>
  <c r="P44" i="31"/>
  <c r="R44" i="31" s="1"/>
  <c r="AB10" i="32"/>
  <c r="A10" i="32"/>
  <c r="BZ10" i="32" s="1"/>
  <c r="Z11" i="32"/>
  <c r="AA10" i="32"/>
  <c r="B10" i="32"/>
  <c r="AD10" i="32"/>
  <c r="AC10" i="32"/>
  <c r="CX37" i="31" l="1"/>
  <c r="CU38" i="31"/>
  <c r="CT38" i="31"/>
  <c r="M36" i="31"/>
  <c r="CY36" i="31"/>
  <c r="K36" i="31" s="1"/>
  <c r="CZ36" i="31"/>
  <c r="L36" i="31" s="1"/>
  <c r="CV38" i="31"/>
  <c r="CW38" i="31" s="1"/>
  <c r="CX38" i="31" s="1"/>
  <c r="J38" i="31"/>
  <c r="CE9" i="32"/>
  <c r="BS9" i="32"/>
  <c r="CD9" i="32"/>
  <c r="CI9" i="32" s="1"/>
  <c r="BS8" i="32"/>
  <c r="BQ8" i="32"/>
  <c r="CD8" i="32"/>
  <c r="BP8" i="32" s="1"/>
  <c r="CE8" i="32"/>
  <c r="H10" i="32"/>
  <c r="BR8" i="32"/>
  <c r="BM8" i="32"/>
  <c r="B11" i="32"/>
  <c r="A11" i="32"/>
  <c r="BZ11" i="32" s="1"/>
  <c r="AA11" i="32"/>
  <c r="AB11" i="32"/>
  <c r="AD11" i="32"/>
  <c r="AC11" i="32"/>
  <c r="Z12" i="32"/>
  <c r="BO8" i="32"/>
  <c r="BT9" i="32"/>
  <c r="BR9" i="32"/>
  <c r="CI8" i="32" l="1"/>
  <c r="CZ37" i="31"/>
  <c r="L37" i="31" s="1"/>
  <c r="CY37" i="31"/>
  <c r="K37" i="31" s="1"/>
  <c r="M37" i="31"/>
  <c r="CF9" i="32"/>
  <c r="H11" i="32"/>
  <c r="BP9" i="32"/>
  <c r="BN9" i="32"/>
  <c r="I11" i="32"/>
  <c r="CE11" i="32" s="1"/>
  <c r="CC11" i="32"/>
  <c r="CF8" i="32"/>
  <c r="CY38" i="31"/>
  <c r="K38" i="31" s="1"/>
  <c r="D3" i="32" s="1"/>
  <c r="CV3" i="32" s="1"/>
  <c r="CZ38" i="31"/>
  <c r="L38" i="31" s="1"/>
  <c r="M38" i="31"/>
  <c r="E3" i="32" s="1"/>
  <c r="G3" i="32" s="1"/>
  <c r="I10" i="32"/>
  <c r="CE10" i="32" s="1"/>
  <c r="CC10" i="32"/>
  <c r="BN8" i="32"/>
  <c r="BO9" i="32"/>
  <c r="BM9" i="32"/>
  <c r="A12" i="32"/>
  <c r="BZ12" i="32" s="1"/>
  <c r="B12" i="32"/>
  <c r="AA12" i="32"/>
  <c r="Z13" i="32"/>
  <c r="AC12" i="32"/>
  <c r="H12" i="32" s="1"/>
  <c r="AD12" i="32"/>
  <c r="AB12" i="32"/>
  <c r="BQ9" i="32"/>
  <c r="CU9" i="32" l="1"/>
  <c r="CT9" i="32"/>
  <c r="CU8" i="32"/>
  <c r="CT8" i="32"/>
  <c r="BR10" i="32"/>
  <c r="BT10" i="32"/>
  <c r="CW3" i="32"/>
  <c r="BT11" i="32"/>
  <c r="CD11" i="32"/>
  <c r="CF11" i="32" s="1"/>
  <c r="BS11" i="32"/>
  <c r="I12" i="32"/>
  <c r="CD10" i="32"/>
  <c r="CF10" i="32" s="1"/>
  <c r="BS10" i="32"/>
  <c r="BQ10" i="32"/>
  <c r="B13" i="32"/>
  <c r="AD13" i="32"/>
  <c r="AC13" i="32"/>
  <c r="H13" i="32" s="1"/>
  <c r="Z14" i="32"/>
  <c r="AA13" i="32"/>
  <c r="AB13" i="32"/>
  <c r="A13" i="32"/>
  <c r="BZ13" i="32" s="1"/>
  <c r="BO11" i="32"/>
  <c r="BR11" i="32"/>
  <c r="BM10" i="32"/>
  <c r="BO10" i="32"/>
  <c r="CI11" i="32" l="1"/>
  <c r="CI10" i="32"/>
  <c r="CU11" i="32"/>
  <c r="CT11" i="32"/>
  <c r="CU10" i="32"/>
  <c r="CT10" i="32"/>
  <c r="CV11" i="32"/>
  <c r="CW11" i="32" s="1"/>
  <c r="CV9" i="32"/>
  <c r="CW9" i="32" s="1"/>
  <c r="J9" i="32"/>
  <c r="BP11" i="32"/>
  <c r="BP10" i="32"/>
  <c r="BN11" i="32"/>
  <c r="BN10" i="32"/>
  <c r="BS12" i="32"/>
  <c r="CD12" i="32"/>
  <c r="BN12" i="32" s="1"/>
  <c r="I13" i="32"/>
  <c r="BR13" i="32" s="1"/>
  <c r="CV8" i="32"/>
  <c r="CW8" i="32" s="1"/>
  <c r="CX8" i="32" s="1"/>
  <c r="J8" i="32"/>
  <c r="CC12" i="32"/>
  <c r="CI12" i="32" s="1"/>
  <c r="CE12" i="32"/>
  <c r="BR12" i="32"/>
  <c r="BT12" i="32"/>
  <c r="BQ11" i="32"/>
  <c r="B14" i="32"/>
  <c r="A14" i="32"/>
  <c r="BZ14" i="32" s="1"/>
  <c r="AB14" i="32"/>
  <c r="AA14" i="32"/>
  <c r="Z15" i="32"/>
  <c r="AD14" i="32"/>
  <c r="AC14" i="32"/>
  <c r="BM11" i="32"/>
  <c r="CX9" i="32" l="1"/>
  <c r="M9" i="32" s="1"/>
  <c r="CF12" i="32"/>
  <c r="BP12" i="32"/>
  <c r="BT13" i="32"/>
  <c r="BS13" i="32"/>
  <c r="BQ13" i="32"/>
  <c r="CD13" i="32"/>
  <c r="BP13" i="32" s="1"/>
  <c r="H14" i="32"/>
  <c r="BQ12" i="32"/>
  <c r="CC13" i="32"/>
  <c r="CE13" i="32"/>
  <c r="CV10" i="32"/>
  <c r="CW10" i="32" s="1"/>
  <c r="CX10" i="32" s="1"/>
  <c r="CX11" i="32" s="1"/>
  <c r="J10" i="32"/>
  <c r="J11" i="32"/>
  <c r="BO12" i="32"/>
  <c r="BM12" i="32"/>
  <c r="AA15" i="32"/>
  <c r="AB15" i="32"/>
  <c r="Z16" i="32"/>
  <c r="AD15" i="32"/>
  <c r="AC15" i="32"/>
  <c r="B15" i="32"/>
  <c r="A15" i="32"/>
  <c r="BZ15" i="32" s="1"/>
  <c r="CI13" i="32" l="1"/>
  <c r="CT12" i="32"/>
  <c r="CU12" i="32" s="1"/>
  <c r="CZ8" i="32"/>
  <c r="L8" i="32" s="1"/>
  <c r="M8" i="32"/>
  <c r="M11" i="32"/>
  <c r="CZ9" i="32"/>
  <c r="L9" i="32" s="1"/>
  <c r="CY9" i="32"/>
  <c r="K9" i="32" s="1"/>
  <c r="CY8" i="32"/>
  <c r="K8" i="32" s="1"/>
  <c r="CF13" i="32"/>
  <c r="BO13" i="32"/>
  <c r="BM13" i="32"/>
  <c r="BN13" i="32"/>
  <c r="I14" i="32"/>
  <c r="BR14" i="32" s="1"/>
  <c r="CC14" i="32"/>
  <c r="H15" i="32"/>
  <c r="B16" i="32"/>
  <c r="AB16" i="32"/>
  <c r="AD16" i="32"/>
  <c r="A16" i="32"/>
  <c r="BZ16" i="32" s="1"/>
  <c r="Z17" i="32"/>
  <c r="AA16" i="32"/>
  <c r="AC16" i="32"/>
  <c r="CT13" i="32" l="1"/>
  <c r="CU13" i="32" s="1"/>
  <c r="CV12" i="32"/>
  <c r="CW12" i="32" s="1"/>
  <c r="CX12" i="32" s="1"/>
  <c r="J12" i="32"/>
  <c r="H16" i="32"/>
  <c r="M10" i="32"/>
  <c r="CY10" i="32"/>
  <c r="K10" i="32" s="1"/>
  <c r="CZ10" i="32"/>
  <c r="L10" i="32" s="1"/>
  <c r="CZ11" i="32"/>
  <c r="L11" i="32" s="1"/>
  <c r="CY11" i="32"/>
  <c r="K11" i="32" s="1"/>
  <c r="BM14" i="32"/>
  <c r="CD14" i="32"/>
  <c r="CI14" i="32" s="1"/>
  <c r="BS14" i="32"/>
  <c r="I16" i="32"/>
  <c r="CC16" i="32"/>
  <c r="I15" i="32"/>
  <c r="CE15" i="32" s="1"/>
  <c r="CC15" i="32"/>
  <c r="BT14" i="32"/>
  <c r="CE14" i="32"/>
  <c r="BO14" i="32"/>
  <c r="AB17" i="32"/>
  <c r="AA17" i="32"/>
  <c r="B17" i="32"/>
  <c r="AD17" i="32"/>
  <c r="Z18" i="32"/>
  <c r="A17" i="32"/>
  <c r="BZ17" i="32" s="1"/>
  <c r="AC17" i="32"/>
  <c r="BM15" i="32" l="1"/>
  <c r="CV13" i="32"/>
  <c r="CW13" i="32" s="1"/>
  <c r="CX13" i="32" s="1"/>
  <c r="J13" i="32"/>
  <c r="CF14" i="32"/>
  <c r="CZ12" i="32"/>
  <c r="L12" i="32" s="1"/>
  <c r="CY12" i="32"/>
  <c r="K12" i="32" s="1"/>
  <c r="BN14" i="32"/>
  <c r="BR15" i="32"/>
  <c r="BP14" i="32"/>
  <c r="BQ14" i="32"/>
  <c r="CD16" i="32"/>
  <c r="BN16" i="32" s="1"/>
  <c r="BS16" i="32"/>
  <c r="CD15" i="32"/>
  <c r="CF15" i="32" s="1"/>
  <c r="BS15" i="32"/>
  <c r="CE16" i="32"/>
  <c r="BR16" i="32"/>
  <c r="BT15" i="32"/>
  <c r="H17" i="32"/>
  <c r="M12" i="32"/>
  <c r="BO15" i="32"/>
  <c r="AC18" i="32"/>
  <c r="AD18" i="32"/>
  <c r="B18" i="32"/>
  <c r="A18" i="32"/>
  <c r="BZ18" i="32" s="1"/>
  <c r="AA18" i="32"/>
  <c r="Z19" i="32"/>
  <c r="AB18" i="32"/>
  <c r="BT16" i="32"/>
  <c r="BO16" i="32"/>
  <c r="CI15" i="32" l="1"/>
  <c r="CI16" i="32"/>
  <c r="CU14" i="32"/>
  <c r="CT14" i="32"/>
  <c r="CU15" i="32"/>
  <c r="CT15" i="32"/>
  <c r="CZ13" i="32"/>
  <c r="L13" i="32" s="1"/>
  <c r="CY13" i="32"/>
  <c r="K13" i="32" s="1"/>
  <c r="BP15" i="32"/>
  <c r="BN15" i="32"/>
  <c r="CV15" i="32"/>
  <c r="CW15" i="32" s="1"/>
  <c r="BP16" i="32"/>
  <c r="I17" i="32"/>
  <c r="CE17" i="32" s="1"/>
  <c r="CC17" i="32"/>
  <c r="H18" i="32"/>
  <c r="CF16" i="32"/>
  <c r="BQ15" i="32"/>
  <c r="M13" i="32"/>
  <c r="BM16" i="32"/>
  <c r="A19" i="32"/>
  <c r="BZ19" i="32" s="1"/>
  <c r="AA19" i="32"/>
  <c r="B19" i="32"/>
  <c r="AB19" i="32"/>
  <c r="Z20" i="32"/>
  <c r="AC19" i="32"/>
  <c r="H19" i="32" s="1"/>
  <c r="AD19" i="32"/>
  <c r="BQ16" i="32"/>
  <c r="BO17" i="32" l="1"/>
  <c r="CU16" i="32"/>
  <c r="CT16" i="32"/>
  <c r="J14" i="32"/>
  <c r="CV14" i="32"/>
  <c r="CW14" i="32" s="1"/>
  <c r="J15" i="32"/>
  <c r="BR17" i="32"/>
  <c r="CV16" i="32"/>
  <c r="CW16" i="32" s="1"/>
  <c r="I19" i="32"/>
  <c r="CE19" i="32" s="1"/>
  <c r="BT17" i="32"/>
  <c r="I18" i="32"/>
  <c r="BT18" i="32" s="1"/>
  <c r="CD17" i="32"/>
  <c r="BP17" i="32" s="1"/>
  <c r="BS17" i="32"/>
  <c r="BM17" i="32"/>
  <c r="Z21" i="32"/>
  <c r="B20" i="32"/>
  <c r="AC20" i="32"/>
  <c r="H20" i="32" s="1"/>
  <c r="AB20" i="32"/>
  <c r="AA20" i="32"/>
  <c r="A20" i="32"/>
  <c r="BZ20" i="32" s="1"/>
  <c r="AD20" i="32"/>
  <c r="CX14" i="32" l="1"/>
  <c r="CX15" i="32" s="1"/>
  <c r="CX16" i="32" s="1"/>
  <c r="CI17" i="32"/>
  <c r="CC19" i="32"/>
  <c r="CF17" i="32"/>
  <c r="BN17" i="32"/>
  <c r="J16" i="32"/>
  <c r="CC18" i="32"/>
  <c r="I20" i="32"/>
  <c r="BT20" i="32" s="1"/>
  <c r="BR18" i="32"/>
  <c r="CD19" i="32"/>
  <c r="BS19" i="32"/>
  <c r="CE18" i="32"/>
  <c r="BQ17" i="32"/>
  <c r="CD18" i="32"/>
  <c r="BP18" i="32" s="1"/>
  <c r="BS18" i="32"/>
  <c r="Z22" i="32"/>
  <c r="AD21" i="32"/>
  <c r="B21" i="32"/>
  <c r="A21" i="32"/>
  <c r="BZ21" i="32" s="1"/>
  <c r="AC21" i="32"/>
  <c r="AB21" i="32"/>
  <c r="AA21" i="32"/>
  <c r="BT19" i="32"/>
  <c r="BR19" i="32"/>
  <c r="CZ14" i="32" l="1"/>
  <c r="L14" i="32" s="1"/>
  <c r="M14" i="32"/>
  <c r="CY15" i="32"/>
  <c r="K15" i="32" s="1"/>
  <c r="CY14" i="32"/>
  <c r="K14" i="32" s="1"/>
  <c r="CI19" i="32"/>
  <c r="BM18" i="32"/>
  <c r="CI18" i="32"/>
  <c r="CU17" i="32"/>
  <c r="J17" i="32" s="1"/>
  <c r="CT17" i="32"/>
  <c r="CY16" i="32"/>
  <c r="K16" i="32" s="1"/>
  <c r="CZ15" i="32"/>
  <c r="L15" i="32" s="1"/>
  <c r="M15" i="32"/>
  <c r="CC20" i="32"/>
  <c r="H21" i="32"/>
  <c r="CF19" i="32"/>
  <c r="CE20" i="32"/>
  <c r="BN19" i="32"/>
  <c r="BO18" i="32"/>
  <c r="BP19" i="32"/>
  <c r="BN18" i="32"/>
  <c r="I21" i="32"/>
  <c r="CE21" i="32" s="1"/>
  <c r="CC21" i="32"/>
  <c r="BQ18" i="32"/>
  <c r="BR20" i="32"/>
  <c r="CD20" i="32"/>
  <c r="BN20" i="32" s="1"/>
  <c r="BS20" i="32"/>
  <c r="BQ20" i="32"/>
  <c r="CF18" i="32"/>
  <c r="BQ19" i="32"/>
  <c r="A22" i="32"/>
  <c r="BZ22" i="32" s="1"/>
  <c r="B22" i="32"/>
  <c r="Z23" i="32"/>
  <c r="AD22" i="32"/>
  <c r="AC22" i="32"/>
  <c r="AB22" i="32"/>
  <c r="AA22" i="32"/>
  <c r="BO19" i="32"/>
  <c r="BM19" i="32"/>
  <c r="CV17" i="32" l="1"/>
  <c r="CW17" i="32" s="1"/>
  <c r="CX17" i="32" s="1"/>
  <c r="CY17" i="32" s="1"/>
  <c r="K17" i="32" s="1"/>
  <c r="M16" i="32"/>
  <c r="BO20" i="32"/>
  <c r="CI20" i="32"/>
  <c r="CU18" i="32"/>
  <c r="CT18" i="32"/>
  <c r="CT19" i="32"/>
  <c r="CU19" i="32" s="1"/>
  <c r="BM20" i="32"/>
  <c r="CZ16" i="32"/>
  <c r="L16" i="32" s="1"/>
  <c r="CV18" i="32"/>
  <c r="CW18" i="32" s="1"/>
  <c r="CX18" i="32" s="1"/>
  <c r="CF20" i="32"/>
  <c r="BP20" i="32"/>
  <c r="H22" i="32"/>
  <c r="BT21" i="32"/>
  <c r="BR21" i="32"/>
  <c r="CD21" i="32"/>
  <c r="CF21" i="32" s="1"/>
  <c r="BS21" i="32"/>
  <c r="BQ21" i="32"/>
  <c r="BO21" i="32"/>
  <c r="AA23" i="32"/>
  <c r="Z24" i="32"/>
  <c r="A23" i="32"/>
  <c r="BZ23" i="32" s="1"/>
  <c r="AB23" i="32"/>
  <c r="B23" i="32"/>
  <c r="AC23" i="32"/>
  <c r="AD23" i="32"/>
  <c r="CI21" i="32" l="1"/>
  <c r="CU21" i="32"/>
  <c r="CT21" i="32"/>
  <c r="CT20" i="32"/>
  <c r="CU20" i="32" s="1"/>
  <c r="CZ17" i="32"/>
  <c r="L17" i="32" s="1"/>
  <c r="M17" i="32"/>
  <c r="CZ18" i="32"/>
  <c r="L18" i="32" s="1"/>
  <c r="CV19" i="32"/>
  <c r="CW19" i="32" s="1"/>
  <c r="CX19" i="32" s="1"/>
  <c r="J19" i="32"/>
  <c r="J18" i="32"/>
  <c r="CV21" i="32"/>
  <c r="CW21" i="32" s="1"/>
  <c r="BN21" i="32"/>
  <c r="BP21" i="32"/>
  <c r="I22" i="32"/>
  <c r="BR22" i="32" s="1"/>
  <c r="CC22" i="32"/>
  <c r="H23" i="32"/>
  <c r="BM21" i="32"/>
  <c r="A24" i="32"/>
  <c r="BZ24" i="32" s="1"/>
  <c r="B24" i="32"/>
  <c r="AD24" i="32"/>
  <c r="AC24" i="32"/>
  <c r="Z25" i="32"/>
  <c r="AB24" i="32"/>
  <c r="AA24" i="32"/>
  <c r="CY18" i="32" l="1"/>
  <c r="K18" i="32" s="1"/>
  <c r="M18" i="32"/>
  <c r="J20" i="32"/>
  <c r="CV20" i="32"/>
  <c r="CW20" i="32" s="1"/>
  <c r="CY19" i="32"/>
  <c r="K19" i="32" s="1"/>
  <c r="CZ19" i="32"/>
  <c r="L19" i="32" s="1"/>
  <c r="CE22" i="32"/>
  <c r="BT22" i="32"/>
  <c r="BS22" i="32"/>
  <c r="CD22" i="32"/>
  <c r="BP22" i="32" s="1"/>
  <c r="I23" i="32"/>
  <c r="CC23" i="32"/>
  <c r="BM22" i="32"/>
  <c r="H24" i="32"/>
  <c r="M19" i="32"/>
  <c r="J21" i="32"/>
  <c r="BO22" i="32"/>
  <c r="AA25" i="32"/>
  <c r="Z26" i="32"/>
  <c r="B25" i="32"/>
  <c r="AD25" i="32"/>
  <c r="AB25" i="32"/>
  <c r="AC25" i="32"/>
  <c r="A25" i="32"/>
  <c r="BZ25" i="32" s="1"/>
  <c r="CX20" i="32" l="1"/>
  <c r="CX21" i="32" s="1"/>
  <c r="CZ21" i="32" s="1"/>
  <c r="L21" i="32" s="1"/>
  <c r="BO23" i="32"/>
  <c r="CI22" i="32"/>
  <c r="H25" i="32"/>
  <c r="BN22" i="32"/>
  <c r="CD23" i="32"/>
  <c r="BP23" i="32" s="1"/>
  <c r="BS23" i="32"/>
  <c r="CF22" i="32"/>
  <c r="I25" i="32"/>
  <c r="BR25" i="32" s="1"/>
  <c r="CC25" i="32"/>
  <c r="CE23" i="32"/>
  <c r="I24" i="32"/>
  <c r="BR24" i="32" s="1"/>
  <c r="CC24" i="32"/>
  <c r="BT23" i="32"/>
  <c r="BQ22" i="32"/>
  <c r="BR23" i="32"/>
  <c r="BM23" i="32"/>
  <c r="AB26" i="32"/>
  <c r="Z27" i="32"/>
  <c r="AC26" i="32"/>
  <c r="H26" i="32" s="1"/>
  <c r="AD26" i="32"/>
  <c r="A26" i="32"/>
  <c r="BZ26" i="32" s="1"/>
  <c r="AA26" i="32"/>
  <c r="B26" i="32"/>
  <c r="M21" i="32" l="1"/>
  <c r="CY20" i="32"/>
  <c r="K20" i="32" s="1"/>
  <c r="M20" i="32"/>
  <c r="CZ20" i="32"/>
  <c r="L20" i="32" s="1"/>
  <c r="BM24" i="32"/>
  <c r="CI23" i="32"/>
  <c r="CU22" i="32"/>
  <c r="CT22" i="32"/>
  <c r="CF23" i="32"/>
  <c r="CY21" i="32"/>
  <c r="K21" i="32" s="1"/>
  <c r="CE25" i="32"/>
  <c r="CD25" i="32"/>
  <c r="CI25" i="32" s="1"/>
  <c r="BS25" i="32"/>
  <c r="BT24" i="32"/>
  <c r="BN23" i="32"/>
  <c r="CE24" i="32"/>
  <c r="I26" i="32"/>
  <c r="CE26" i="32" s="1"/>
  <c r="BS24" i="32"/>
  <c r="CD24" i="32"/>
  <c r="CI24" i="32" s="1"/>
  <c r="BQ23" i="32"/>
  <c r="BO25" i="32"/>
  <c r="BT25" i="32"/>
  <c r="BO24" i="32"/>
  <c r="AD27" i="32"/>
  <c r="AC27" i="32"/>
  <c r="H27" i="32" s="1"/>
  <c r="AB27" i="32"/>
  <c r="B27" i="32"/>
  <c r="A27" i="32"/>
  <c r="BZ27" i="32" s="1"/>
  <c r="AA27" i="32"/>
  <c r="Z28" i="32"/>
  <c r="CF25" i="32" l="1"/>
  <c r="CU23" i="32"/>
  <c r="CT23" i="32"/>
  <c r="BT26" i="32"/>
  <c r="CC26" i="32"/>
  <c r="CF24" i="32"/>
  <c r="BQ24" i="32"/>
  <c r="BP24" i="32"/>
  <c r="BN24" i="32"/>
  <c r="BN25" i="32"/>
  <c r="BP25" i="32"/>
  <c r="CV22" i="32"/>
  <c r="CW22" i="32" s="1"/>
  <c r="CX22" i="32" s="1"/>
  <c r="J22" i="32"/>
  <c r="BS26" i="32"/>
  <c r="CD26" i="32"/>
  <c r="BP26" i="32" s="1"/>
  <c r="I27" i="32"/>
  <c r="BT27" i="32" s="1"/>
  <c r="BQ25" i="32"/>
  <c r="BR26" i="32"/>
  <c r="BM25" i="32"/>
  <c r="AB28" i="32"/>
  <c r="AD28" i="32"/>
  <c r="Z29" i="32"/>
  <c r="AC28" i="32"/>
  <c r="A28" i="32"/>
  <c r="BZ28" i="32" s="1"/>
  <c r="AA28" i="32"/>
  <c r="B28" i="32"/>
  <c r="BO26" i="32" l="1"/>
  <c r="CI26" i="32"/>
  <c r="CV23" i="32"/>
  <c r="CW23" i="32" s="1"/>
  <c r="CX23" i="32" s="1"/>
  <c r="J23" i="32"/>
  <c r="CU24" i="32"/>
  <c r="CT24" i="32"/>
  <c r="CU25" i="32"/>
  <c r="CT25" i="32"/>
  <c r="CC27" i="32"/>
  <c r="BR27" i="32"/>
  <c r="CF26" i="32"/>
  <c r="BN26" i="32"/>
  <c r="H28" i="32"/>
  <c r="CE27" i="32"/>
  <c r="CD27" i="32"/>
  <c r="BS27" i="32"/>
  <c r="BM26" i="32"/>
  <c r="BQ26" i="32"/>
  <c r="AD29" i="32"/>
  <c r="B29" i="32"/>
  <c r="AC29" i="32"/>
  <c r="Z30" i="32"/>
  <c r="AA29" i="32"/>
  <c r="A29" i="32"/>
  <c r="BZ29" i="32" s="1"/>
  <c r="AB29" i="32"/>
  <c r="M23" i="32" l="1"/>
  <c r="BM27" i="32"/>
  <c r="CI27" i="32"/>
  <c r="CT26" i="32"/>
  <c r="CU26" i="32" s="1"/>
  <c r="CV25" i="32"/>
  <c r="CW25" i="32" s="1"/>
  <c r="J25" i="32"/>
  <c r="BO27" i="32"/>
  <c r="CF27" i="32"/>
  <c r="CY22" i="32"/>
  <c r="K22" i="32" s="1"/>
  <c r="CZ22" i="32"/>
  <c r="L22" i="32" s="1"/>
  <c r="CV24" i="32"/>
  <c r="CW24" i="32" s="1"/>
  <c r="CX24" i="32" s="1"/>
  <c r="CX25" i="32" s="1"/>
  <c r="J24" i="32"/>
  <c r="CZ23" i="32"/>
  <c r="L23" i="32" s="1"/>
  <c r="CY23" i="32"/>
  <c r="K23" i="32" s="1"/>
  <c r="M22" i="32"/>
  <c r="BN27" i="32"/>
  <c r="BP27" i="32"/>
  <c r="BQ27" i="32"/>
  <c r="I28" i="32"/>
  <c r="CC28" i="32"/>
  <c r="H29" i="32"/>
  <c r="AD30" i="32"/>
  <c r="AA30" i="32"/>
  <c r="A30" i="32"/>
  <c r="BZ30" i="32" s="1"/>
  <c r="Z31" i="32"/>
  <c r="AC30" i="32"/>
  <c r="B30" i="32"/>
  <c r="AB30" i="32"/>
  <c r="CT27" i="32" l="1"/>
  <c r="CU27" i="32" s="1"/>
  <c r="CV26" i="32"/>
  <c r="CW26" i="32" s="1"/>
  <c r="CX26" i="32" s="1"/>
  <c r="J26" i="32"/>
  <c r="M25" i="32"/>
  <c r="M24" i="32"/>
  <c r="CY24" i="32"/>
  <c r="K24" i="32" s="1"/>
  <c r="CZ24" i="32"/>
  <c r="L24" i="32" s="1"/>
  <c r="CD28" i="32"/>
  <c r="BN28" i="32" s="1"/>
  <c r="BS28" i="32"/>
  <c r="BM28" i="32"/>
  <c r="BR28" i="32"/>
  <c r="H30" i="32"/>
  <c r="BT28" i="32"/>
  <c r="CE28" i="32"/>
  <c r="I29" i="32"/>
  <c r="BT29" i="32" s="1"/>
  <c r="CC29" i="32"/>
  <c r="BO28" i="32"/>
  <c r="AB31" i="32"/>
  <c r="AD31" i="32"/>
  <c r="A31" i="32"/>
  <c r="BZ31" i="32" s="1"/>
  <c r="Z32" i="32"/>
  <c r="B31" i="32"/>
  <c r="AA31" i="32"/>
  <c r="AC31" i="32"/>
  <c r="BO29" i="32" l="1"/>
  <c r="CI28" i="32"/>
  <c r="J27" i="32"/>
  <c r="CV27" i="32"/>
  <c r="CW27" i="32" s="1"/>
  <c r="CX27" i="32" s="1"/>
  <c r="H31" i="32"/>
  <c r="CC31" i="32" s="1"/>
  <c r="CF28" i="32"/>
  <c r="M26" i="32"/>
  <c r="CY25" i="32"/>
  <c r="K25" i="32" s="1"/>
  <c r="CZ25" i="32"/>
  <c r="L25" i="32" s="1"/>
  <c r="BP28" i="32"/>
  <c r="CE29" i="32"/>
  <c r="BR29" i="32"/>
  <c r="I30" i="32"/>
  <c r="CE30" i="32" s="1"/>
  <c r="CC30" i="32"/>
  <c r="I31" i="32"/>
  <c r="BQ28" i="32"/>
  <c r="CD29" i="32"/>
  <c r="CI29" i="32" s="1"/>
  <c r="BS29" i="32"/>
  <c r="BM29" i="32"/>
  <c r="AD32" i="32"/>
  <c r="AB32" i="32"/>
  <c r="AA32" i="32"/>
  <c r="B32" i="32"/>
  <c r="AC32" i="32"/>
  <c r="Z33" i="32"/>
  <c r="A32" i="32"/>
  <c r="BZ32" i="32" s="1"/>
  <c r="CU28" i="32" l="1"/>
  <c r="CT28" i="32"/>
  <c r="H32" i="32"/>
  <c r="CF29" i="32"/>
  <c r="M27" i="32"/>
  <c r="CY26" i="32"/>
  <c r="K26" i="32" s="1"/>
  <c r="CZ26" i="32"/>
  <c r="L26" i="32" s="1"/>
  <c r="BP29" i="32"/>
  <c r="I32" i="32"/>
  <c r="CC32" i="32"/>
  <c r="BN29" i="32"/>
  <c r="CD31" i="32"/>
  <c r="BN31" i="32" s="1"/>
  <c r="BS31" i="32"/>
  <c r="BQ29" i="32"/>
  <c r="BR30" i="32"/>
  <c r="BT30" i="32"/>
  <c r="CV28" i="32"/>
  <c r="CW28" i="32" s="1"/>
  <c r="CX28" i="32" s="1"/>
  <c r="J28" i="32"/>
  <c r="BS30" i="32"/>
  <c r="CD30" i="32"/>
  <c r="BP30" i="32" s="1"/>
  <c r="CE31" i="32"/>
  <c r="BT31" i="32"/>
  <c r="BR31" i="32"/>
  <c r="BO31" i="32"/>
  <c r="BM30" i="32"/>
  <c r="BO30" i="32"/>
  <c r="Z34" i="32"/>
  <c r="AB33" i="32"/>
  <c r="AA33" i="32"/>
  <c r="A33" i="32"/>
  <c r="BZ33" i="32" s="1"/>
  <c r="B33" i="32"/>
  <c r="AD33" i="32"/>
  <c r="AC33" i="32"/>
  <c r="H33" i="32" s="1"/>
  <c r="CI31" i="32" l="1"/>
  <c r="CI30" i="32"/>
  <c r="CU29" i="32"/>
  <c r="CT29" i="32"/>
  <c r="CE32" i="32"/>
  <c r="CY28" i="32"/>
  <c r="K28" i="32" s="1"/>
  <c r="CY27" i="32"/>
  <c r="K27" i="32" s="1"/>
  <c r="CZ27" i="32"/>
  <c r="L27" i="32" s="1"/>
  <c r="I33" i="32"/>
  <c r="CF31" i="32"/>
  <c r="CF30" i="32"/>
  <c r="BQ30" i="32"/>
  <c r="BQ31" i="32"/>
  <c r="CD32" i="32"/>
  <c r="BN32" i="32" s="1"/>
  <c r="BN30" i="32"/>
  <c r="BP31" i="32"/>
  <c r="CV29" i="32"/>
  <c r="CW29" i="32" s="1"/>
  <c r="CX29" i="32" s="1"/>
  <c r="J29" i="32"/>
  <c r="BM31" i="32"/>
  <c r="AC34" i="32"/>
  <c r="H34" i="32" s="1"/>
  <c r="A34" i="32"/>
  <c r="BZ34" i="32" s="1"/>
  <c r="AA34" i="32"/>
  <c r="Z35" i="32"/>
  <c r="AD34" i="32"/>
  <c r="B34" i="32"/>
  <c r="AB34" i="32"/>
  <c r="BR32" i="32"/>
  <c r="BS32" i="32"/>
  <c r="BT32" i="32"/>
  <c r="BO32" i="32"/>
  <c r="CZ28" i="32" l="1"/>
  <c r="L28" i="32" s="1"/>
  <c r="CI32" i="32"/>
  <c r="M28" i="32"/>
  <c r="CU30" i="32"/>
  <c r="CT30" i="32"/>
  <c r="CU31" i="32"/>
  <c r="CV31" i="32" s="1"/>
  <c r="CW31" i="32" s="1"/>
  <c r="CT31" i="32"/>
  <c r="CZ29" i="32"/>
  <c r="L29" i="32" s="1"/>
  <c r="CF32" i="32"/>
  <c r="BQ33" i="32"/>
  <c r="CD33" i="32"/>
  <c r="BN33" i="32" s="1"/>
  <c r="BS33" i="32"/>
  <c r="BP32" i="32"/>
  <c r="BR33" i="32"/>
  <c r="BT33" i="32"/>
  <c r="CC33" i="32"/>
  <c r="I34" i="32"/>
  <c r="BR34" i="32" s="1"/>
  <c r="CC34" i="32"/>
  <c r="BT34" i="32"/>
  <c r="BQ32" i="32"/>
  <c r="CE33" i="32"/>
  <c r="BM32" i="32"/>
  <c r="AC35" i="32"/>
  <c r="AA35" i="32"/>
  <c r="AD35" i="32"/>
  <c r="Z36" i="32"/>
  <c r="AB35" i="32"/>
  <c r="A35" i="32"/>
  <c r="BZ35" i="32" s="1"/>
  <c r="B35" i="32"/>
  <c r="CI33" i="32" l="1"/>
  <c r="CU32" i="32"/>
  <c r="CV32" i="32" s="1"/>
  <c r="CW32" i="32" s="1"/>
  <c r="CT32" i="32"/>
  <c r="M29" i="32"/>
  <c r="CE34" i="32"/>
  <c r="CF33" i="32"/>
  <c r="CY29" i="32"/>
  <c r="K29" i="32" s="1"/>
  <c r="BP33" i="32"/>
  <c r="J31" i="32"/>
  <c r="CV30" i="32"/>
  <c r="CW30" i="32" s="1"/>
  <c r="CX30" i="32" s="1"/>
  <c r="CX31" i="32" s="1"/>
  <c r="CX32" i="32" s="1"/>
  <c r="J30" i="32"/>
  <c r="H35" i="32"/>
  <c r="BM33" i="32"/>
  <c r="BO33" i="32"/>
  <c r="CD34" i="32"/>
  <c r="BN34" i="32" s="1"/>
  <c r="BS34" i="32"/>
  <c r="BQ34" i="32"/>
  <c r="J32" i="32"/>
  <c r="Z37" i="32"/>
  <c r="AC36" i="32"/>
  <c r="AB36" i="32"/>
  <c r="AD36" i="32"/>
  <c r="BO34" i="32"/>
  <c r="BM34" i="32"/>
  <c r="CI34" i="32" l="1"/>
  <c r="CT33" i="32"/>
  <c r="CU33" i="32" s="1"/>
  <c r="J33" i="32" s="1"/>
  <c r="M31" i="32"/>
  <c r="BP34" i="32"/>
  <c r="I35" i="32"/>
  <c r="BT35" i="32" s="1"/>
  <c r="CC35" i="32"/>
  <c r="CF34" i="32"/>
  <c r="H36" i="32"/>
  <c r="A36" i="32"/>
  <c r="BZ36" i="32" s="1"/>
  <c r="AA36" i="32"/>
  <c r="B36" i="32"/>
  <c r="AC37" i="32"/>
  <c r="H37" i="32" s="1"/>
  <c r="Z38" i="32"/>
  <c r="AB37" i="32"/>
  <c r="AD37" i="32"/>
  <c r="CT34" i="32" l="1"/>
  <c r="CU34" i="32" s="1"/>
  <c r="CV33" i="32"/>
  <c r="CW33" i="32" s="1"/>
  <c r="CX33" i="32" s="1"/>
  <c r="CE35" i="32"/>
  <c r="CY30" i="32"/>
  <c r="K30" i="32" s="1"/>
  <c r="CZ30" i="32"/>
  <c r="L30" i="32" s="1"/>
  <c r="M32" i="32"/>
  <c r="CZ31" i="32"/>
  <c r="L31" i="32" s="1"/>
  <c r="CY31" i="32"/>
  <c r="K31" i="32" s="1"/>
  <c r="M30" i="32"/>
  <c r="I37" i="32"/>
  <c r="CC37" i="32"/>
  <c r="I36" i="32"/>
  <c r="CE36" i="32" s="1"/>
  <c r="CC36" i="32"/>
  <c r="BR35" i="32"/>
  <c r="CD35" i="32"/>
  <c r="CI35" i="32" s="1"/>
  <c r="BS35" i="32"/>
  <c r="BM35" i="32"/>
  <c r="BO35" i="32"/>
  <c r="B37" i="32"/>
  <c r="AA37" i="32"/>
  <c r="A37" i="32"/>
  <c r="BZ37" i="32" s="1"/>
  <c r="AB38" i="32"/>
  <c r="Z39" i="33"/>
  <c r="AC38" i="32"/>
  <c r="AD38" i="32"/>
  <c r="CF35" i="32" l="1"/>
  <c r="CV34" i="32"/>
  <c r="CW34" i="32" s="1"/>
  <c r="CX34" i="32" s="1"/>
  <c r="J34" i="32"/>
  <c r="BT36" i="32"/>
  <c r="M33" i="32"/>
  <c r="CZ32" i="32"/>
  <c r="L32" i="32" s="1"/>
  <c r="CY32" i="32"/>
  <c r="K32" i="32" s="1"/>
  <c r="BP35" i="32"/>
  <c r="BN35" i="32"/>
  <c r="CD36" i="32"/>
  <c r="CF36" i="32" s="1"/>
  <c r="BS36" i="32"/>
  <c r="BQ36" i="32"/>
  <c r="BQ35" i="32"/>
  <c r="BR37" i="32"/>
  <c r="CE37" i="32"/>
  <c r="BR36" i="32"/>
  <c r="BS37" i="32"/>
  <c r="CD37" i="32"/>
  <c r="BP37" i="32" s="1"/>
  <c r="H38" i="32"/>
  <c r="BO36" i="32"/>
  <c r="AA38" i="32"/>
  <c r="Z40" i="32" s="1"/>
  <c r="Z41" i="33" s="1"/>
  <c r="O1" i="33" s="1"/>
  <c r="Z8" i="33" s="1"/>
  <c r="A38" i="32"/>
  <c r="BZ38" i="32" s="1"/>
  <c r="B38" i="32"/>
  <c r="BT37" i="32"/>
  <c r="BM37" i="32"/>
  <c r="BM36" i="32"/>
  <c r="CI36" i="32" l="1"/>
  <c r="CI37" i="32"/>
  <c r="CU36" i="32"/>
  <c r="CT36" i="32"/>
  <c r="CU35" i="32"/>
  <c r="J35" i="32" s="1"/>
  <c r="CT35" i="32"/>
  <c r="BN36" i="32"/>
  <c r="CZ33" i="32"/>
  <c r="L33" i="32" s="1"/>
  <c r="CY33" i="32"/>
  <c r="K33" i="32" s="1"/>
  <c r="BP36" i="32"/>
  <c r="CV36" i="32"/>
  <c r="CW36" i="32" s="1"/>
  <c r="CF37" i="32"/>
  <c r="I38" i="32"/>
  <c r="BT38" i="32" s="1"/>
  <c r="BT40" i="32" s="1"/>
  <c r="CC38" i="32"/>
  <c r="BN37" i="32"/>
  <c r="BO37" i="32"/>
  <c r="BQ37" i="32"/>
  <c r="B8" i="33"/>
  <c r="Z9" i="33"/>
  <c r="AB8" i="33"/>
  <c r="AC8" i="33"/>
  <c r="AA8" i="33"/>
  <c r="A8" i="33"/>
  <c r="BZ8" i="33" s="1"/>
  <c r="AD8" i="33"/>
  <c r="CV35" i="32" l="1"/>
  <c r="CW35" i="32" s="1"/>
  <c r="CX35" i="32" s="1"/>
  <c r="CX36" i="32" s="1"/>
  <c r="CY36" i="32" s="1"/>
  <c r="CU37" i="32"/>
  <c r="CT37" i="32"/>
  <c r="CZ34" i="32"/>
  <c r="L34" i="32" s="1"/>
  <c r="CY34" i="32"/>
  <c r="K34" i="32" s="1"/>
  <c r="M34" i="32"/>
  <c r="J36" i="32"/>
  <c r="BR38" i="32"/>
  <c r="BR40" i="32" s="1"/>
  <c r="CE38" i="32"/>
  <c r="H8" i="33"/>
  <c r="BS38" i="32"/>
  <c r="BS40" i="32" s="1"/>
  <c r="BS42" i="32" s="1"/>
  <c r="N44" i="32" s="1"/>
  <c r="CD38" i="32"/>
  <c r="CI38" i="32" s="1"/>
  <c r="CV37" i="32"/>
  <c r="CW37" i="32" s="1"/>
  <c r="AA9" i="33"/>
  <c r="B9" i="33"/>
  <c r="Z10" i="33"/>
  <c r="AC9" i="33"/>
  <c r="AD9" i="33"/>
  <c r="AB9" i="33"/>
  <c r="A9" i="33"/>
  <c r="BZ9" i="33" s="1"/>
  <c r="BO38" i="32"/>
  <c r="BO40" i="32" s="1"/>
  <c r="BM38" i="32"/>
  <c r="BM40" i="32" s="1"/>
  <c r="CZ35" i="32" l="1"/>
  <c r="L35" i="32" s="1"/>
  <c r="CY35" i="32"/>
  <c r="K35" i="32" s="1"/>
  <c r="CX37" i="32"/>
  <c r="M36" i="32"/>
  <c r="M35" i="32"/>
  <c r="CZ36" i="32"/>
  <c r="L36" i="32" s="1"/>
  <c r="CF38" i="32"/>
  <c r="CZ37" i="32"/>
  <c r="J37" i="32"/>
  <c r="I8" i="33"/>
  <c r="BT8" i="33" s="1"/>
  <c r="CC8" i="33"/>
  <c r="BP38" i="32"/>
  <c r="BP40" i="32" s="1"/>
  <c r="BO42" i="32" s="1"/>
  <c r="N43" i="32" s="1"/>
  <c r="P43" i="32" s="1"/>
  <c r="R43" i="32" s="1"/>
  <c r="BN38" i="32"/>
  <c r="BN40" i="32" s="1"/>
  <c r="BM42" i="32" s="1"/>
  <c r="N42" i="32" s="1"/>
  <c r="P42" i="32" s="1"/>
  <c r="R42" i="32" s="1"/>
  <c r="BQ38" i="32"/>
  <c r="BQ40" i="32" s="1"/>
  <c r="BQ42" i="32" s="1"/>
  <c r="N41" i="32" s="1"/>
  <c r="P41" i="32" s="1"/>
  <c r="R41" i="32" s="1"/>
  <c r="H9" i="33"/>
  <c r="P44" i="32"/>
  <c r="R44" i="32" s="1"/>
  <c r="K36" i="32"/>
  <c r="Z11" i="33"/>
  <c r="A10" i="33"/>
  <c r="BZ10" i="33" s="1"/>
  <c r="AB10" i="33"/>
  <c r="B10" i="33"/>
  <c r="AA10" i="33"/>
  <c r="AC10" i="33"/>
  <c r="H10" i="33" s="1"/>
  <c r="AD10" i="33"/>
  <c r="CU38" i="32" l="1"/>
  <c r="CT38" i="32"/>
  <c r="CY37" i="32"/>
  <c r="K37" i="32" s="1"/>
  <c r="CV38" i="32"/>
  <c r="CW38" i="32" s="1"/>
  <c r="CX38" i="32" s="1"/>
  <c r="CZ38" i="32" s="1"/>
  <c r="L38" i="32" s="1"/>
  <c r="J38" i="32"/>
  <c r="BQ8" i="33"/>
  <c r="CD8" i="33"/>
  <c r="BP8" i="33" s="1"/>
  <c r="BS8" i="33"/>
  <c r="CE8" i="33"/>
  <c r="BR8" i="33"/>
  <c r="I10" i="33"/>
  <c r="CC10" i="33" s="1"/>
  <c r="I9" i="33"/>
  <c r="CE9" i="33" s="1"/>
  <c r="CC9" i="33"/>
  <c r="M37" i="32"/>
  <c r="L37" i="32"/>
  <c r="BO8" i="33"/>
  <c r="BM8" i="33"/>
  <c r="AA11" i="33"/>
  <c r="AC11" i="33"/>
  <c r="H11" i="33" s="1"/>
  <c r="Z12" i="33"/>
  <c r="A11" i="33"/>
  <c r="BZ11" i="33" s="1"/>
  <c r="B11" i="33"/>
  <c r="AB11" i="33"/>
  <c r="AD11" i="33"/>
  <c r="CI8" i="33" l="1"/>
  <c r="CY38" i="32"/>
  <c r="K38" i="32" s="1"/>
  <c r="D3" i="33" s="1"/>
  <c r="CV3" i="33" s="1"/>
  <c r="M38" i="32"/>
  <c r="E3" i="33" s="1"/>
  <c r="G3" i="33" s="1"/>
  <c r="BR9" i="33"/>
  <c r="BT9" i="33"/>
  <c r="CF8" i="33"/>
  <c r="BN8" i="33"/>
  <c r="I11" i="33"/>
  <c r="CC11" i="33" s="1"/>
  <c r="CD9" i="33"/>
  <c r="BN9" i="33" s="1"/>
  <c r="BS9" i="33"/>
  <c r="BQ9" i="33"/>
  <c r="BS10" i="33"/>
  <c r="BQ10" i="33"/>
  <c r="CD10" i="33"/>
  <c r="BN10" i="33" s="1"/>
  <c r="CE10" i="33"/>
  <c r="BM9" i="33"/>
  <c r="BR10" i="33"/>
  <c r="BT10" i="33"/>
  <c r="BO9" i="33"/>
  <c r="AB12" i="33"/>
  <c r="AD12" i="33"/>
  <c r="A12" i="33"/>
  <c r="BZ12" i="33" s="1"/>
  <c r="Z13" i="33"/>
  <c r="AA12" i="33"/>
  <c r="B12" i="33"/>
  <c r="AC12" i="33"/>
  <c r="H12" i="33" s="1"/>
  <c r="CI10" i="33" l="1"/>
  <c r="CI9" i="33"/>
  <c r="CU8" i="33"/>
  <c r="CT8" i="33"/>
  <c r="CW3" i="33"/>
  <c r="CE11" i="33"/>
  <c r="CV8" i="33"/>
  <c r="CW8" i="33" s="1"/>
  <c r="J8" i="33"/>
  <c r="BO11" i="33"/>
  <c r="BR11" i="33"/>
  <c r="BT11" i="33"/>
  <c r="BP10" i="33"/>
  <c r="BS11" i="33"/>
  <c r="BQ11" i="33"/>
  <c r="CD11" i="33"/>
  <c r="CI11" i="33" s="1"/>
  <c r="CF9" i="33"/>
  <c r="BP9" i="33"/>
  <c r="CF10" i="33"/>
  <c r="I12" i="33"/>
  <c r="BR12" i="33" s="1"/>
  <c r="CC12" i="33"/>
  <c r="BM11" i="33"/>
  <c r="A13" i="33"/>
  <c r="BZ13" i="33" s="1"/>
  <c r="AA13" i="33"/>
  <c r="AD13" i="33"/>
  <c r="Z14" i="33"/>
  <c r="B13" i="33"/>
  <c r="AB13" i="33"/>
  <c r="AC13" i="33"/>
  <c r="BM10" i="33"/>
  <c r="BO10" i="33"/>
  <c r="CX8" i="33" l="1"/>
  <c r="CU9" i="33"/>
  <c r="CV9" i="33" s="1"/>
  <c r="CW9" i="33" s="1"/>
  <c r="CT9" i="33"/>
  <c r="CT10" i="33"/>
  <c r="CU10" i="33" s="1"/>
  <c r="CF11" i="33"/>
  <c r="CE12" i="33"/>
  <c r="BT12" i="33"/>
  <c r="BN11" i="33"/>
  <c r="BP11" i="33"/>
  <c r="BS12" i="33"/>
  <c r="CD12" i="33"/>
  <c r="CI12" i="33" s="1"/>
  <c r="H13" i="33"/>
  <c r="BM12" i="33"/>
  <c r="Z15" i="33"/>
  <c r="AB14" i="33"/>
  <c r="AD14" i="33"/>
  <c r="AC14" i="33"/>
  <c r="A14" i="33"/>
  <c r="BZ14" i="33" s="1"/>
  <c r="B14" i="33"/>
  <c r="AA14" i="33"/>
  <c r="CX9" i="33" l="1"/>
  <c r="CT11" i="33"/>
  <c r="CU11" i="33" s="1"/>
  <c r="CV10" i="33"/>
  <c r="CW10" i="33" s="1"/>
  <c r="J10" i="33"/>
  <c r="CF12" i="33"/>
  <c r="J9" i="33"/>
  <c r="CY8" i="33"/>
  <c r="K8" i="33" s="1"/>
  <c r="CZ8" i="33"/>
  <c r="L8" i="33" s="1"/>
  <c r="M8" i="33"/>
  <c r="BN12" i="33"/>
  <c r="BP12" i="33"/>
  <c r="BQ12" i="33"/>
  <c r="H14" i="33"/>
  <c r="I13" i="33"/>
  <c r="BR13" i="33" s="1"/>
  <c r="CC13" i="33"/>
  <c r="BO12" i="33"/>
  <c r="AA15" i="33"/>
  <c r="Z16" i="33"/>
  <c r="B15" i="33"/>
  <c r="AC15" i="33"/>
  <c r="A15" i="33"/>
  <c r="BZ15" i="33" s="1"/>
  <c r="AD15" i="33"/>
  <c r="AB15" i="33"/>
  <c r="CX10" i="33" l="1"/>
  <c r="M10" i="33" s="1"/>
  <c r="CV11" i="33"/>
  <c r="CW11" i="33" s="1"/>
  <c r="CX11" i="33" s="1"/>
  <c r="J11" i="33"/>
  <c r="CU12" i="33"/>
  <c r="CT12" i="33"/>
  <c r="CZ10" i="33"/>
  <c r="L10" i="33" s="1"/>
  <c r="CZ9" i="33"/>
  <c r="L9" i="33" s="1"/>
  <c r="CY9" i="33"/>
  <c r="K9" i="33" s="1"/>
  <c r="CY10" i="33"/>
  <c r="K10" i="33" s="1"/>
  <c r="M9" i="33"/>
  <c r="CV12" i="33"/>
  <c r="CW12" i="33" s="1"/>
  <c r="BS13" i="33"/>
  <c r="CD13" i="33"/>
  <c r="BP13" i="33" s="1"/>
  <c r="I14" i="33"/>
  <c r="CE14" i="33" s="1"/>
  <c r="CC14" i="33"/>
  <c r="CE13" i="33"/>
  <c r="BM13" i="33"/>
  <c r="H15" i="33"/>
  <c r="BT13" i="33"/>
  <c r="BO13" i="33"/>
  <c r="Z17" i="33"/>
  <c r="AC16" i="33"/>
  <c r="AB16" i="33"/>
  <c r="AA16" i="33"/>
  <c r="A16" i="33"/>
  <c r="BZ16" i="33" s="1"/>
  <c r="B16" i="33"/>
  <c r="AD16" i="33"/>
  <c r="CX12" i="33" l="1"/>
  <c r="M12" i="33" s="1"/>
  <c r="CY11" i="33"/>
  <c r="K11" i="33" s="1"/>
  <c r="CZ11" i="33"/>
  <c r="L11" i="33" s="1"/>
  <c r="CI13" i="33"/>
  <c r="M11" i="33"/>
  <c r="J12" i="33"/>
  <c r="CZ12" i="33"/>
  <c r="L12" i="33" s="1"/>
  <c r="CF13" i="33"/>
  <c r="BN13" i="33"/>
  <c r="H16" i="33"/>
  <c r="CD14" i="33"/>
  <c r="CF14" i="33" s="1"/>
  <c r="BS14" i="33"/>
  <c r="BM14" i="33"/>
  <c r="I15" i="33"/>
  <c r="BT15" i="33" s="1"/>
  <c r="CC15" i="33"/>
  <c r="BT14" i="33"/>
  <c r="BQ13" i="33"/>
  <c r="BO14" i="33"/>
  <c r="BR14" i="33"/>
  <c r="Z18" i="33"/>
  <c r="AC17" i="33"/>
  <c r="H17" i="33" s="1"/>
  <c r="AA17" i="33"/>
  <c r="AD17" i="33"/>
  <c r="B17" i="33"/>
  <c r="A17" i="33"/>
  <c r="BZ17" i="33" s="1"/>
  <c r="AB17" i="33"/>
  <c r="CY12" i="33" l="1"/>
  <c r="K12" i="33" s="1"/>
  <c r="CI14" i="33"/>
  <c r="CU13" i="33"/>
  <c r="CT13" i="33"/>
  <c r="CU14" i="33"/>
  <c r="CT14" i="33"/>
  <c r="CV13" i="33"/>
  <c r="CW13" i="33" s="1"/>
  <c r="CX13" i="33" s="1"/>
  <c r="BN14" i="33"/>
  <c r="BP14" i="33"/>
  <c r="BR15" i="33"/>
  <c r="I17" i="33"/>
  <c r="BT17" i="33" s="1"/>
  <c r="BQ14" i="33"/>
  <c r="CD15" i="33"/>
  <c r="CF15" i="33" s="1"/>
  <c r="BS15" i="33"/>
  <c r="BO15" i="33"/>
  <c r="CE15" i="33"/>
  <c r="I16" i="33"/>
  <c r="BT16" i="33" s="1"/>
  <c r="BM15" i="33"/>
  <c r="AB18" i="33"/>
  <c r="AD18" i="33"/>
  <c r="AC18" i="33"/>
  <c r="H18" i="33" s="1"/>
  <c r="B18" i="33"/>
  <c r="AA18" i="33"/>
  <c r="A18" i="33"/>
  <c r="BZ18" i="33" s="1"/>
  <c r="Z19" i="33"/>
  <c r="CI15" i="33" l="1"/>
  <c r="CU15" i="33"/>
  <c r="CT15" i="33"/>
  <c r="BR17" i="33"/>
  <c r="CC17" i="33"/>
  <c r="CE17" i="33"/>
  <c r="CE16" i="33"/>
  <c r="BR16" i="33"/>
  <c r="J13" i="33"/>
  <c r="BS17" i="33"/>
  <c r="BQ17" i="33"/>
  <c r="CD17" i="33"/>
  <c r="BN15" i="33"/>
  <c r="CV14" i="33"/>
  <c r="CW14" i="33" s="1"/>
  <c r="CX14" i="33" s="1"/>
  <c r="J14" i="33"/>
  <c r="BS16" i="33"/>
  <c r="CD16" i="33"/>
  <c r="BP16" i="33" s="1"/>
  <c r="CZ13" i="33"/>
  <c r="L13" i="33" s="1"/>
  <c r="CY13" i="33"/>
  <c r="K13" i="33" s="1"/>
  <c r="BP15" i="33"/>
  <c r="I18" i="33"/>
  <c r="BT18" i="33" s="1"/>
  <c r="CC18" i="33"/>
  <c r="BQ15" i="33"/>
  <c r="CC16" i="33"/>
  <c r="M13" i="33"/>
  <c r="AB19" i="33"/>
  <c r="AD19" i="33"/>
  <c r="Z20" i="33"/>
  <c r="B19" i="33"/>
  <c r="A19" i="33"/>
  <c r="BZ19" i="33" s="1"/>
  <c r="AA19" i="33"/>
  <c r="AC19" i="33"/>
  <c r="CI16" i="33" l="1"/>
  <c r="BO17" i="33"/>
  <c r="CI17" i="33"/>
  <c r="BM17" i="33"/>
  <c r="CF17" i="33"/>
  <c r="CF16" i="33"/>
  <c r="BN16" i="33"/>
  <c r="CZ14" i="33"/>
  <c r="L14" i="33" s="1"/>
  <c r="CY14" i="33"/>
  <c r="K14" i="33" s="1"/>
  <c r="BP17" i="33"/>
  <c r="BM16" i="33"/>
  <c r="BN17" i="33"/>
  <c r="CD18" i="33"/>
  <c r="CI18" i="33" s="1"/>
  <c r="BS18" i="33"/>
  <c r="H19" i="33"/>
  <c r="BQ16" i="33"/>
  <c r="CV15" i="33"/>
  <c r="CW15" i="33" s="1"/>
  <c r="CX15" i="33" s="1"/>
  <c r="J15" i="33"/>
  <c r="CE18" i="33"/>
  <c r="BO16" i="33"/>
  <c r="BR18" i="33"/>
  <c r="M14" i="33"/>
  <c r="BO18" i="33"/>
  <c r="BM18" i="33"/>
  <c r="AA20" i="33"/>
  <c r="AC20" i="33"/>
  <c r="AB20" i="33"/>
  <c r="Z21" i="33"/>
  <c r="AD20" i="33"/>
  <c r="A20" i="33"/>
  <c r="BZ20" i="33" s="1"/>
  <c r="B20" i="33"/>
  <c r="CU16" i="33" l="1"/>
  <c r="J16" i="33" s="1"/>
  <c r="CT16" i="33"/>
  <c r="CT17" i="33"/>
  <c r="CU17" i="33" s="1"/>
  <c r="CF18" i="33"/>
  <c r="BN18" i="33"/>
  <c r="BP18" i="33"/>
  <c r="I19" i="33"/>
  <c r="CE19" i="33" s="1"/>
  <c r="CC19" i="33"/>
  <c r="CZ15" i="33"/>
  <c r="L15" i="33" s="1"/>
  <c r="CY15" i="33"/>
  <c r="K15" i="33" s="1"/>
  <c r="BQ18" i="33"/>
  <c r="H20" i="33"/>
  <c r="M15" i="33"/>
  <c r="AA21" i="33"/>
  <c r="AB21" i="33"/>
  <c r="AD21" i="33"/>
  <c r="AC21" i="33"/>
  <c r="A21" i="33"/>
  <c r="BZ21" i="33" s="1"/>
  <c r="Z22" i="33"/>
  <c r="B21" i="33"/>
  <c r="CT18" i="33" l="1"/>
  <c r="CU18" i="33" s="1"/>
  <c r="J17" i="33"/>
  <c r="CV17" i="33"/>
  <c r="CW17" i="33" s="1"/>
  <c r="CV16" i="33"/>
  <c r="CW16" i="33" s="1"/>
  <c r="BT19" i="33"/>
  <c r="BR19" i="33"/>
  <c r="CD19" i="33"/>
  <c r="CF19" i="33" s="1"/>
  <c r="BS19" i="33"/>
  <c r="H21" i="33"/>
  <c r="I20" i="33"/>
  <c r="CC20" i="33"/>
  <c r="BM19" i="33"/>
  <c r="BO19" i="33"/>
  <c r="AA22" i="33"/>
  <c r="A22" i="33"/>
  <c r="BZ22" i="33" s="1"/>
  <c r="AB22" i="33"/>
  <c r="AC22" i="33"/>
  <c r="AD22" i="33"/>
  <c r="Z23" i="33"/>
  <c r="B22" i="33"/>
  <c r="CX16" i="33" l="1"/>
  <c r="CX17" i="33" s="1"/>
  <c r="M17" i="33" s="1"/>
  <c r="CI19" i="33"/>
  <c r="BM20" i="33"/>
  <c r="CU19" i="33"/>
  <c r="CT19" i="33"/>
  <c r="CV18" i="33"/>
  <c r="CW18" i="33" s="1"/>
  <c r="J18" i="33"/>
  <c r="H22" i="33"/>
  <c r="CC22" i="33" s="1"/>
  <c r="BS20" i="33"/>
  <c r="BQ20" i="33"/>
  <c r="CD20" i="33"/>
  <c r="BN20" i="33" s="1"/>
  <c r="BT20" i="33"/>
  <c r="I21" i="33"/>
  <c r="BT21" i="33" s="1"/>
  <c r="CC21" i="33"/>
  <c r="BN19" i="33"/>
  <c r="BP19" i="33"/>
  <c r="BQ19" i="33"/>
  <c r="I22" i="33"/>
  <c r="CE20" i="33"/>
  <c r="BR20" i="33"/>
  <c r="BO20" i="33"/>
  <c r="AB23" i="33"/>
  <c r="AD23" i="33"/>
  <c r="A23" i="33"/>
  <c r="BZ23" i="33" s="1"/>
  <c r="AC23" i="33"/>
  <c r="Z24" i="33"/>
  <c r="B23" i="33"/>
  <c r="AA23" i="33"/>
  <c r="CZ16" i="33" l="1"/>
  <c r="L16" i="33" s="1"/>
  <c r="CY16" i="33"/>
  <c r="K16" i="33" s="1"/>
  <c r="M16" i="33"/>
  <c r="CX18" i="33"/>
  <c r="BM21" i="33"/>
  <c r="CI20" i="33"/>
  <c r="CY17" i="33"/>
  <c r="K17" i="33" s="1"/>
  <c r="CZ17" i="33"/>
  <c r="L17" i="33" s="1"/>
  <c r="M18" i="33"/>
  <c r="CF20" i="33"/>
  <c r="CD22" i="33"/>
  <c r="BN22" i="33" s="1"/>
  <c r="BP20" i="33"/>
  <c r="CE22" i="33"/>
  <c r="BT22" i="33"/>
  <c r="BR21" i="33"/>
  <c r="BR22" i="33"/>
  <c r="H23" i="33"/>
  <c r="CV19" i="33"/>
  <c r="CW19" i="33" s="1"/>
  <c r="J19" i="33"/>
  <c r="BS21" i="33"/>
  <c r="CD21" i="33"/>
  <c r="CI21" i="33" s="1"/>
  <c r="CE21" i="33"/>
  <c r="AC24" i="33"/>
  <c r="H24" i="33" s="1"/>
  <c r="B24" i="33"/>
  <c r="AD24" i="33"/>
  <c r="A24" i="33"/>
  <c r="BZ24" i="33" s="1"/>
  <c r="AA24" i="33"/>
  <c r="AB24" i="33"/>
  <c r="Z25" i="33"/>
  <c r="BO21" i="33"/>
  <c r="BS22" i="33"/>
  <c r="BO22" i="33"/>
  <c r="CX19" i="33" l="1"/>
  <c r="CZ19" i="33" s="1"/>
  <c r="L19" i="33" s="1"/>
  <c r="CI22" i="33"/>
  <c r="CU20" i="33"/>
  <c r="CT20" i="33"/>
  <c r="CY18" i="33"/>
  <c r="K18" i="33" s="1"/>
  <c r="CZ18" i="33"/>
  <c r="L18" i="33" s="1"/>
  <c r="CF21" i="33"/>
  <c r="CF22" i="33"/>
  <c r="BP21" i="33"/>
  <c r="BN21" i="33"/>
  <c r="BP22" i="33"/>
  <c r="I24" i="33"/>
  <c r="CE24" i="33" s="1"/>
  <c r="CC24" i="33"/>
  <c r="I23" i="33"/>
  <c r="CE23" i="33" s="1"/>
  <c r="CC23" i="33"/>
  <c r="BQ22" i="33"/>
  <c r="BQ21" i="33"/>
  <c r="AA25" i="33"/>
  <c r="AB25" i="33"/>
  <c r="AD25" i="33"/>
  <c r="A25" i="33"/>
  <c r="BZ25" i="33" s="1"/>
  <c r="B25" i="33"/>
  <c r="Z26" i="33"/>
  <c r="AC25" i="33"/>
  <c r="H25" i="33" s="1"/>
  <c r="BM22" i="33"/>
  <c r="CU22" i="33" l="1"/>
  <c r="J22" i="33" s="1"/>
  <c r="CT22" i="33"/>
  <c r="CU21" i="33"/>
  <c r="J21" i="33" s="1"/>
  <c r="CT21" i="33"/>
  <c r="CV21" i="33"/>
  <c r="CW21" i="33" s="1"/>
  <c r="CY19" i="33"/>
  <c r="K19" i="33" s="1"/>
  <c r="BT24" i="33"/>
  <c r="BT23" i="33"/>
  <c r="BR23" i="33"/>
  <c r="M19" i="33"/>
  <c r="CV20" i="33"/>
  <c r="CW20" i="33" s="1"/>
  <c r="CX20" i="33" s="1"/>
  <c r="CX21" i="33" s="1"/>
  <c r="J20" i="33"/>
  <c r="CD24" i="33"/>
  <c r="CF24" i="33" s="1"/>
  <c r="BS24" i="33"/>
  <c r="I25" i="33"/>
  <c r="BT25" i="33" s="1"/>
  <c r="CD23" i="33"/>
  <c r="BP23" i="33" s="1"/>
  <c r="BS23" i="33"/>
  <c r="BR24" i="33"/>
  <c r="AD26" i="33"/>
  <c r="B26" i="33"/>
  <c r="AA26" i="33"/>
  <c r="AC26" i="33"/>
  <c r="H26" i="33" s="1"/>
  <c r="AB26" i="33"/>
  <c r="Z27" i="33"/>
  <c r="A26" i="33"/>
  <c r="BZ26" i="33" s="1"/>
  <c r="BO23" i="33"/>
  <c r="BM23" i="33"/>
  <c r="CV22" i="33" l="1"/>
  <c r="CW22" i="33" s="1"/>
  <c r="CX22" i="33" s="1"/>
  <c r="M22" i="33" s="1"/>
  <c r="CI23" i="33"/>
  <c r="CI24" i="33"/>
  <c r="CT24" i="33"/>
  <c r="CU24" i="33" s="1"/>
  <c r="CZ21" i="33"/>
  <c r="L21" i="33" s="1"/>
  <c r="CE25" i="33"/>
  <c r="BR25" i="33"/>
  <c r="BN24" i="33"/>
  <c r="BP24" i="33"/>
  <c r="M20" i="33"/>
  <c r="CZ20" i="33"/>
  <c r="L20" i="33" s="1"/>
  <c r="CY20" i="33"/>
  <c r="K20" i="33" s="1"/>
  <c r="CF23" i="33"/>
  <c r="BN23" i="33"/>
  <c r="I26" i="33"/>
  <c r="CC26" i="33"/>
  <c r="BS25" i="33"/>
  <c r="CD25" i="33"/>
  <c r="BN25" i="33" s="1"/>
  <c r="BQ23" i="33"/>
  <c r="CC25" i="33"/>
  <c r="BQ24" i="33"/>
  <c r="AD27" i="33"/>
  <c r="Z28" i="33"/>
  <c r="AC27" i="33"/>
  <c r="A27" i="33"/>
  <c r="BZ27" i="33" s="1"/>
  <c r="AB27" i="33"/>
  <c r="AA27" i="33"/>
  <c r="B27" i="33"/>
  <c r="BM24" i="33"/>
  <c r="BO24" i="33"/>
  <c r="BM25" i="33" l="1"/>
  <c r="CI25" i="33"/>
  <c r="M21" i="33"/>
  <c r="CY21" i="33"/>
  <c r="K21" i="33" s="1"/>
  <c r="CU23" i="33"/>
  <c r="J23" i="33" s="1"/>
  <c r="CT23" i="33"/>
  <c r="CV24" i="33"/>
  <c r="CW24" i="33" s="1"/>
  <c r="J24" i="33"/>
  <c r="CY22" i="33"/>
  <c r="K22" i="33" s="1"/>
  <c r="CZ22" i="33"/>
  <c r="L22" i="33" s="1"/>
  <c r="BP25" i="33"/>
  <c r="BT26" i="33"/>
  <c r="H27" i="33"/>
  <c r="BQ25" i="33"/>
  <c r="CF25" i="33"/>
  <c r="CE26" i="33"/>
  <c r="BO25" i="33"/>
  <c r="BS26" i="33"/>
  <c r="CD26" i="33"/>
  <c r="BN26" i="33" s="1"/>
  <c r="BO26" i="33"/>
  <c r="BR26" i="33"/>
  <c r="B28" i="33"/>
  <c r="A28" i="33"/>
  <c r="BZ28" i="33" s="1"/>
  <c r="AB28" i="33"/>
  <c r="Z29" i="33"/>
  <c r="AD28" i="33"/>
  <c r="AC28" i="33"/>
  <c r="AA28" i="33"/>
  <c r="CV23" i="33" l="1"/>
  <c r="CW23" i="33" s="1"/>
  <c r="CX23" i="33" s="1"/>
  <c r="CX24" i="33" s="1"/>
  <c r="M24" i="33" s="1"/>
  <c r="CI26" i="33"/>
  <c r="CT25" i="33"/>
  <c r="CU25" i="33" s="1"/>
  <c r="CF26" i="33"/>
  <c r="BQ26" i="33"/>
  <c r="I27" i="33"/>
  <c r="BT27" i="33" s="1"/>
  <c r="CC27" i="33"/>
  <c r="BP26" i="33"/>
  <c r="H28" i="33"/>
  <c r="BM26" i="33"/>
  <c r="A29" i="33"/>
  <c r="BZ29" i="33" s="1"/>
  <c r="AB29" i="33"/>
  <c r="B29" i="33"/>
  <c r="AA29" i="33"/>
  <c r="Z30" i="33"/>
  <c r="AD29" i="33"/>
  <c r="AC29" i="33"/>
  <c r="CZ23" i="33" l="1"/>
  <c r="L23" i="33" s="1"/>
  <c r="CY23" i="33"/>
  <c r="K23" i="33" s="1"/>
  <c r="M23" i="33"/>
  <c r="BM27" i="33"/>
  <c r="CU26" i="33"/>
  <c r="CV26" i="33" s="1"/>
  <c r="CW26" i="33" s="1"/>
  <c r="CT26" i="33"/>
  <c r="CV25" i="33"/>
  <c r="CW25" i="33" s="1"/>
  <c r="J25" i="33"/>
  <c r="CZ24" i="33"/>
  <c r="L24" i="33" s="1"/>
  <c r="CY24" i="33"/>
  <c r="K24" i="33" s="1"/>
  <c r="CD27" i="33"/>
  <c r="BN27" i="33" s="1"/>
  <c r="BS27" i="33"/>
  <c r="CE27" i="33"/>
  <c r="BR27" i="33"/>
  <c r="H29" i="33"/>
  <c r="I28" i="33"/>
  <c r="BR28" i="33" s="1"/>
  <c r="BO27" i="33"/>
  <c r="AC30" i="33"/>
  <c r="B30" i="33"/>
  <c r="AA30" i="33"/>
  <c r="Z31" i="33"/>
  <c r="AB30" i="33"/>
  <c r="A30" i="33"/>
  <c r="BZ30" i="33" s="1"/>
  <c r="AD30" i="33"/>
  <c r="CX25" i="33" l="1"/>
  <c r="CX26" i="33" s="1"/>
  <c r="CY26" i="33" s="1"/>
  <c r="K26" i="33" s="1"/>
  <c r="CI27" i="33"/>
  <c r="BP27" i="33"/>
  <c r="CF27" i="33"/>
  <c r="I29" i="33"/>
  <c r="BT29" i="33" s="1"/>
  <c r="CC29" i="33"/>
  <c r="J26" i="33"/>
  <c r="CD28" i="33"/>
  <c r="BP28" i="33" s="1"/>
  <c r="BS28" i="33"/>
  <c r="BQ28" i="33"/>
  <c r="BQ27" i="33"/>
  <c r="H30" i="33"/>
  <c r="BT28" i="33"/>
  <c r="CC28" i="33"/>
  <c r="CE28" i="33"/>
  <c r="Z32" i="33"/>
  <c r="B31" i="33"/>
  <c r="AB31" i="33"/>
  <c r="AD31" i="33"/>
  <c r="AC31" i="33"/>
  <c r="H31" i="33" s="1"/>
  <c r="A31" i="33"/>
  <c r="BZ31" i="33" s="1"/>
  <c r="AA31" i="33"/>
  <c r="M25" i="33" l="1"/>
  <c r="CZ25" i="33"/>
  <c r="L25" i="33" s="1"/>
  <c r="CY25" i="33"/>
  <c r="K25" i="33" s="1"/>
  <c r="M26" i="33"/>
  <c r="CZ26" i="33"/>
  <c r="L26" i="33" s="1"/>
  <c r="CI28" i="33"/>
  <c r="CU27" i="33"/>
  <c r="CV27" i="33" s="1"/>
  <c r="CW27" i="33" s="1"/>
  <c r="CX27" i="33" s="1"/>
  <c r="CT27" i="33"/>
  <c r="CF28" i="33"/>
  <c r="BM28" i="33"/>
  <c r="BR29" i="33"/>
  <c r="CD29" i="33"/>
  <c r="CF29" i="33" s="1"/>
  <c r="BS29" i="33"/>
  <c r="I30" i="33"/>
  <c r="BR30" i="33" s="1"/>
  <c r="CC30" i="33"/>
  <c r="BO28" i="33"/>
  <c r="CE29" i="33"/>
  <c r="I31" i="33"/>
  <c r="CE31" i="33" s="1"/>
  <c r="BN28" i="33"/>
  <c r="BM29" i="33"/>
  <c r="AC32" i="33"/>
  <c r="H32" i="33" s="1"/>
  <c r="AA32" i="33"/>
  <c r="A32" i="33"/>
  <c r="BZ32" i="33" s="1"/>
  <c r="AB32" i="33"/>
  <c r="B32" i="33"/>
  <c r="Z33" i="33"/>
  <c r="AD32" i="33"/>
  <c r="BO29" i="33"/>
  <c r="CZ27" i="33" l="1"/>
  <c r="L27" i="33" s="1"/>
  <c r="J27" i="33"/>
  <c r="CI29" i="33"/>
  <c r="BM30" i="33"/>
  <c r="CU29" i="33"/>
  <c r="CT29" i="33"/>
  <c r="CT28" i="33"/>
  <c r="CU28" i="33" s="1"/>
  <c r="J28" i="33" s="1"/>
  <c r="M27" i="33"/>
  <c r="CY27" i="33"/>
  <c r="K27" i="33" s="1"/>
  <c r="BR31" i="33"/>
  <c r="CD30" i="33"/>
  <c r="CI30" i="33" s="1"/>
  <c r="BS30" i="33"/>
  <c r="CC31" i="33"/>
  <c r="BP29" i="33"/>
  <c r="I32" i="33"/>
  <c r="CC32" i="33" s="1"/>
  <c r="BN29" i="33"/>
  <c r="BQ29" i="33"/>
  <c r="CD31" i="33"/>
  <c r="BN31" i="33" s="1"/>
  <c r="BS31" i="33"/>
  <c r="BT31" i="33"/>
  <c r="CE30" i="33"/>
  <c r="BT30" i="33"/>
  <c r="BO30" i="33"/>
  <c r="AD33" i="33"/>
  <c r="A33" i="33"/>
  <c r="BZ33" i="33" s="1"/>
  <c r="AC33" i="33"/>
  <c r="AA33" i="33"/>
  <c r="Z34" i="33"/>
  <c r="AB33" i="33"/>
  <c r="B33" i="33"/>
  <c r="CF31" i="33" l="1"/>
  <c r="CT31" i="33" s="1"/>
  <c r="CU31" i="33" s="1"/>
  <c r="CI31" i="33"/>
  <c r="BM32" i="33"/>
  <c r="CV28" i="33"/>
  <c r="CW28" i="33" s="1"/>
  <c r="CX28" i="33" s="1"/>
  <c r="H33" i="33"/>
  <c r="CF30" i="33"/>
  <c r="BP31" i="33"/>
  <c r="BP30" i="33"/>
  <c r="BN30" i="33"/>
  <c r="I33" i="33"/>
  <c r="CC33" i="33"/>
  <c r="CD32" i="33"/>
  <c r="CI32" i="33" s="1"/>
  <c r="BS32" i="33"/>
  <c r="BQ30" i="33"/>
  <c r="BR32" i="33"/>
  <c r="CE32" i="33"/>
  <c r="BT32" i="33"/>
  <c r="CV29" i="33"/>
  <c r="CW29" i="33" s="1"/>
  <c r="J29" i="33"/>
  <c r="BO31" i="33"/>
  <c r="BO32" i="33"/>
  <c r="BM31" i="33"/>
  <c r="AC34" i="33"/>
  <c r="AB34" i="33"/>
  <c r="A34" i="33"/>
  <c r="BZ34" i="33" s="1"/>
  <c r="AD34" i="33"/>
  <c r="AA34" i="33"/>
  <c r="Z35" i="33"/>
  <c r="B34" i="33"/>
  <c r="BQ31" i="33"/>
  <c r="CX29" i="33" l="1"/>
  <c r="CU30" i="33"/>
  <c r="CT30" i="33"/>
  <c r="CV31" i="33"/>
  <c r="CW31" i="33" s="1"/>
  <c r="J31" i="33"/>
  <c r="J30" i="33"/>
  <c r="CZ28" i="33"/>
  <c r="L28" i="33" s="1"/>
  <c r="M28" i="33"/>
  <c r="CY28" i="33"/>
  <c r="K28" i="33" s="1"/>
  <c r="CF32" i="33"/>
  <c r="CE33" i="33"/>
  <c r="BP32" i="33"/>
  <c r="BN32" i="33"/>
  <c r="H34" i="33"/>
  <c r="BQ32" i="33"/>
  <c r="BS33" i="33"/>
  <c r="CD33" i="33"/>
  <c r="BP33" i="33" s="1"/>
  <c r="BR33" i="33"/>
  <c r="BT33" i="33"/>
  <c r="AD35" i="33"/>
  <c r="A35" i="33"/>
  <c r="BZ35" i="33" s="1"/>
  <c r="AA35" i="33"/>
  <c r="Z36" i="33"/>
  <c r="B35" i="33"/>
  <c r="AC35" i="33"/>
  <c r="AB35" i="33"/>
  <c r="CI33" i="33" l="1"/>
  <c r="CT32" i="33"/>
  <c r="CU32" i="33" s="1"/>
  <c r="CV30" i="33"/>
  <c r="CW30" i="33" s="1"/>
  <c r="CX30" i="33" s="1"/>
  <c r="CX31" i="33" s="1"/>
  <c r="CZ29" i="33"/>
  <c r="L29" i="33" s="1"/>
  <c r="CY29" i="33"/>
  <c r="K29" i="33" s="1"/>
  <c r="M29" i="33"/>
  <c r="BN33" i="33"/>
  <c r="CF33" i="33"/>
  <c r="I34" i="33"/>
  <c r="BT34" i="33" s="1"/>
  <c r="CC34" i="33"/>
  <c r="BQ33" i="33"/>
  <c r="H35" i="33"/>
  <c r="BM33" i="33"/>
  <c r="BO33" i="33"/>
  <c r="AC36" i="33"/>
  <c r="Z37" i="33"/>
  <c r="AB36" i="33"/>
  <c r="AD36" i="33"/>
  <c r="CU33" i="33" l="1"/>
  <c r="J33" i="33" s="1"/>
  <c r="CT33" i="33"/>
  <c r="M30" i="33"/>
  <c r="CY30" i="33"/>
  <c r="K30" i="33" s="1"/>
  <c r="CZ30" i="33"/>
  <c r="L30" i="33" s="1"/>
  <c r="J32" i="33"/>
  <c r="CV32" i="33"/>
  <c r="CW32" i="33" s="1"/>
  <c r="CX32" i="33" s="1"/>
  <c r="I35" i="33"/>
  <c r="BR35" i="33" s="1"/>
  <c r="CC35" i="33"/>
  <c r="CE34" i="33"/>
  <c r="BR34" i="33"/>
  <c r="H36" i="33"/>
  <c r="BS34" i="33"/>
  <c r="CD34" i="33"/>
  <c r="BN34" i="33" s="1"/>
  <c r="BO34" i="33"/>
  <c r="B36" i="33"/>
  <c r="A36" i="33"/>
  <c r="BZ36" i="33" s="1"/>
  <c r="AA36" i="33"/>
  <c r="AC37" i="33"/>
  <c r="AB37" i="33"/>
  <c r="AD37" i="33"/>
  <c r="Z38" i="33"/>
  <c r="BM34" i="33"/>
  <c r="CV33" i="33" l="1"/>
  <c r="CW33" i="33" s="1"/>
  <c r="CX33" i="33" s="1"/>
  <c r="CI34" i="33"/>
  <c r="CY31" i="33"/>
  <c r="K31" i="33" s="1"/>
  <c r="M31" i="33"/>
  <c r="CZ31" i="33"/>
  <c r="L31" i="33" s="1"/>
  <c r="BP34" i="33"/>
  <c r="CF34" i="33"/>
  <c r="I36" i="33"/>
  <c r="CE36" i="33" s="1"/>
  <c r="CC36" i="33"/>
  <c r="BT35" i="33"/>
  <c r="BM35" i="33"/>
  <c r="CE35" i="33"/>
  <c r="CD35" i="33"/>
  <c r="BN35" i="33" s="1"/>
  <c r="BS35" i="33"/>
  <c r="H37" i="33"/>
  <c r="BQ34" i="33"/>
  <c r="AD38" i="33"/>
  <c r="Z39" i="34"/>
  <c r="AC38" i="33"/>
  <c r="H38" i="33" s="1"/>
  <c r="AB38" i="33"/>
  <c r="B37" i="33"/>
  <c r="A37" i="33"/>
  <c r="BZ37" i="33" s="1"/>
  <c r="AA37" i="33"/>
  <c r="BO35" i="33"/>
  <c r="CI35" i="33" l="1"/>
  <c r="CU34" i="33"/>
  <c r="CT34" i="33"/>
  <c r="CY32" i="33"/>
  <c r="K32" i="33" s="1"/>
  <c r="M32" i="33"/>
  <c r="CZ32" i="33"/>
  <c r="L32" i="33" s="1"/>
  <c r="BR36" i="33"/>
  <c r="BT36" i="33"/>
  <c r="CF35" i="33"/>
  <c r="BP35" i="33"/>
  <c r="BQ35" i="33"/>
  <c r="I37" i="33"/>
  <c r="CE37" i="33" s="1"/>
  <c r="CC37" i="33"/>
  <c r="CD36" i="33"/>
  <c r="BN36" i="33" s="1"/>
  <c r="BS36" i="33"/>
  <c r="BQ36" i="33"/>
  <c r="I38" i="33"/>
  <c r="CE38" i="33" s="1"/>
  <c r="AA38" i="33"/>
  <c r="Z40" i="33" s="1"/>
  <c r="Z41" i="34" s="1"/>
  <c r="O1" i="34" s="1"/>
  <c r="Z8" i="34" s="1"/>
  <c r="B38" i="33"/>
  <c r="A38" i="33"/>
  <c r="BZ38" i="33" s="1"/>
  <c r="BM36" i="33"/>
  <c r="BO36" i="33"/>
  <c r="CI36" i="33" l="1"/>
  <c r="CU35" i="33"/>
  <c r="CT35" i="33"/>
  <c r="CV35" i="33"/>
  <c r="CW35" i="33" s="1"/>
  <c r="CY33" i="33"/>
  <c r="K33" i="33" s="1"/>
  <c r="M33" i="33"/>
  <c r="CZ33" i="33"/>
  <c r="L33" i="33" s="1"/>
  <c r="CC38" i="33"/>
  <c r="CI38" i="33" s="1"/>
  <c r="BR38" i="33"/>
  <c r="BT38" i="33"/>
  <c r="J35" i="33"/>
  <c r="CV34" i="33"/>
  <c r="CW34" i="33" s="1"/>
  <c r="CX34" i="33" s="1"/>
  <c r="CX35" i="33" s="1"/>
  <c r="J34" i="33"/>
  <c r="BR37" i="33"/>
  <c r="CD37" i="33"/>
  <c r="CF37" i="33" s="1"/>
  <c r="BS37" i="33"/>
  <c r="BQ37" i="33"/>
  <c r="BT37" i="33"/>
  <c r="CD38" i="33"/>
  <c r="BP38" i="33" s="1"/>
  <c r="BS38" i="33"/>
  <c r="BQ38" i="33"/>
  <c r="BP36" i="33"/>
  <c r="CF36" i="33"/>
  <c r="BM37" i="33"/>
  <c r="AC8" i="34"/>
  <c r="H8" i="34" s="1"/>
  <c r="A8" i="34"/>
  <c r="BZ8" i="34" s="1"/>
  <c r="B8" i="34"/>
  <c r="Z9" i="34"/>
  <c r="AA8" i="34"/>
  <c r="AD8" i="34"/>
  <c r="AB8" i="34"/>
  <c r="BO37" i="33"/>
  <c r="CI37" i="33" l="1"/>
  <c r="CU37" i="33"/>
  <c r="CT37" i="33"/>
  <c r="CU36" i="33"/>
  <c r="CT36" i="33"/>
  <c r="M35" i="33"/>
  <c r="CV37" i="33"/>
  <c r="CW37" i="33" s="1"/>
  <c r="BS40" i="33"/>
  <c r="BR40" i="33"/>
  <c r="BN37" i="33"/>
  <c r="BP37" i="33"/>
  <c r="BP40" i="33" s="1"/>
  <c r="CZ34" i="33"/>
  <c r="L34" i="33" s="1"/>
  <c r="CY34" i="33"/>
  <c r="K34" i="33" s="1"/>
  <c r="M34" i="33"/>
  <c r="CF38" i="33"/>
  <c r="I8" i="34"/>
  <c r="CC8" i="34"/>
  <c r="BT8" i="34"/>
  <c r="BR8" i="34"/>
  <c r="CE8" i="34"/>
  <c r="BN38" i="33"/>
  <c r="BT40" i="33"/>
  <c r="BS42" i="33" s="1"/>
  <c r="N44" i="33" s="1"/>
  <c r="BQ40" i="33"/>
  <c r="A9" i="34"/>
  <c r="BZ9" i="34" s="1"/>
  <c r="AC9" i="34"/>
  <c r="H9" i="34" s="1"/>
  <c r="Z10" i="34"/>
  <c r="AA9" i="34"/>
  <c r="AD9" i="34"/>
  <c r="B9" i="34"/>
  <c r="AB9" i="34"/>
  <c r="BM38" i="33"/>
  <c r="BM40" i="33" s="1"/>
  <c r="BO38" i="33"/>
  <c r="BO40" i="33" s="1"/>
  <c r="BQ42" i="33" l="1"/>
  <c r="N41" i="33" s="1"/>
  <c r="CT38" i="33"/>
  <c r="CU38" i="33" s="1"/>
  <c r="CV38" i="33" s="1"/>
  <c r="CW38" i="33" s="1"/>
  <c r="CY35" i="33"/>
  <c r="K35" i="33" s="1"/>
  <c r="CZ35" i="33"/>
  <c r="L35" i="33" s="1"/>
  <c r="J37" i="33"/>
  <c r="BN40" i="33"/>
  <c r="BM42" i="33" s="1"/>
  <c r="N42" i="33" s="1"/>
  <c r="P42" i="33" s="1"/>
  <c r="R42" i="33" s="1"/>
  <c r="BO42" i="33"/>
  <c r="N43" i="33" s="1"/>
  <c r="P43" i="33" s="1"/>
  <c r="R43" i="33" s="1"/>
  <c r="CD8" i="34"/>
  <c r="BN8" i="34" s="1"/>
  <c r="BS8" i="34"/>
  <c r="BQ8" i="34"/>
  <c r="CV36" i="33"/>
  <c r="CW36" i="33" s="1"/>
  <c r="CX36" i="33" s="1"/>
  <c r="CX37" i="33" s="1"/>
  <c r="CX38" i="33" s="1"/>
  <c r="J36" i="33"/>
  <c r="I9" i="34"/>
  <c r="CC9" i="34"/>
  <c r="P41" i="33"/>
  <c r="R41" i="33" s="1"/>
  <c r="P44" i="33"/>
  <c r="R44" i="33" s="1"/>
  <c r="BO8" i="34"/>
  <c r="BM8" i="34"/>
  <c r="A10" i="34"/>
  <c r="BZ10" i="34" s="1"/>
  <c r="AA10" i="34"/>
  <c r="Z11" i="34"/>
  <c r="AD10" i="34"/>
  <c r="B10" i="34"/>
  <c r="AC10" i="34"/>
  <c r="AB10" i="34"/>
  <c r="BO9" i="34" l="1"/>
  <c r="CI8" i="34"/>
  <c r="CZ38" i="33"/>
  <c r="L38" i="33" s="1"/>
  <c r="J38" i="33"/>
  <c r="H10" i="34"/>
  <c r="CE9" i="34"/>
  <c r="CZ37" i="33"/>
  <c r="L37" i="33" s="1"/>
  <c r="CY37" i="33"/>
  <c r="K37" i="33" s="1"/>
  <c r="M37" i="33"/>
  <c r="CF8" i="34"/>
  <c r="BP8" i="34"/>
  <c r="I10" i="34"/>
  <c r="CE10" i="34" s="1"/>
  <c r="CC10" i="34"/>
  <c r="CY36" i="33"/>
  <c r="K36" i="33" s="1"/>
  <c r="CZ36" i="33"/>
  <c r="L36" i="33" s="1"/>
  <c r="M36" i="33"/>
  <c r="BS9" i="34"/>
  <c r="BQ9" i="34"/>
  <c r="CD9" i="34"/>
  <c r="BP9" i="34" s="1"/>
  <c r="BR9" i="34"/>
  <c r="BT9" i="34"/>
  <c r="BM9" i="34"/>
  <c r="AA11" i="34"/>
  <c r="AD11" i="34"/>
  <c r="B11" i="34"/>
  <c r="Z12" i="34"/>
  <c r="AC11" i="34"/>
  <c r="AB11" i="34"/>
  <c r="A11" i="34"/>
  <c r="BZ11" i="34" s="1"/>
  <c r="CI9" i="34" l="1"/>
  <c r="CT8" i="34"/>
  <c r="CU8" i="34" s="1"/>
  <c r="CY38" i="33"/>
  <c r="K38" i="33" s="1"/>
  <c r="D3" i="34" s="1"/>
  <c r="CV3" i="34" s="1"/>
  <c r="M38" i="33"/>
  <c r="E3" i="34" s="1"/>
  <c r="G3" i="34" s="1"/>
  <c r="BR10" i="34"/>
  <c r="CF9" i="34"/>
  <c r="BN9" i="34"/>
  <c r="H11" i="34"/>
  <c r="BS10" i="34"/>
  <c r="BQ10" i="34"/>
  <c r="CD10" i="34"/>
  <c r="CF10" i="34" s="1"/>
  <c r="BO10" i="34"/>
  <c r="BT10" i="34"/>
  <c r="AC12" i="34"/>
  <c r="AD12" i="34"/>
  <c r="AB12" i="34"/>
  <c r="B12" i="34"/>
  <c r="Z13" i="34"/>
  <c r="AA12" i="34"/>
  <c r="A12" i="34"/>
  <c r="BZ12" i="34" s="1"/>
  <c r="CI10" i="34" l="1"/>
  <c r="CU10" i="34"/>
  <c r="CT10" i="34"/>
  <c r="CU9" i="34"/>
  <c r="CT9" i="34"/>
  <c r="CW3" i="34"/>
  <c r="CV8" i="34"/>
  <c r="CW8" i="34" s="1"/>
  <c r="J8" i="34"/>
  <c r="CV9" i="34"/>
  <c r="CW9" i="34" s="1"/>
  <c r="CV10" i="34"/>
  <c r="CW10" i="34" s="1"/>
  <c r="BN10" i="34"/>
  <c r="BP10" i="34"/>
  <c r="H12" i="34"/>
  <c r="I11" i="34"/>
  <c r="CE11" i="34" s="1"/>
  <c r="CC11" i="34"/>
  <c r="BM10" i="34"/>
  <c r="Z14" i="34"/>
  <c r="AA13" i="34"/>
  <c r="AD13" i="34"/>
  <c r="A13" i="34"/>
  <c r="BZ13" i="34" s="1"/>
  <c r="AC13" i="34"/>
  <c r="H13" i="34" s="1"/>
  <c r="B13" i="34"/>
  <c r="AB13" i="34"/>
  <c r="CX8" i="34" l="1"/>
  <c r="CX9" i="34" s="1"/>
  <c r="CX10" i="34" s="1"/>
  <c r="CY10" i="34" s="1"/>
  <c r="K10" i="34" s="1"/>
  <c r="J9" i="34"/>
  <c r="BT11" i="34"/>
  <c r="BR11" i="34"/>
  <c r="J10" i="34"/>
  <c r="CD11" i="34"/>
  <c r="CF11" i="34" s="1"/>
  <c r="BS11" i="34"/>
  <c r="I12" i="34"/>
  <c r="CE12" i="34" s="1"/>
  <c r="CC12" i="34"/>
  <c r="I13" i="34"/>
  <c r="CE13" i="34" s="1"/>
  <c r="CC13" i="34"/>
  <c r="BO11" i="34"/>
  <c r="BM11" i="34"/>
  <c r="Z15" i="34"/>
  <c r="AD14" i="34"/>
  <c r="AB14" i="34"/>
  <c r="AC14" i="34"/>
  <c r="H14" i="34" s="1"/>
  <c r="A14" i="34"/>
  <c r="BZ14" i="34" s="1"/>
  <c r="AA14" i="34"/>
  <c r="B14" i="34"/>
  <c r="M9" i="34" l="1"/>
  <c r="CZ9" i="34"/>
  <c r="L9" i="34" s="1"/>
  <c r="CY9" i="34"/>
  <c r="K9" i="34" s="1"/>
  <c r="M8" i="34"/>
  <c r="CY8" i="34"/>
  <c r="K8" i="34" s="1"/>
  <c r="CZ8" i="34"/>
  <c r="L8" i="34" s="1"/>
  <c r="BM12" i="34"/>
  <c r="CZ10" i="34"/>
  <c r="L10" i="34" s="1"/>
  <c r="CI11" i="34"/>
  <c r="CU11" i="34"/>
  <c r="CV11" i="34" s="1"/>
  <c r="CW11" i="34" s="1"/>
  <c r="CX11" i="34" s="1"/>
  <c r="CT11" i="34"/>
  <c r="BT12" i="34"/>
  <c r="BR12" i="34"/>
  <c r="BN11" i="34"/>
  <c r="BP11" i="34"/>
  <c r="CD12" i="34"/>
  <c r="CF12" i="34" s="1"/>
  <c r="BS12" i="34"/>
  <c r="BR13" i="34"/>
  <c r="I14" i="34"/>
  <c r="CE14" i="34" s="1"/>
  <c r="BT13" i="34"/>
  <c r="BQ11" i="34"/>
  <c r="CD13" i="34"/>
  <c r="CF13" i="34" s="1"/>
  <c r="BS13" i="34"/>
  <c r="M10" i="34"/>
  <c r="AC15" i="34"/>
  <c r="H15" i="34" s="1"/>
  <c r="A15" i="34"/>
  <c r="BZ15" i="34" s="1"/>
  <c r="Z16" i="34"/>
  <c r="AA15" i="34"/>
  <c r="B15" i="34"/>
  <c r="AD15" i="34"/>
  <c r="AB15" i="34"/>
  <c r="BM13" i="34"/>
  <c r="BO12" i="34"/>
  <c r="CI13" i="34" l="1"/>
  <c r="CI12" i="34"/>
  <c r="CU12" i="34"/>
  <c r="CV12" i="34" s="1"/>
  <c r="CW12" i="34" s="1"/>
  <c r="CX12" i="34" s="1"/>
  <c r="CT12" i="34"/>
  <c r="CU13" i="34"/>
  <c r="CV13" i="34" s="1"/>
  <c r="CW13" i="34" s="1"/>
  <c r="CT13" i="34"/>
  <c r="J11" i="34"/>
  <c r="BP12" i="34"/>
  <c r="BN12" i="34"/>
  <c r="BN13" i="34"/>
  <c r="BP13" i="34"/>
  <c r="BT14" i="34"/>
  <c r="CD14" i="34"/>
  <c r="BP14" i="34" s="1"/>
  <c r="BS14" i="34"/>
  <c r="BQ12" i="34"/>
  <c r="CC14" i="34"/>
  <c r="CI14" i="34" s="1"/>
  <c r="I15" i="34"/>
  <c r="BT15" i="34" s="1"/>
  <c r="CZ11" i="34"/>
  <c r="L11" i="34" s="1"/>
  <c r="CY11" i="34"/>
  <c r="K11" i="34" s="1"/>
  <c r="M11" i="34"/>
  <c r="BR14" i="34"/>
  <c r="J13" i="34"/>
  <c r="AC16" i="34"/>
  <c r="AA16" i="34"/>
  <c r="Z17" i="34"/>
  <c r="AB16" i="34"/>
  <c r="A16" i="34"/>
  <c r="BZ16" i="34" s="1"/>
  <c r="AD16" i="34"/>
  <c r="B16" i="34"/>
  <c r="BQ13" i="34"/>
  <c r="BO13" i="34"/>
  <c r="CX13" i="34" l="1"/>
  <c r="CZ13" i="34" s="1"/>
  <c r="CC15" i="34"/>
  <c r="BR15" i="34"/>
  <c r="CE15" i="34"/>
  <c r="BN14" i="34"/>
  <c r="CF14" i="34"/>
  <c r="J12" i="34"/>
  <c r="H16" i="34"/>
  <c r="BQ14" i="34"/>
  <c r="CZ12" i="34"/>
  <c r="L12" i="34" s="1"/>
  <c r="CY12" i="34"/>
  <c r="K12" i="34" s="1"/>
  <c r="BO14" i="34"/>
  <c r="CD15" i="34"/>
  <c r="BP15" i="34" s="1"/>
  <c r="BS15" i="34"/>
  <c r="BM14" i="34"/>
  <c r="AC17" i="34"/>
  <c r="AA17" i="34"/>
  <c r="AB17" i="34"/>
  <c r="B17" i="34"/>
  <c r="AD17" i="34"/>
  <c r="Z18" i="34"/>
  <c r="A17" i="34"/>
  <c r="BZ17" i="34" s="1"/>
  <c r="M12" i="34"/>
  <c r="BM15" i="34" l="1"/>
  <c r="CI15" i="34"/>
  <c r="CT14" i="34"/>
  <c r="CU14" i="34" s="1"/>
  <c r="CY13" i="34"/>
  <c r="K13" i="34" s="1"/>
  <c r="BO15" i="34"/>
  <c r="H17" i="34"/>
  <c r="I17" i="34" s="1"/>
  <c r="BN15" i="34"/>
  <c r="CF15" i="34"/>
  <c r="CC17" i="34"/>
  <c r="BQ15" i="34"/>
  <c r="I16" i="34"/>
  <c r="CC16" i="34"/>
  <c r="L13" i="34"/>
  <c r="M13" i="34"/>
  <c r="Z19" i="34"/>
  <c r="AD18" i="34"/>
  <c r="AA18" i="34"/>
  <c r="A18" i="34"/>
  <c r="BZ18" i="34" s="1"/>
  <c r="B18" i="34"/>
  <c r="AC18" i="34"/>
  <c r="AB18" i="34"/>
  <c r="CT15" i="34" l="1"/>
  <c r="CU15" i="34" s="1"/>
  <c r="CV15" i="34" s="1"/>
  <c r="CW15" i="34" s="1"/>
  <c r="CV14" i="34"/>
  <c r="CW14" i="34" s="1"/>
  <c r="J14" i="34"/>
  <c r="H18" i="34"/>
  <c r="CD16" i="34"/>
  <c r="BN16" i="34" s="1"/>
  <c r="BS16" i="34"/>
  <c r="CE17" i="34"/>
  <c r="I18" i="34"/>
  <c r="CC18" i="34"/>
  <c r="BT16" i="34"/>
  <c r="BS17" i="34"/>
  <c r="CD17" i="34"/>
  <c r="CI17" i="34" s="1"/>
  <c r="BO16" i="34"/>
  <c r="CE16" i="34"/>
  <c r="BT17" i="34"/>
  <c r="BM16" i="34"/>
  <c r="BR16" i="34"/>
  <c r="BM17" i="34"/>
  <c r="BR17" i="34"/>
  <c r="AA19" i="34"/>
  <c r="AB19" i="34"/>
  <c r="A19" i="34"/>
  <c r="BZ19" i="34" s="1"/>
  <c r="AC19" i="34"/>
  <c r="Z20" i="34"/>
  <c r="B19" i="34"/>
  <c r="AD19" i="34"/>
  <c r="CX14" i="34" l="1"/>
  <c r="CX15" i="34" s="1"/>
  <c r="CZ15" i="34" s="1"/>
  <c r="L15" i="34" s="1"/>
  <c r="CI16" i="34"/>
  <c r="J15" i="34"/>
  <c r="CF17" i="34"/>
  <c r="BP16" i="34"/>
  <c r="CF16" i="34"/>
  <c r="BP17" i="34"/>
  <c r="BN17" i="34"/>
  <c r="CD18" i="34"/>
  <c r="CI18" i="34" s="1"/>
  <c r="BS18" i="34"/>
  <c r="BQ16" i="34"/>
  <c r="H19" i="34"/>
  <c r="BR18" i="34"/>
  <c r="BT18" i="34"/>
  <c r="CE18" i="34"/>
  <c r="BQ17" i="34"/>
  <c r="BO17" i="34"/>
  <c r="BO18" i="34"/>
  <c r="AD20" i="34"/>
  <c r="AA20" i="34"/>
  <c r="AC20" i="34"/>
  <c r="B20" i="34"/>
  <c r="AB20" i="34"/>
  <c r="A20" i="34"/>
  <c r="BZ20" i="34" s="1"/>
  <c r="Z21" i="34"/>
  <c r="CZ14" i="34" l="1"/>
  <c r="L14" i="34" s="1"/>
  <c r="CY14" i="34"/>
  <c r="K14" i="34" s="1"/>
  <c r="M14" i="34"/>
  <c r="CY15" i="34"/>
  <c r="K15" i="34" s="1"/>
  <c r="CU16" i="34"/>
  <c r="CV16" i="34" s="1"/>
  <c r="CW16" i="34" s="1"/>
  <c r="CX16" i="34" s="1"/>
  <c r="CT16" i="34"/>
  <c r="CU17" i="34"/>
  <c r="CV17" i="34" s="1"/>
  <c r="CW17" i="34" s="1"/>
  <c r="CT17" i="34"/>
  <c r="M15" i="34"/>
  <c r="CF18" i="34"/>
  <c r="BN18" i="34"/>
  <c r="BP18" i="34"/>
  <c r="BQ18" i="34"/>
  <c r="H20" i="34"/>
  <c r="I19" i="34"/>
  <c r="BT19" i="34" s="1"/>
  <c r="CC19" i="34"/>
  <c r="BM18" i="34"/>
  <c r="AB21" i="34"/>
  <c r="AA21" i="34"/>
  <c r="Z22" i="34"/>
  <c r="AC21" i="34"/>
  <c r="H21" i="34" s="1"/>
  <c r="B21" i="34"/>
  <c r="A21" i="34"/>
  <c r="BZ21" i="34" s="1"/>
  <c r="AD21" i="34"/>
  <c r="CX17" i="34" l="1"/>
  <c r="M17" i="34" s="1"/>
  <c r="J16" i="34"/>
  <c r="BO19" i="34"/>
  <c r="CU18" i="34"/>
  <c r="CV18" i="34" s="1"/>
  <c r="CW18" i="34" s="1"/>
  <c r="CT18" i="34"/>
  <c r="J17" i="34"/>
  <c r="I20" i="34"/>
  <c r="CE20" i="34" s="1"/>
  <c r="CC20" i="34"/>
  <c r="I21" i="34"/>
  <c r="BR19" i="34"/>
  <c r="CY16" i="34"/>
  <c r="K16" i="34" s="1"/>
  <c r="CZ16" i="34"/>
  <c r="L16" i="34" s="1"/>
  <c r="M16" i="34"/>
  <c r="CD19" i="34"/>
  <c r="BN19" i="34" s="1"/>
  <c r="BS19" i="34"/>
  <c r="CE19" i="34"/>
  <c r="BM19" i="34"/>
  <c r="AA22" i="34"/>
  <c r="A22" i="34"/>
  <c r="BZ22" i="34" s="1"/>
  <c r="AD22" i="34"/>
  <c r="AC22" i="34"/>
  <c r="H22" i="34" s="1"/>
  <c r="AB22" i="34"/>
  <c r="B22" i="34"/>
  <c r="Z23" i="34"/>
  <c r="J18" i="34" l="1"/>
  <c r="CY17" i="34"/>
  <c r="K17" i="34" s="1"/>
  <c r="CZ17" i="34"/>
  <c r="L17" i="34" s="1"/>
  <c r="CX18" i="34"/>
  <c r="CZ18" i="34" s="1"/>
  <c r="L18" i="34" s="1"/>
  <c r="CI19" i="34"/>
  <c r="BR20" i="34"/>
  <c r="BT20" i="34"/>
  <c r="CF19" i="34"/>
  <c r="BP19" i="34"/>
  <c r="BS21" i="34"/>
  <c r="CD21" i="34"/>
  <c r="BP21" i="34" s="1"/>
  <c r="CE21" i="34"/>
  <c r="CC21" i="34"/>
  <c r="I22" i="34"/>
  <c r="CE22" i="34" s="1"/>
  <c r="BS20" i="34"/>
  <c r="CD20" i="34"/>
  <c r="BP20" i="34" s="1"/>
  <c r="BR21" i="34"/>
  <c r="BQ19" i="34"/>
  <c r="BM20" i="34"/>
  <c r="BO20" i="34"/>
  <c r="AB23" i="34"/>
  <c r="AD23" i="34"/>
  <c r="AC23" i="34"/>
  <c r="Z24" i="34"/>
  <c r="B23" i="34"/>
  <c r="AA23" i="34"/>
  <c r="A23" i="34"/>
  <c r="BZ23" i="34" s="1"/>
  <c r="BT21" i="34"/>
  <c r="M18" i="34" l="1"/>
  <c r="CY18" i="34"/>
  <c r="K18" i="34" s="1"/>
  <c r="CI21" i="34"/>
  <c r="CI20" i="34"/>
  <c r="CU19" i="34"/>
  <c r="CV19" i="34" s="1"/>
  <c r="CW19" i="34" s="1"/>
  <c r="CT19" i="34"/>
  <c r="CF21" i="34"/>
  <c r="CF20" i="34"/>
  <c r="BN21" i="34"/>
  <c r="BN20" i="34"/>
  <c r="J19" i="34"/>
  <c r="H23" i="34"/>
  <c r="BQ20" i="34"/>
  <c r="BQ22" i="34"/>
  <c r="CD22" i="34"/>
  <c r="BN22" i="34" s="1"/>
  <c r="BS22" i="34"/>
  <c r="BR22" i="34"/>
  <c r="CC22" i="34"/>
  <c r="BT22" i="34"/>
  <c r="B24" i="34"/>
  <c r="AA24" i="34"/>
  <c r="AB24" i="34"/>
  <c r="AC24" i="34"/>
  <c r="A24" i="34"/>
  <c r="BZ24" i="34" s="1"/>
  <c r="AD24" i="34"/>
  <c r="Z25" i="34"/>
  <c r="BM21" i="34"/>
  <c r="BO21" i="34"/>
  <c r="BQ21" i="34"/>
  <c r="CX19" i="34" l="1"/>
  <c r="CZ19" i="34" s="1"/>
  <c r="L19" i="34" s="1"/>
  <c r="BO22" i="34"/>
  <c r="CI22" i="34"/>
  <c r="CU20" i="34"/>
  <c r="CV20" i="34" s="1"/>
  <c r="CW20" i="34" s="1"/>
  <c r="CT20" i="34"/>
  <c r="CT21" i="34"/>
  <c r="CU21" i="34" s="1"/>
  <c r="BM22" i="34"/>
  <c r="BP22" i="34"/>
  <c r="I23" i="34"/>
  <c r="CE23" i="34" s="1"/>
  <c r="CC23" i="34"/>
  <c r="H24" i="34"/>
  <c r="CF22" i="34"/>
  <c r="Z26" i="34"/>
  <c r="AC25" i="34"/>
  <c r="H25" i="34" s="1"/>
  <c r="AA25" i="34"/>
  <c r="A25" i="34"/>
  <c r="BZ25" i="34" s="1"/>
  <c r="AD25" i="34"/>
  <c r="B25" i="34"/>
  <c r="AB25" i="34"/>
  <c r="M19" i="34" l="1"/>
  <c r="CX20" i="34"/>
  <c r="CY19" i="34"/>
  <c r="K19" i="34" s="1"/>
  <c r="CT22" i="34"/>
  <c r="CU22" i="34" s="1"/>
  <c r="J20" i="34"/>
  <c r="J21" i="34"/>
  <c r="CV21" i="34"/>
  <c r="CW21" i="34" s="1"/>
  <c r="CY20" i="34"/>
  <c r="K20" i="34" s="1"/>
  <c r="CZ20" i="34"/>
  <c r="L20" i="34" s="1"/>
  <c r="M20" i="34"/>
  <c r="I24" i="34"/>
  <c r="CE24" i="34" s="1"/>
  <c r="CC24" i="34"/>
  <c r="BR23" i="34"/>
  <c r="BT23" i="34"/>
  <c r="CD23" i="34"/>
  <c r="CF23" i="34" s="1"/>
  <c r="BS23" i="34"/>
  <c r="I25" i="34"/>
  <c r="CE25" i="34" s="1"/>
  <c r="CC25" i="34"/>
  <c r="BO23" i="34"/>
  <c r="BM23" i="34"/>
  <c r="Z27" i="34"/>
  <c r="AA26" i="34"/>
  <c r="A26" i="34"/>
  <c r="BZ26" i="34" s="1"/>
  <c r="AD26" i="34"/>
  <c r="B26" i="34"/>
  <c r="AC26" i="34"/>
  <c r="AB26" i="34"/>
  <c r="CX21" i="34" l="1"/>
  <c r="CZ21" i="34" s="1"/>
  <c r="L21" i="34" s="1"/>
  <c r="BM24" i="34"/>
  <c r="CI23" i="34"/>
  <c r="CU23" i="34"/>
  <c r="CV23" i="34" s="1"/>
  <c r="CW23" i="34" s="1"/>
  <c r="CT23" i="34"/>
  <c r="CV22" i="34"/>
  <c r="CW22" i="34" s="1"/>
  <c r="J22" i="34"/>
  <c r="BP23" i="34"/>
  <c r="BN23" i="34"/>
  <c r="BQ23" i="34"/>
  <c r="BR24" i="34"/>
  <c r="BT25" i="34"/>
  <c r="BT24" i="34"/>
  <c r="BR25" i="34"/>
  <c r="H26" i="34"/>
  <c r="CD25" i="34"/>
  <c r="CF25" i="34" s="1"/>
  <c r="CD24" i="34"/>
  <c r="BN24" i="34" s="1"/>
  <c r="BS24" i="34"/>
  <c r="BO24" i="34"/>
  <c r="BQ25" i="34"/>
  <c r="BS25" i="34"/>
  <c r="Z28" i="34"/>
  <c r="B27" i="34"/>
  <c r="AD27" i="34"/>
  <c r="A27" i="34"/>
  <c r="BZ27" i="34" s="1"/>
  <c r="AC27" i="34"/>
  <c r="H27" i="34" s="1"/>
  <c r="AA27" i="34"/>
  <c r="AB27" i="34"/>
  <c r="CY21" i="34" l="1"/>
  <c r="K21" i="34" s="1"/>
  <c r="M21" i="34"/>
  <c r="CX22" i="34"/>
  <c r="CX23" i="34" s="1"/>
  <c r="CY23" i="34" s="1"/>
  <c r="K23" i="34" s="1"/>
  <c r="CI24" i="34"/>
  <c r="CI25" i="34"/>
  <c r="CU25" i="34"/>
  <c r="CV25" i="34" s="1"/>
  <c r="CW25" i="34" s="1"/>
  <c r="CT25" i="34"/>
  <c r="J23" i="34"/>
  <c r="BN25" i="34"/>
  <c r="BP25" i="34"/>
  <c r="CF24" i="34"/>
  <c r="I26" i="34"/>
  <c r="BT26" i="34" s="1"/>
  <c r="CC26" i="34"/>
  <c r="BP24" i="34"/>
  <c r="I27" i="34"/>
  <c r="CE27" i="34" s="1"/>
  <c r="CC27" i="34"/>
  <c r="BQ24" i="34"/>
  <c r="B28" i="34"/>
  <c r="AC28" i="34"/>
  <c r="H28" i="34" s="1"/>
  <c r="AA28" i="34"/>
  <c r="Z29" i="34"/>
  <c r="A28" i="34"/>
  <c r="BZ28" i="34" s="1"/>
  <c r="AD28" i="34"/>
  <c r="AB28" i="34"/>
  <c r="BO25" i="34"/>
  <c r="BM25" i="34"/>
  <c r="CZ22" i="34" l="1"/>
  <c r="L22" i="34" s="1"/>
  <c r="M22" i="34"/>
  <c r="CY22" i="34"/>
  <c r="K22" i="34" s="1"/>
  <c r="CU24" i="34"/>
  <c r="J24" i="34" s="1"/>
  <c r="CT24" i="34"/>
  <c r="M23" i="34"/>
  <c r="CZ23" i="34"/>
  <c r="L23" i="34" s="1"/>
  <c r="CV24" i="34"/>
  <c r="CW24" i="34" s="1"/>
  <c r="CX24" i="34" s="1"/>
  <c r="CX25" i="34" s="1"/>
  <c r="BT27" i="34"/>
  <c r="BR26" i="34"/>
  <c r="BS26" i="34"/>
  <c r="CD26" i="34"/>
  <c r="CI26" i="34" s="1"/>
  <c r="CE26" i="34"/>
  <c r="I28" i="34"/>
  <c r="CD27" i="34"/>
  <c r="BP27" i="34" s="1"/>
  <c r="BS27" i="34"/>
  <c r="BO26" i="34"/>
  <c r="BM26" i="34"/>
  <c r="AB29" i="34"/>
  <c r="AD29" i="34"/>
  <c r="Z30" i="34"/>
  <c r="AC29" i="34"/>
  <c r="H29" i="34" s="1"/>
  <c r="A29" i="34"/>
  <c r="BZ29" i="34" s="1"/>
  <c r="B29" i="34"/>
  <c r="AA29" i="34"/>
  <c r="J25" i="34"/>
  <c r="BR27" i="34"/>
  <c r="CI27" i="34" l="1"/>
  <c r="CF26" i="34"/>
  <c r="M25" i="34"/>
  <c r="BN27" i="34"/>
  <c r="BP26" i="34"/>
  <c r="BQ26" i="34"/>
  <c r="CF27" i="34"/>
  <c r="CD28" i="34"/>
  <c r="BN28" i="34" s="1"/>
  <c r="BS28" i="34"/>
  <c r="BN26" i="34"/>
  <c r="BR28" i="34"/>
  <c r="BT28" i="34"/>
  <c r="I29" i="34"/>
  <c r="CE29" i="34" s="1"/>
  <c r="BQ27" i="34"/>
  <c r="CE28" i="34"/>
  <c r="CC28" i="34"/>
  <c r="AA30" i="34"/>
  <c r="Z31" i="34"/>
  <c r="AD30" i="34"/>
  <c r="AB30" i="34"/>
  <c r="AC30" i="34"/>
  <c r="B30" i="34"/>
  <c r="A30" i="34"/>
  <c r="BZ30" i="34" s="1"/>
  <c r="BM27" i="34"/>
  <c r="BO27" i="34"/>
  <c r="BO28" i="34" l="1"/>
  <c r="CI28" i="34"/>
  <c r="CU27" i="34"/>
  <c r="J27" i="34" s="1"/>
  <c r="CT27" i="34"/>
  <c r="CU26" i="34"/>
  <c r="CV26" i="34" s="1"/>
  <c r="CW26" i="34" s="1"/>
  <c r="CX26" i="34" s="1"/>
  <c r="CT26" i="34"/>
  <c r="CV27" i="34"/>
  <c r="CW27" i="34" s="1"/>
  <c r="BR29" i="34"/>
  <c r="BT29" i="34"/>
  <c r="H30" i="34"/>
  <c r="CC29" i="34"/>
  <c r="CY24" i="34"/>
  <c r="K24" i="34" s="1"/>
  <c r="CZ24" i="34"/>
  <c r="L24" i="34" s="1"/>
  <c r="M24" i="34"/>
  <c r="CY25" i="34"/>
  <c r="K25" i="34" s="1"/>
  <c r="CZ25" i="34"/>
  <c r="L25" i="34" s="1"/>
  <c r="BP28" i="34"/>
  <c r="I30" i="34"/>
  <c r="CE30" i="34" s="1"/>
  <c r="CC30" i="34"/>
  <c r="CD29" i="34"/>
  <c r="BN29" i="34" s="1"/>
  <c r="BS29" i="34"/>
  <c r="BQ29" i="34"/>
  <c r="CF28" i="34"/>
  <c r="BQ28" i="34"/>
  <c r="B31" i="34"/>
  <c r="Z32" i="34"/>
  <c r="A31" i="34"/>
  <c r="BZ31" i="34" s="1"/>
  <c r="AD31" i="34"/>
  <c r="AB31" i="34"/>
  <c r="AA31" i="34"/>
  <c r="AC31" i="34"/>
  <c r="BM28" i="34"/>
  <c r="CX27" i="34" l="1"/>
  <c r="J26" i="34"/>
  <c r="BM29" i="34"/>
  <c r="CI29" i="34"/>
  <c r="CT28" i="34"/>
  <c r="CU28" i="34" s="1"/>
  <c r="CV28" i="34" s="1"/>
  <c r="CW28" i="34" s="1"/>
  <c r="CX28" i="34" s="1"/>
  <c r="BR30" i="34"/>
  <c r="BO29" i="34"/>
  <c r="M27" i="34"/>
  <c r="H31" i="34"/>
  <c r="CF29" i="34"/>
  <c r="BT30" i="34"/>
  <c r="BP29" i="34"/>
  <c r="CD30" i="34"/>
  <c r="BN30" i="34" s="1"/>
  <c r="BS30" i="34"/>
  <c r="BQ30" i="34"/>
  <c r="BM30" i="34"/>
  <c r="AC32" i="34"/>
  <c r="Z33" i="34"/>
  <c r="AD32" i="34"/>
  <c r="B32" i="34"/>
  <c r="A32" i="34"/>
  <c r="BZ32" i="34" s="1"/>
  <c r="AB32" i="34"/>
  <c r="AA32" i="34"/>
  <c r="CI30" i="34" l="1"/>
  <c r="CT29" i="34"/>
  <c r="CU29" i="34" s="1"/>
  <c r="J28" i="34"/>
  <c r="H32" i="34"/>
  <c r="CY26" i="34"/>
  <c r="K26" i="34" s="1"/>
  <c r="CZ26" i="34"/>
  <c r="L26" i="34" s="1"/>
  <c r="M28" i="34"/>
  <c r="CZ27" i="34"/>
  <c r="L27" i="34" s="1"/>
  <c r="CY27" i="34"/>
  <c r="K27" i="34" s="1"/>
  <c r="M26" i="34"/>
  <c r="I32" i="34"/>
  <c r="CC32" i="34"/>
  <c r="CF30" i="34"/>
  <c r="I31" i="34"/>
  <c r="CC31" i="34"/>
  <c r="BP30" i="34"/>
  <c r="BO30" i="34"/>
  <c r="AC33" i="34"/>
  <c r="AD33" i="34"/>
  <c r="A33" i="34"/>
  <c r="BZ33" i="34" s="1"/>
  <c r="AB33" i="34"/>
  <c r="AA33" i="34"/>
  <c r="B33" i="34"/>
  <c r="Z34" i="34"/>
  <c r="BO31" i="34" l="1"/>
  <c r="CU30" i="34"/>
  <c r="CV30" i="34" s="1"/>
  <c r="CW30" i="34" s="1"/>
  <c r="CT30" i="34"/>
  <c r="CV29" i="34"/>
  <c r="CW29" i="34" s="1"/>
  <c r="J29" i="34"/>
  <c r="CE32" i="34"/>
  <c r="CY28" i="34"/>
  <c r="K28" i="34" s="1"/>
  <c r="CZ28" i="34"/>
  <c r="L28" i="34" s="1"/>
  <c r="CD31" i="34"/>
  <c r="BP31" i="34" s="1"/>
  <c r="BS31" i="34"/>
  <c r="BT31" i="34"/>
  <c r="CE31" i="34"/>
  <c r="H33" i="34"/>
  <c r="BR31" i="34"/>
  <c r="BS32" i="34"/>
  <c r="CD32" i="34"/>
  <c r="CI32" i="34" s="1"/>
  <c r="BM31" i="34"/>
  <c r="BR32" i="34"/>
  <c r="BT32" i="34"/>
  <c r="AC34" i="34"/>
  <c r="AD34" i="34"/>
  <c r="AB34" i="34"/>
  <c r="Z35" i="34"/>
  <c r="A34" i="34"/>
  <c r="BZ34" i="34" s="1"/>
  <c r="AA34" i="34"/>
  <c r="B34" i="34"/>
  <c r="CX29" i="34" l="1"/>
  <c r="CX30" i="34" s="1"/>
  <c r="CI31" i="34"/>
  <c r="CF32" i="34"/>
  <c r="CZ29" i="34"/>
  <c r="L29" i="34" s="1"/>
  <c r="M30" i="34"/>
  <c r="BN31" i="34"/>
  <c r="CF31" i="34"/>
  <c r="J30" i="34"/>
  <c r="BN32" i="34"/>
  <c r="BP32" i="34"/>
  <c r="H34" i="34"/>
  <c r="BQ31" i="34"/>
  <c r="I33" i="34"/>
  <c r="CE33" i="34" s="1"/>
  <c r="CC33" i="34"/>
  <c r="BO32" i="34"/>
  <c r="BQ32" i="34"/>
  <c r="B35" i="34"/>
  <c r="A35" i="34"/>
  <c r="BZ35" i="34" s="1"/>
  <c r="AD35" i="34"/>
  <c r="Z36" i="34"/>
  <c r="AA35" i="34"/>
  <c r="AB35" i="34"/>
  <c r="AC35" i="34"/>
  <c r="H35" i="34" s="1"/>
  <c r="BM32" i="34"/>
  <c r="M29" i="34" l="1"/>
  <c r="CY29" i="34"/>
  <c r="K29" i="34" s="1"/>
  <c r="CU31" i="34"/>
  <c r="CT31" i="34"/>
  <c r="CU32" i="34"/>
  <c r="CV32" i="34" s="1"/>
  <c r="CW32" i="34" s="1"/>
  <c r="CT32" i="34"/>
  <c r="CY30" i="34"/>
  <c r="K30" i="34" s="1"/>
  <c r="CZ30" i="34"/>
  <c r="L30" i="34" s="1"/>
  <c r="BR33" i="34"/>
  <c r="BT33" i="34"/>
  <c r="I34" i="34"/>
  <c r="BR34" i="34" s="1"/>
  <c r="CC34" i="34"/>
  <c r="I35" i="34"/>
  <c r="CC35" i="34" s="1"/>
  <c r="CD33" i="34"/>
  <c r="BN33" i="34" s="1"/>
  <c r="BS33" i="34"/>
  <c r="AB36" i="34"/>
  <c r="AC36" i="34"/>
  <c r="H36" i="34" s="1"/>
  <c r="Z37" i="34"/>
  <c r="AD36" i="34"/>
  <c r="BM33" i="34"/>
  <c r="BO33" i="34"/>
  <c r="CI33" i="34" l="1"/>
  <c r="J32" i="34"/>
  <c r="CE34" i="34"/>
  <c r="BT34" i="34"/>
  <c r="CF33" i="34"/>
  <c r="BP33" i="34"/>
  <c r="CV31" i="34"/>
  <c r="CW31" i="34" s="1"/>
  <c r="J31" i="34"/>
  <c r="CD34" i="34"/>
  <c r="CF34" i="34" s="1"/>
  <c r="BS34" i="34"/>
  <c r="BQ33" i="34"/>
  <c r="CD35" i="34"/>
  <c r="CF35" i="34" s="1"/>
  <c r="BS35" i="34"/>
  <c r="CE35" i="34"/>
  <c r="BR35" i="34"/>
  <c r="I36" i="34"/>
  <c r="CE36" i="34" s="1"/>
  <c r="BO34" i="34"/>
  <c r="BT35" i="34"/>
  <c r="BM34" i="34"/>
  <c r="AB37" i="34"/>
  <c r="AD37" i="34"/>
  <c r="AC37" i="34"/>
  <c r="Z38" i="34"/>
  <c r="A36" i="34"/>
  <c r="BZ36" i="34" s="1"/>
  <c r="AA36" i="34"/>
  <c r="B36" i="34"/>
  <c r="BM35" i="34"/>
  <c r="BO35" i="34"/>
  <c r="CX31" i="34" l="1"/>
  <c r="CX32" i="34" s="1"/>
  <c r="CI34" i="34"/>
  <c r="CI35" i="34"/>
  <c r="CT35" i="34"/>
  <c r="CU35" i="34" s="1"/>
  <c r="CU34" i="34"/>
  <c r="CV34" i="34" s="1"/>
  <c r="CW34" i="34" s="1"/>
  <c r="CT34" i="34"/>
  <c r="CU33" i="34"/>
  <c r="J33" i="34" s="1"/>
  <c r="CT33" i="34"/>
  <c r="CC36" i="34"/>
  <c r="CI36" i="34" s="1"/>
  <c r="BN34" i="34"/>
  <c r="BP34" i="34"/>
  <c r="BQ34" i="34"/>
  <c r="H37" i="34"/>
  <c r="CD36" i="34"/>
  <c r="BN36" i="34" s="1"/>
  <c r="BS36" i="34"/>
  <c r="BQ35" i="34"/>
  <c r="BP35" i="34"/>
  <c r="BT36" i="34"/>
  <c r="BN35" i="34"/>
  <c r="AC38" i="34"/>
  <c r="AD38" i="34"/>
  <c r="Z39" i="35"/>
  <c r="AB38" i="34"/>
  <c r="BR36" i="34"/>
  <c r="AA37" i="34"/>
  <c r="A37" i="34"/>
  <c r="BZ37" i="34" s="1"/>
  <c r="B37" i="34"/>
  <c r="CV33" i="34" l="1"/>
  <c r="CW33" i="34" s="1"/>
  <c r="CZ31" i="34"/>
  <c r="L31" i="34" s="1"/>
  <c r="M31" i="34"/>
  <c r="CY31" i="34"/>
  <c r="K31" i="34" s="1"/>
  <c r="J34" i="34"/>
  <c r="CX33" i="34"/>
  <c r="CX34" i="34" s="1"/>
  <c r="CZ34" i="34" s="1"/>
  <c r="L34" i="34" s="1"/>
  <c r="CZ32" i="34"/>
  <c r="L32" i="34" s="1"/>
  <c r="CY32" i="34"/>
  <c r="K32" i="34" s="1"/>
  <c r="M32" i="34"/>
  <c r="J35" i="34"/>
  <c r="CV35" i="34"/>
  <c r="CW35" i="34" s="1"/>
  <c r="I37" i="34"/>
  <c r="BT37" i="34" s="1"/>
  <c r="CC37" i="34"/>
  <c r="CF36" i="34"/>
  <c r="H38" i="34"/>
  <c r="BQ36" i="34"/>
  <c r="BP36" i="34"/>
  <c r="BM36" i="34"/>
  <c r="AA38" i="34"/>
  <c r="Z40" i="34" s="1"/>
  <c r="Z41" i="35" s="1"/>
  <c r="O1" i="35" s="1"/>
  <c r="Z8" i="35" s="1"/>
  <c r="A38" i="34"/>
  <c r="BZ38" i="34" s="1"/>
  <c r="B38" i="34"/>
  <c r="BO36" i="34"/>
  <c r="CY33" i="34" l="1"/>
  <c r="K33" i="34" s="1"/>
  <c r="M33" i="34"/>
  <c r="CZ33" i="34"/>
  <c r="L33" i="34" s="1"/>
  <c r="CY34" i="34"/>
  <c r="K34" i="34" s="1"/>
  <c r="CX35" i="34"/>
  <c r="CZ35" i="34" s="1"/>
  <c r="L35" i="34" s="1"/>
  <c r="CT36" i="34"/>
  <c r="CU36" i="34" s="1"/>
  <c r="M34" i="34"/>
  <c r="CE37" i="34"/>
  <c r="BR37" i="34"/>
  <c r="I38" i="34"/>
  <c r="BT38" i="34" s="1"/>
  <c r="BT40" i="34" s="1"/>
  <c r="CC38" i="34"/>
  <c r="CD37" i="34"/>
  <c r="BP37" i="34" s="1"/>
  <c r="BS37" i="34"/>
  <c r="AC8" i="35"/>
  <c r="AB8" i="35"/>
  <c r="Z9" i="35"/>
  <c r="AA8" i="35"/>
  <c r="A8" i="35"/>
  <c r="BZ8" i="35" s="1"/>
  <c r="B8" i="35"/>
  <c r="AD8" i="35"/>
  <c r="BM37" i="34"/>
  <c r="BO37" i="34"/>
  <c r="CI37" i="34" l="1"/>
  <c r="M35" i="34"/>
  <c r="CY35" i="34"/>
  <c r="K35" i="34" s="1"/>
  <c r="CV36" i="34"/>
  <c r="CW36" i="34" s="1"/>
  <c r="J36" i="34"/>
  <c r="CE38" i="34"/>
  <c r="BR38" i="34"/>
  <c r="BR40" i="34" s="1"/>
  <c r="BQ37" i="34"/>
  <c r="H8" i="35"/>
  <c r="BS38" i="34"/>
  <c r="BS40" i="34" s="1"/>
  <c r="BS42" i="34" s="1"/>
  <c r="N44" i="34" s="1"/>
  <c r="CD38" i="34"/>
  <c r="CF38" i="34" s="1"/>
  <c r="BN37" i="34"/>
  <c r="BO38" i="34"/>
  <c r="BO40" i="34" s="1"/>
  <c r="CF37" i="34"/>
  <c r="AD9" i="35"/>
  <c r="AB9" i="35"/>
  <c r="B9" i="35"/>
  <c r="AC9" i="35"/>
  <c r="A9" i="35"/>
  <c r="BZ9" i="35" s="1"/>
  <c r="Z10" i="35"/>
  <c r="AA9" i="35"/>
  <c r="BM38" i="34"/>
  <c r="BM40" i="34" s="1"/>
  <c r="CX36" i="34" l="1"/>
  <c r="CI38" i="34"/>
  <c r="CU38" i="34"/>
  <c r="CT38" i="34"/>
  <c r="CU37" i="34"/>
  <c r="CT37" i="34"/>
  <c r="M36" i="34"/>
  <c r="CY36" i="34"/>
  <c r="K36" i="34" s="1"/>
  <c r="CV38" i="34"/>
  <c r="CW38" i="34" s="1"/>
  <c r="BQ38" i="34"/>
  <c r="BQ40" i="34" s="1"/>
  <c r="BQ42" i="34" s="1"/>
  <c r="N41" i="34" s="1"/>
  <c r="P41" i="34" s="1"/>
  <c r="R41" i="34" s="1"/>
  <c r="I8" i="35"/>
  <c r="BT8" i="35" s="1"/>
  <c r="CC8" i="35"/>
  <c r="BN38" i="34"/>
  <c r="BN40" i="34" s="1"/>
  <c r="BM42" i="34" s="1"/>
  <c r="N42" i="34" s="1"/>
  <c r="P42" i="34" s="1"/>
  <c r="R42" i="34" s="1"/>
  <c r="BP38" i="34"/>
  <c r="BP40" i="34" s="1"/>
  <c r="BO42" i="34" s="1"/>
  <c r="N43" i="34" s="1"/>
  <c r="P43" i="34" s="1"/>
  <c r="R43" i="34" s="1"/>
  <c r="H9" i="35"/>
  <c r="P44" i="34"/>
  <c r="R44" i="34" s="1"/>
  <c r="AA10" i="35"/>
  <c r="AC10" i="35"/>
  <c r="A10" i="35"/>
  <c r="BZ10" i="35" s="1"/>
  <c r="Z11" i="35"/>
  <c r="AD10" i="35"/>
  <c r="B10" i="35"/>
  <c r="AB10" i="35"/>
  <c r="CZ36" i="34" l="1"/>
  <c r="L36" i="34" s="1"/>
  <c r="BO8" i="35"/>
  <c r="BR8" i="35"/>
  <c r="CE8" i="35"/>
  <c r="J38" i="34"/>
  <c r="BS8" i="35"/>
  <c r="BQ8" i="35"/>
  <c r="CD8" i="35"/>
  <c r="BP8" i="35" s="1"/>
  <c r="I9" i="35"/>
  <c r="BR9" i="35" s="1"/>
  <c r="CC9" i="35"/>
  <c r="CV37" i="34"/>
  <c r="CW37" i="34" s="1"/>
  <c r="J37" i="34"/>
  <c r="H10" i="35"/>
  <c r="BM8" i="35"/>
  <c r="AB11" i="35"/>
  <c r="A11" i="35"/>
  <c r="BZ11" i="35" s="1"/>
  <c r="AC11" i="35"/>
  <c r="H11" i="35" s="1"/>
  <c r="AD11" i="35"/>
  <c r="AA11" i="35"/>
  <c r="Z12" i="35"/>
  <c r="B11" i="35"/>
  <c r="CX37" i="34" l="1"/>
  <c r="CX38" i="34" s="1"/>
  <c r="M38" i="34" s="1"/>
  <c r="E3" i="35" s="1"/>
  <c r="G3" i="35" s="1"/>
  <c r="CI8" i="35"/>
  <c r="CF8" i="35"/>
  <c r="CE9" i="35"/>
  <c r="BT9" i="35"/>
  <c r="BS9" i="35"/>
  <c r="BQ9" i="35"/>
  <c r="CD9" i="35"/>
  <c r="CI9" i="35" s="1"/>
  <c r="I11" i="35"/>
  <c r="CC11" i="35" s="1"/>
  <c r="BN8" i="35"/>
  <c r="I10" i="35"/>
  <c r="BR10" i="35" s="1"/>
  <c r="BO9" i="35"/>
  <c r="BM9" i="35"/>
  <c r="B12" i="35"/>
  <c r="Z13" i="35"/>
  <c r="AD12" i="35"/>
  <c r="AA12" i="35"/>
  <c r="AC12" i="35"/>
  <c r="H12" i="35" s="1"/>
  <c r="AB12" i="35"/>
  <c r="A12" i="35"/>
  <c r="BZ12" i="35" s="1"/>
  <c r="M37" i="34" l="1"/>
  <c r="CZ37" i="34"/>
  <c r="L37" i="34" s="1"/>
  <c r="CY37" i="34"/>
  <c r="K37" i="34" s="1"/>
  <c r="CZ38" i="34"/>
  <c r="L38" i="34" s="1"/>
  <c r="CY38" i="34"/>
  <c r="K38" i="34" s="1"/>
  <c r="D3" i="35" s="1"/>
  <c r="CV3" i="35" s="1"/>
  <c r="CW3" i="35" s="1"/>
  <c r="CU8" i="35"/>
  <c r="CV8" i="35" s="1"/>
  <c r="CW8" i="35" s="1"/>
  <c r="CT8" i="35"/>
  <c r="CF9" i="35"/>
  <c r="BP9" i="35"/>
  <c r="BT10" i="35"/>
  <c r="CC10" i="35"/>
  <c r="CI10" i="35" s="1"/>
  <c r="CE10" i="35"/>
  <c r="BS11" i="35"/>
  <c r="BQ11" i="35"/>
  <c r="CD11" i="35"/>
  <c r="CI11" i="35" s="1"/>
  <c r="BN9" i="35"/>
  <c r="CD10" i="35"/>
  <c r="BP10" i="35" s="1"/>
  <c r="BS10" i="35"/>
  <c r="BT11" i="35"/>
  <c r="I12" i="35"/>
  <c r="CE11" i="35"/>
  <c r="BR11" i="35"/>
  <c r="BQ10" i="35"/>
  <c r="A13" i="35"/>
  <c r="BZ13" i="35" s="1"/>
  <c r="AD13" i="35"/>
  <c r="AC13" i="35"/>
  <c r="Z14" i="35"/>
  <c r="AB13" i="35"/>
  <c r="B13" i="35"/>
  <c r="AA13" i="35"/>
  <c r="CX8" i="35" l="1"/>
  <c r="J8" i="35"/>
  <c r="CU9" i="35"/>
  <c r="CT9" i="35"/>
  <c r="CF11" i="35"/>
  <c r="CV9" i="35"/>
  <c r="CW9" i="35" s="1"/>
  <c r="BN11" i="35"/>
  <c r="J9" i="35"/>
  <c r="BP11" i="35"/>
  <c r="H13" i="35"/>
  <c r="BN10" i="35"/>
  <c r="CF10" i="35"/>
  <c r="BO10" i="35"/>
  <c r="BS12" i="35"/>
  <c r="CD12" i="35"/>
  <c r="BP12" i="35" s="1"/>
  <c r="CC12" i="35"/>
  <c r="BM10" i="35"/>
  <c r="BT12" i="35"/>
  <c r="BR12" i="35"/>
  <c r="CE12" i="35"/>
  <c r="BO11" i="35"/>
  <c r="BM11" i="35"/>
  <c r="AD14" i="35"/>
  <c r="Z15" i="35"/>
  <c r="AB14" i="35"/>
  <c r="AC14" i="35"/>
  <c r="AA14" i="35"/>
  <c r="A14" i="35"/>
  <c r="BZ14" i="35" s="1"/>
  <c r="B14" i="35"/>
  <c r="CX9" i="35" l="1"/>
  <c r="M9" i="35" s="1"/>
  <c r="BM12" i="35"/>
  <c r="CI12" i="35"/>
  <c r="CU10" i="35"/>
  <c r="J10" i="35" s="1"/>
  <c r="CT10" i="35"/>
  <c r="CT11" i="35"/>
  <c r="CU11" i="35" s="1"/>
  <c r="J11" i="35" s="1"/>
  <c r="CV10" i="35"/>
  <c r="CW10" i="35" s="1"/>
  <c r="M8" i="35"/>
  <c r="CZ8" i="35"/>
  <c r="L8" i="35" s="1"/>
  <c r="H14" i="35"/>
  <c r="I14" i="35" s="1"/>
  <c r="CY8" i="35"/>
  <c r="K8" i="35" s="1"/>
  <c r="BO12" i="35"/>
  <c r="BN12" i="35"/>
  <c r="BQ12" i="35"/>
  <c r="I13" i="35"/>
  <c r="CC13" i="35"/>
  <c r="CF12" i="35"/>
  <c r="AA15" i="35"/>
  <c r="A15" i="35"/>
  <c r="BZ15" i="35" s="1"/>
  <c r="Z16" i="35"/>
  <c r="AD15" i="35"/>
  <c r="AB15" i="35"/>
  <c r="B15" i="35"/>
  <c r="AC15" i="35"/>
  <c r="CZ9" i="35" l="1"/>
  <c r="L9" i="35" s="1"/>
  <c r="CX10" i="35"/>
  <c r="CY9" i="35"/>
  <c r="K9" i="35" s="1"/>
  <c r="CT12" i="35"/>
  <c r="CU12" i="35" s="1"/>
  <c r="CV11" i="35"/>
  <c r="CW11" i="35" s="1"/>
  <c r="CC14" i="35"/>
  <c r="H15" i="35"/>
  <c r="CY10" i="35"/>
  <c r="K10" i="35" s="1"/>
  <c r="CZ10" i="35"/>
  <c r="L10" i="35" s="1"/>
  <c r="CD13" i="35"/>
  <c r="BP13" i="35" s="1"/>
  <c r="BS13" i="35"/>
  <c r="BT13" i="35"/>
  <c r="BR14" i="35"/>
  <c r="I15" i="35"/>
  <c r="CC15" i="35"/>
  <c r="CD14" i="35"/>
  <c r="BN14" i="35" s="1"/>
  <c r="BS14" i="35"/>
  <c r="BQ14" i="35"/>
  <c r="CE13" i="35"/>
  <c r="CE14" i="35"/>
  <c r="BR13" i="35"/>
  <c r="M10" i="35"/>
  <c r="BM13" i="35"/>
  <c r="BO13" i="35"/>
  <c r="BT14" i="35"/>
  <c r="A16" i="35"/>
  <c r="BZ16" i="35" s="1"/>
  <c r="AB16" i="35"/>
  <c r="B16" i="35"/>
  <c r="Z17" i="35"/>
  <c r="AD16" i="35"/>
  <c r="AC16" i="35"/>
  <c r="AA16" i="35"/>
  <c r="CX11" i="35" l="1"/>
  <c r="CY11" i="35" s="1"/>
  <c r="K11" i="35" s="1"/>
  <c r="CI14" i="35"/>
  <c r="CI13" i="35"/>
  <c r="CV12" i="35"/>
  <c r="CW12" i="35" s="1"/>
  <c r="J12" i="35"/>
  <c r="CF14" i="35"/>
  <c r="CF13" i="35"/>
  <c r="BP14" i="35"/>
  <c r="BS15" i="35"/>
  <c r="CD15" i="35"/>
  <c r="CI15" i="35" s="1"/>
  <c r="BT15" i="35"/>
  <c r="BN13" i="35"/>
  <c r="CE15" i="35"/>
  <c r="H16" i="35"/>
  <c r="BQ13" i="35"/>
  <c r="BR15" i="35"/>
  <c r="AB17" i="35"/>
  <c r="B17" i="35"/>
  <c r="AD17" i="35"/>
  <c r="AC17" i="35"/>
  <c r="A17" i="35"/>
  <c r="BZ17" i="35" s="1"/>
  <c r="AA17" i="35"/>
  <c r="Z18" i="35"/>
  <c r="BO14" i="35"/>
  <c r="BM14" i="35"/>
  <c r="CZ11" i="35" l="1"/>
  <c r="L11" i="35" s="1"/>
  <c r="M11" i="35"/>
  <c r="CX12" i="35"/>
  <c r="CZ12" i="35" s="1"/>
  <c r="L12" i="35" s="1"/>
  <c r="CU13" i="35"/>
  <c r="J13" i="35" s="1"/>
  <c r="CT13" i="35"/>
  <c r="CF15" i="35"/>
  <c r="CU14" i="35"/>
  <c r="J14" i="35" s="1"/>
  <c r="CT14" i="35"/>
  <c r="CV13" i="35"/>
  <c r="CW13" i="35" s="1"/>
  <c r="BP15" i="35"/>
  <c r="BN15" i="35"/>
  <c r="I16" i="35"/>
  <c r="BT16" i="35" s="1"/>
  <c r="CC16" i="35"/>
  <c r="H17" i="35"/>
  <c r="BQ15" i="35"/>
  <c r="BO15" i="35"/>
  <c r="BM15" i="35"/>
  <c r="B18" i="35"/>
  <c r="AB18" i="35"/>
  <c r="AD18" i="35"/>
  <c r="Z19" i="35"/>
  <c r="AC18" i="35"/>
  <c r="H18" i="35" s="1"/>
  <c r="AA18" i="35"/>
  <c r="A18" i="35"/>
  <c r="BZ18" i="35" s="1"/>
  <c r="CV14" i="35" l="1"/>
  <c r="CW14" i="35" s="1"/>
  <c r="M12" i="35"/>
  <c r="CX13" i="35"/>
  <c r="CX14" i="35" s="1"/>
  <c r="CY14" i="35" s="1"/>
  <c r="K14" i="35" s="1"/>
  <c r="CY12" i="35"/>
  <c r="K12" i="35" s="1"/>
  <c r="CU15" i="35"/>
  <c r="CV15" i="35" s="1"/>
  <c r="CW15" i="35" s="1"/>
  <c r="CT15" i="35"/>
  <c r="M13" i="35"/>
  <c r="CZ13" i="35"/>
  <c r="L13" i="35" s="1"/>
  <c r="CY13" i="35"/>
  <c r="K13" i="35" s="1"/>
  <c r="BS16" i="35"/>
  <c r="CD16" i="35"/>
  <c r="BN16" i="35" s="1"/>
  <c r="CE16" i="35"/>
  <c r="I17" i="35"/>
  <c r="CE17" i="35" s="1"/>
  <c r="CC17" i="35"/>
  <c r="BR16" i="35"/>
  <c r="I18" i="35"/>
  <c r="CE18" i="35" s="1"/>
  <c r="BM16" i="35"/>
  <c r="BO16" i="35"/>
  <c r="AD19" i="35"/>
  <c r="AB19" i="35"/>
  <c r="AA19" i="35"/>
  <c r="A19" i="35"/>
  <c r="BZ19" i="35" s="1"/>
  <c r="AC19" i="35"/>
  <c r="H19" i="35" s="1"/>
  <c r="Z20" i="35"/>
  <c r="B19" i="35"/>
  <c r="CX15" i="35" l="1"/>
  <c r="CY15" i="35" s="1"/>
  <c r="K15" i="35" s="1"/>
  <c r="J15" i="35"/>
  <c r="CI16" i="35"/>
  <c r="CZ14" i="35"/>
  <c r="L14" i="35" s="1"/>
  <c r="M14" i="35"/>
  <c r="CZ15" i="35"/>
  <c r="L15" i="35" s="1"/>
  <c r="CC18" i="35"/>
  <c r="CI18" i="35" s="1"/>
  <c r="BR18" i="35"/>
  <c r="BT18" i="35"/>
  <c r="CF16" i="35"/>
  <c r="BP16" i="35"/>
  <c r="CD17" i="35"/>
  <c r="CF17" i="35" s="1"/>
  <c r="BS17" i="35"/>
  <c r="BQ16" i="35"/>
  <c r="I19" i="35"/>
  <c r="CD18" i="35"/>
  <c r="BN18" i="35" s="1"/>
  <c r="BS18" i="35"/>
  <c r="BO17" i="35"/>
  <c r="BR17" i="35"/>
  <c r="BT17" i="35"/>
  <c r="M15" i="35"/>
  <c r="Z21" i="35"/>
  <c r="AC20" i="35"/>
  <c r="AB20" i="35"/>
  <c r="AD20" i="35"/>
  <c r="AA20" i="35"/>
  <c r="B20" i="35"/>
  <c r="A20" i="35"/>
  <c r="BZ20" i="35" s="1"/>
  <c r="BM17" i="35"/>
  <c r="CI17" i="35" l="1"/>
  <c r="CU16" i="35"/>
  <c r="CT16" i="35"/>
  <c r="CU17" i="35"/>
  <c r="CV17" i="35" s="1"/>
  <c r="CW17" i="35" s="1"/>
  <c r="CT17" i="35"/>
  <c r="CV16" i="35"/>
  <c r="CW16" i="35" s="1"/>
  <c r="BN17" i="35"/>
  <c r="BP17" i="35"/>
  <c r="BP18" i="35"/>
  <c r="CF18" i="35"/>
  <c r="BQ17" i="35"/>
  <c r="CD19" i="35"/>
  <c r="BP19" i="35" s="1"/>
  <c r="BS19" i="35"/>
  <c r="CE19" i="35"/>
  <c r="BT19" i="35"/>
  <c r="BQ18" i="35"/>
  <c r="H20" i="35"/>
  <c r="CC19" i="35"/>
  <c r="J16" i="35"/>
  <c r="BR19" i="35"/>
  <c r="BO18" i="35"/>
  <c r="AB21" i="35"/>
  <c r="A21" i="35"/>
  <c r="BZ21" i="35" s="1"/>
  <c r="B21" i="35"/>
  <c r="AA21" i="35"/>
  <c r="AC21" i="35"/>
  <c r="AD21" i="35"/>
  <c r="Z22" i="35"/>
  <c r="BM18" i="35"/>
  <c r="CX16" i="35" l="1"/>
  <c r="CX17" i="35" s="1"/>
  <c r="J17" i="35"/>
  <c r="BO19" i="35"/>
  <c r="CI19" i="35"/>
  <c r="CT18" i="35"/>
  <c r="CU18" i="35" s="1"/>
  <c r="CV18" i="35" s="1"/>
  <c r="CW18" i="35" s="1"/>
  <c r="M16" i="35"/>
  <c r="CY16" i="35"/>
  <c r="K16" i="35" s="1"/>
  <c r="CY17" i="35"/>
  <c r="K17" i="35" s="1"/>
  <c r="BM19" i="35"/>
  <c r="BN19" i="35"/>
  <c r="BQ19" i="35"/>
  <c r="H21" i="35"/>
  <c r="I20" i="35"/>
  <c r="CE20" i="35" s="1"/>
  <c r="CC20" i="35"/>
  <c r="CF19" i="35"/>
  <c r="AD22" i="35"/>
  <c r="AB22" i="35"/>
  <c r="AC22" i="35"/>
  <c r="B22" i="35"/>
  <c r="Z23" i="35"/>
  <c r="A22" i="35"/>
  <c r="BZ22" i="35" s="1"/>
  <c r="AA22" i="35"/>
  <c r="CX18" i="35" l="1"/>
  <c r="CY18" i="35" s="1"/>
  <c r="K18" i="35" s="1"/>
  <c r="CZ16" i="35"/>
  <c r="L16" i="35" s="1"/>
  <c r="CT19" i="35"/>
  <c r="CU19" i="35" s="1"/>
  <c r="M17" i="35"/>
  <c r="CZ17" i="35"/>
  <c r="L17" i="35" s="1"/>
  <c r="J18" i="35"/>
  <c r="H22" i="35"/>
  <c r="I22" i="35"/>
  <c r="CC22" i="35"/>
  <c r="CD20" i="35"/>
  <c r="BP20" i="35" s="1"/>
  <c r="BS20" i="35"/>
  <c r="I21" i="35"/>
  <c r="BR21" i="35" s="1"/>
  <c r="CC21" i="35"/>
  <c r="BM20" i="35"/>
  <c r="BT20" i="35"/>
  <c r="BO20" i="35"/>
  <c r="BR20" i="35"/>
  <c r="Z24" i="35"/>
  <c r="B23" i="35"/>
  <c r="AA23" i="35"/>
  <c r="AB23" i="35"/>
  <c r="A23" i="35"/>
  <c r="BZ23" i="35" s="1"/>
  <c r="AC23" i="35"/>
  <c r="AD23" i="35"/>
  <c r="CI20" i="35" l="1"/>
  <c r="CZ18" i="35"/>
  <c r="L18" i="35" s="1"/>
  <c r="M18" i="35"/>
  <c r="CV19" i="35"/>
  <c r="CW19" i="35" s="1"/>
  <c r="J19" i="35"/>
  <c r="BT21" i="35"/>
  <c r="CE22" i="35"/>
  <c r="CE21" i="35"/>
  <c r="BN20" i="35"/>
  <c r="CF20" i="35"/>
  <c r="BR22" i="35"/>
  <c r="BS22" i="35"/>
  <c r="CD22" i="35"/>
  <c r="CI22" i="35" s="1"/>
  <c r="BQ20" i="35"/>
  <c r="BM21" i="35"/>
  <c r="CD21" i="35"/>
  <c r="CI21" i="35" s="1"/>
  <c r="BS21" i="35"/>
  <c r="H23" i="35"/>
  <c r="BT22" i="35"/>
  <c r="BM22" i="35"/>
  <c r="BO21" i="35"/>
  <c r="A24" i="35"/>
  <c r="BZ24" i="35" s="1"/>
  <c r="B24" i="35"/>
  <c r="AD24" i="35"/>
  <c r="AB24" i="35"/>
  <c r="AA24" i="35"/>
  <c r="Z25" i="35"/>
  <c r="AC24" i="35"/>
  <c r="CX19" i="35" l="1"/>
  <c r="CZ19" i="35" s="1"/>
  <c r="L19" i="35" s="1"/>
  <c r="CU20" i="35"/>
  <c r="CT20" i="35"/>
  <c r="CF21" i="35"/>
  <c r="CF22" i="35"/>
  <c r="H24" i="35"/>
  <c r="BP22" i="35"/>
  <c r="I24" i="35"/>
  <c r="CE24" i="35" s="1"/>
  <c r="CC24" i="35"/>
  <c r="BN22" i="35"/>
  <c r="I23" i="35"/>
  <c r="BT23" i="35" s="1"/>
  <c r="CC23" i="35"/>
  <c r="BP21" i="35"/>
  <c r="BN21" i="35"/>
  <c r="BQ21" i="35"/>
  <c r="BQ22" i="35"/>
  <c r="BO22" i="35"/>
  <c r="Z26" i="35"/>
  <c r="AD25" i="35"/>
  <c r="A25" i="35"/>
  <c r="BZ25" i="35" s="1"/>
  <c r="B25" i="35"/>
  <c r="AB25" i="35"/>
  <c r="AC25" i="35"/>
  <c r="H25" i="35" s="1"/>
  <c r="AA25" i="35"/>
  <c r="M19" i="35" l="1"/>
  <c r="CY19" i="35"/>
  <c r="K19" i="35" s="1"/>
  <c r="BO23" i="35"/>
  <c r="CU21" i="35"/>
  <c r="J21" i="35" s="1"/>
  <c r="CT21" i="35"/>
  <c r="CU22" i="35"/>
  <c r="CV22" i="35" s="1"/>
  <c r="CW22" i="35" s="1"/>
  <c r="CT22" i="35"/>
  <c r="CV21" i="35"/>
  <c r="CW21" i="35" s="1"/>
  <c r="BT24" i="35"/>
  <c r="J22" i="35"/>
  <c r="CV20" i="35"/>
  <c r="CW20" i="35" s="1"/>
  <c r="CX20" i="35" s="1"/>
  <c r="CX21" i="35" s="1"/>
  <c r="CX22" i="35" s="1"/>
  <c r="J20" i="35"/>
  <c r="CD24" i="35"/>
  <c r="CF24" i="35" s="1"/>
  <c r="BS24" i="35"/>
  <c r="CE23" i="35"/>
  <c r="I25" i="35"/>
  <c r="CE25" i="35" s="1"/>
  <c r="BR23" i="35"/>
  <c r="CD23" i="35"/>
  <c r="CI23" i="35" s="1"/>
  <c r="BS23" i="35"/>
  <c r="AB26" i="35"/>
  <c r="B26" i="35"/>
  <c r="A26" i="35"/>
  <c r="BZ26" i="35" s="1"/>
  <c r="AC26" i="35"/>
  <c r="H26" i="35" s="1"/>
  <c r="AD26" i="35"/>
  <c r="Z27" i="35"/>
  <c r="AA26" i="35"/>
  <c r="BM23" i="35"/>
  <c r="BR24" i="35"/>
  <c r="BM24" i="35"/>
  <c r="CI24" i="35" l="1"/>
  <c r="CU24" i="35"/>
  <c r="CV24" i="35" s="1"/>
  <c r="CW24" i="35" s="1"/>
  <c r="CT24" i="35"/>
  <c r="CF23" i="35"/>
  <c r="CZ22" i="35"/>
  <c r="L22" i="35" s="1"/>
  <c r="BP23" i="35"/>
  <c r="CD25" i="35"/>
  <c r="BP25" i="35" s="1"/>
  <c r="BS25" i="35"/>
  <c r="BN24" i="35"/>
  <c r="BQ23" i="35"/>
  <c r="BP24" i="35"/>
  <c r="I26" i="35"/>
  <c r="CE26" i="35" s="1"/>
  <c r="BN23" i="35"/>
  <c r="BQ24" i="35"/>
  <c r="CC25" i="35"/>
  <c r="BR25" i="35"/>
  <c r="CZ20" i="35"/>
  <c r="L20" i="35" s="1"/>
  <c r="CY20" i="35"/>
  <c r="K20" i="35" s="1"/>
  <c r="M20" i="35"/>
  <c r="AB27" i="35"/>
  <c r="A27" i="35"/>
  <c r="BZ27" i="35" s="1"/>
  <c r="AA27" i="35"/>
  <c r="B27" i="35"/>
  <c r="Z28" i="35"/>
  <c r="AC27" i="35"/>
  <c r="AD27" i="35"/>
  <c r="BO24" i="35"/>
  <c r="BT25" i="35"/>
  <c r="CI25" i="35" l="1"/>
  <c r="CU23" i="35"/>
  <c r="CV23" i="35" s="1"/>
  <c r="CW23" i="35" s="1"/>
  <c r="CX23" i="35" s="1"/>
  <c r="CX24" i="35" s="1"/>
  <c r="CT23" i="35"/>
  <c r="CF25" i="35"/>
  <c r="CZ21" i="35"/>
  <c r="L21" i="35" s="1"/>
  <c r="H27" i="35"/>
  <c r="I27" i="35" s="1"/>
  <c r="CE27" i="35" s="1"/>
  <c r="CC26" i="35"/>
  <c r="BR26" i="35"/>
  <c r="BT26" i="35"/>
  <c r="CY21" i="35"/>
  <c r="K21" i="35" s="1"/>
  <c r="M22" i="35"/>
  <c r="M21" i="35"/>
  <c r="CY22" i="35"/>
  <c r="K22" i="35" s="1"/>
  <c r="BN25" i="35"/>
  <c r="CD26" i="35"/>
  <c r="BN26" i="35" s="1"/>
  <c r="BS26" i="35"/>
  <c r="A28" i="35"/>
  <c r="BZ28" i="35" s="1"/>
  <c r="AB28" i="35"/>
  <c r="Z29" i="35"/>
  <c r="B28" i="35"/>
  <c r="AA28" i="35"/>
  <c r="AD28" i="35"/>
  <c r="AC28" i="35"/>
  <c r="BQ25" i="35"/>
  <c r="BM25" i="35"/>
  <c r="BO25" i="35"/>
  <c r="J24" i="35"/>
  <c r="BM26" i="35" l="1"/>
  <c r="CI26" i="35"/>
  <c r="J23" i="35"/>
  <c r="CT25" i="35"/>
  <c r="CU25" i="35" s="1"/>
  <c r="J25" i="35" s="1"/>
  <c r="BO26" i="35"/>
  <c r="CC27" i="35"/>
  <c r="CY24" i="35"/>
  <c r="K24" i="35" s="1"/>
  <c r="CZ24" i="35"/>
  <c r="L24" i="35" s="1"/>
  <c r="CY23" i="35"/>
  <c r="K23" i="35" s="1"/>
  <c r="CZ23" i="35"/>
  <c r="L23" i="35" s="1"/>
  <c r="M23" i="35"/>
  <c r="BR27" i="35"/>
  <c r="BT27" i="35"/>
  <c r="CF26" i="35"/>
  <c r="CD27" i="35"/>
  <c r="BN27" i="35" s="1"/>
  <c r="BS27" i="35"/>
  <c r="BP26" i="35"/>
  <c r="H28" i="35"/>
  <c r="BQ26" i="35"/>
  <c r="M24" i="35"/>
  <c r="A29" i="35"/>
  <c r="BZ29" i="35" s="1"/>
  <c r="AB29" i="35"/>
  <c r="AA29" i="35"/>
  <c r="B29" i="35"/>
  <c r="Z30" i="35"/>
  <c r="AD29" i="35"/>
  <c r="AC29" i="35"/>
  <c r="CI27" i="35" l="1"/>
  <c r="CT26" i="35"/>
  <c r="CU26" i="35" s="1"/>
  <c r="CV25" i="35"/>
  <c r="CW25" i="35" s="1"/>
  <c r="CX25" i="35" s="1"/>
  <c r="BP27" i="35"/>
  <c r="CF27" i="35"/>
  <c r="I28" i="35"/>
  <c r="BT28" i="35" s="1"/>
  <c r="CC28" i="35"/>
  <c r="BQ27" i="35"/>
  <c r="H29" i="35"/>
  <c r="BM27" i="35"/>
  <c r="BO27" i="35"/>
  <c r="Z31" i="35"/>
  <c r="AA30" i="35"/>
  <c r="AB30" i="35"/>
  <c r="B30" i="35"/>
  <c r="A30" i="35"/>
  <c r="BZ30" i="35" s="1"/>
  <c r="AD30" i="35"/>
  <c r="AC30" i="35"/>
  <c r="BM28" i="35" l="1"/>
  <c r="CU27" i="35"/>
  <c r="CT27" i="35"/>
  <c r="CV26" i="35"/>
  <c r="CW26" i="35" s="1"/>
  <c r="J26" i="35"/>
  <c r="J27" i="35"/>
  <c r="CY25" i="35"/>
  <c r="K25" i="35" s="1"/>
  <c r="CZ25" i="35"/>
  <c r="L25" i="35" s="1"/>
  <c r="M25" i="35"/>
  <c r="I29" i="35"/>
  <c r="BR29" i="35" s="1"/>
  <c r="CC29" i="35"/>
  <c r="H30" i="35"/>
  <c r="CE28" i="35"/>
  <c r="BR28" i="35"/>
  <c r="CD28" i="35"/>
  <c r="BN28" i="35" s="1"/>
  <c r="BS28" i="35"/>
  <c r="BQ28" i="35"/>
  <c r="BO28" i="35"/>
  <c r="AB31" i="35"/>
  <c r="AC31" i="35"/>
  <c r="AD31" i="35"/>
  <c r="A31" i="35"/>
  <c r="BZ31" i="35" s="1"/>
  <c r="Z32" i="35"/>
  <c r="AA31" i="35"/>
  <c r="B31" i="35"/>
  <c r="CX26" i="35" l="1"/>
  <c r="CI28" i="35"/>
  <c r="CV27" i="35"/>
  <c r="CW27" i="35" s="1"/>
  <c r="CF28" i="35"/>
  <c r="BP28" i="35"/>
  <c r="I30" i="35"/>
  <c r="CE30" i="35" s="1"/>
  <c r="CC30" i="35"/>
  <c r="BT29" i="35"/>
  <c r="H31" i="35"/>
  <c r="CE29" i="35"/>
  <c r="BS29" i="35"/>
  <c r="CD29" i="35"/>
  <c r="BP29" i="35" s="1"/>
  <c r="A32" i="35"/>
  <c r="BZ32" i="35" s="1"/>
  <c r="AC32" i="35"/>
  <c r="H32" i="35" s="1"/>
  <c r="AD32" i="35"/>
  <c r="AA32" i="35"/>
  <c r="B32" i="35"/>
  <c r="Z33" i="35"/>
  <c r="AB32" i="35"/>
  <c r="BO29" i="35"/>
  <c r="BM29" i="35"/>
  <c r="CX27" i="35" l="1"/>
  <c r="CY27" i="35" s="1"/>
  <c r="K27" i="35" s="1"/>
  <c r="CZ26" i="35"/>
  <c r="L26" i="35" s="1"/>
  <c r="CY26" i="35"/>
  <c r="K26" i="35" s="1"/>
  <c r="M26" i="35"/>
  <c r="CI29" i="35"/>
  <c r="CU28" i="35"/>
  <c r="J28" i="35" s="1"/>
  <c r="CT28" i="35"/>
  <c r="CF29" i="35"/>
  <c r="BR30" i="35"/>
  <c r="I31" i="35"/>
  <c r="CE31" i="35" s="1"/>
  <c r="CC31" i="35"/>
  <c r="BT30" i="35"/>
  <c r="BN29" i="35"/>
  <c r="I32" i="35"/>
  <c r="CE32" i="35" s="1"/>
  <c r="CD30" i="35"/>
  <c r="BN30" i="35" s="1"/>
  <c r="BS30" i="35"/>
  <c r="BQ29" i="35"/>
  <c r="BO30" i="35"/>
  <c r="AB33" i="35"/>
  <c r="B33" i="35"/>
  <c r="Z34" i="35"/>
  <c r="AC33" i="35"/>
  <c r="H33" i="35" s="1"/>
  <c r="AA33" i="35"/>
  <c r="A33" i="35"/>
  <c r="BZ33" i="35" s="1"/>
  <c r="AD33" i="35"/>
  <c r="BM30" i="35"/>
  <c r="CV28" i="35" l="1"/>
  <c r="CW28" i="35" s="1"/>
  <c r="CZ27" i="35"/>
  <c r="L27" i="35" s="1"/>
  <c r="M27" i="35"/>
  <c r="CX28" i="35"/>
  <c r="M28" i="35" s="1"/>
  <c r="CI30" i="35"/>
  <c r="CU29" i="35"/>
  <c r="CT29" i="35"/>
  <c r="CV29" i="35"/>
  <c r="CW29" i="35" s="1"/>
  <c r="BR31" i="35"/>
  <c r="BT31" i="35"/>
  <c r="CF30" i="35"/>
  <c r="BP30" i="35"/>
  <c r="CD32" i="35"/>
  <c r="BP32" i="35" s="1"/>
  <c r="BS32" i="35"/>
  <c r="I33" i="35"/>
  <c r="BR33" i="35" s="1"/>
  <c r="BQ30" i="35"/>
  <c r="CD31" i="35"/>
  <c r="BN31" i="35" s="1"/>
  <c r="BS31" i="35"/>
  <c r="BQ31" i="35"/>
  <c r="J29" i="35"/>
  <c r="CC32" i="35"/>
  <c r="BM31" i="35"/>
  <c r="BR32" i="35"/>
  <c r="BT32" i="35"/>
  <c r="BO31" i="35"/>
  <c r="AC34" i="35"/>
  <c r="AB34" i="35"/>
  <c r="Z35" i="35"/>
  <c r="AD34" i="35"/>
  <c r="A34" i="35"/>
  <c r="BZ34" i="35" s="1"/>
  <c r="AA34" i="35"/>
  <c r="B34" i="35"/>
  <c r="CZ28" i="35" l="1"/>
  <c r="L28" i="35" s="1"/>
  <c r="CX29" i="35"/>
  <c r="CY28" i="35"/>
  <c r="K28" i="35" s="1"/>
  <c r="CF32" i="35"/>
  <c r="CT32" i="35" s="1"/>
  <c r="CU32" i="35" s="1"/>
  <c r="CV32" i="35" s="1"/>
  <c r="CW32" i="35" s="1"/>
  <c r="CI32" i="35"/>
  <c r="CI31" i="35"/>
  <c r="CU30" i="35"/>
  <c r="CV30" i="35" s="1"/>
  <c r="CW30" i="35" s="1"/>
  <c r="CT30" i="35"/>
  <c r="CC33" i="35"/>
  <c r="BT33" i="35"/>
  <c r="CE33" i="35"/>
  <c r="CF31" i="35"/>
  <c r="BN32" i="35"/>
  <c r="BP31" i="35"/>
  <c r="H34" i="35"/>
  <c r="CD33" i="35"/>
  <c r="BS33" i="35"/>
  <c r="BQ33" i="35"/>
  <c r="A35" i="35"/>
  <c r="BZ35" i="35" s="1"/>
  <c r="AA35" i="35"/>
  <c r="B35" i="35"/>
  <c r="AB35" i="35"/>
  <c r="AC35" i="35"/>
  <c r="AD35" i="35"/>
  <c r="Z36" i="35"/>
  <c r="BO32" i="35"/>
  <c r="BM32" i="35"/>
  <c r="BQ32" i="35"/>
  <c r="J30" i="35" l="1"/>
  <c r="CX30" i="35"/>
  <c r="CZ30" i="35" s="1"/>
  <c r="L30" i="35" s="1"/>
  <c r="M29" i="35"/>
  <c r="CY29" i="35"/>
  <c r="K29" i="35" s="1"/>
  <c r="CZ29" i="35"/>
  <c r="L29" i="35" s="1"/>
  <c r="BO33" i="35"/>
  <c r="CI33" i="35"/>
  <c r="CU31" i="35"/>
  <c r="J31" i="35" s="1"/>
  <c r="CT31" i="35"/>
  <c r="BM33" i="35"/>
  <c r="M30" i="35"/>
  <c r="CY30" i="35"/>
  <c r="K30" i="35" s="1"/>
  <c r="CF33" i="35"/>
  <c r="BN33" i="35"/>
  <c r="BP33" i="35"/>
  <c r="H35" i="35"/>
  <c r="I34" i="35"/>
  <c r="BT34" i="35" s="1"/>
  <c r="CC34" i="35"/>
  <c r="Z37" i="35"/>
  <c r="AB36" i="35"/>
  <c r="AC36" i="35"/>
  <c r="AD36" i="35"/>
  <c r="J32" i="35"/>
  <c r="BO34" i="35" l="1"/>
  <c r="CT33" i="35"/>
  <c r="CU33" i="35" s="1"/>
  <c r="CV31" i="35"/>
  <c r="CW31" i="35" s="1"/>
  <c r="CX31" i="35" s="1"/>
  <c r="CX32" i="35" s="1"/>
  <c r="CE34" i="35"/>
  <c r="H36" i="35"/>
  <c r="BR34" i="35"/>
  <c r="CD34" i="35"/>
  <c r="CI34" i="35" s="1"/>
  <c r="BS34" i="35"/>
  <c r="I35" i="35"/>
  <c r="CC35" i="35"/>
  <c r="BM34" i="35"/>
  <c r="B36" i="35"/>
  <c r="A36" i="35"/>
  <c r="BZ36" i="35" s="1"/>
  <c r="AA36" i="35"/>
  <c r="AC37" i="35"/>
  <c r="AB37" i="35"/>
  <c r="AD37" i="35"/>
  <c r="Z38" i="35"/>
  <c r="BO35" i="35" l="1"/>
  <c r="J33" i="35"/>
  <c r="CV33" i="35"/>
  <c r="CW33" i="35" s="1"/>
  <c r="CX33" i="35" s="1"/>
  <c r="CF34" i="35"/>
  <c r="CZ31" i="35"/>
  <c r="L31" i="35" s="1"/>
  <c r="CY31" i="35"/>
  <c r="K31" i="35" s="1"/>
  <c r="M31" i="35"/>
  <c r="BP34" i="35"/>
  <c r="BS35" i="35"/>
  <c r="CD35" i="35"/>
  <c r="BP35" i="35" s="1"/>
  <c r="BN34" i="35"/>
  <c r="BQ34" i="35"/>
  <c r="BR35" i="35"/>
  <c r="I36" i="35"/>
  <c r="CC36" i="35"/>
  <c r="H37" i="35"/>
  <c r="BT35" i="35"/>
  <c r="CE35" i="35"/>
  <c r="BM35" i="35"/>
  <c r="B37" i="35"/>
  <c r="AA37" i="35"/>
  <c r="A37" i="35"/>
  <c r="BZ37" i="35" s="1"/>
  <c r="AB38" i="35"/>
  <c r="AD38" i="35"/>
  <c r="AC38" i="35"/>
  <c r="Z39" i="36"/>
  <c r="CI35" i="35" l="1"/>
  <c r="CU34" i="35"/>
  <c r="CT34" i="35"/>
  <c r="CZ32" i="35"/>
  <c r="L32" i="35" s="1"/>
  <c r="CY32" i="35"/>
  <c r="K32" i="35" s="1"/>
  <c r="M32" i="35"/>
  <c r="BN35" i="35"/>
  <c r="CF35" i="35"/>
  <c r="H38" i="35"/>
  <c r="BQ36" i="35"/>
  <c r="CD36" i="35"/>
  <c r="CF36" i="35" s="1"/>
  <c r="BS36" i="35"/>
  <c r="I37" i="35"/>
  <c r="CC37" i="35"/>
  <c r="BR36" i="35"/>
  <c r="BQ35" i="35"/>
  <c r="BT36" i="35"/>
  <c r="CE36" i="35"/>
  <c r="CV34" i="35"/>
  <c r="CW34" i="35" s="1"/>
  <c r="CX34" i="35" s="1"/>
  <c r="J34" i="35"/>
  <c r="B38" i="35"/>
  <c r="AA38" i="35"/>
  <c r="Z40" i="35" s="1"/>
  <c r="Z41" i="36" s="1"/>
  <c r="O1" i="36" s="1"/>
  <c r="Z8" i="36" s="1"/>
  <c r="A38" i="35"/>
  <c r="BZ38" i="35" s="1"/>
  <c r="BO36" i="35"/>
  <c r="BM36" i="35"/>
  <c r="CI36" i="35" l="1"/>
  <c r="CU36" i="35"/>
  <c r="CT36" i="35"/>
  <c r="CU35" i="35"/>
  <c r="CV35" i="35" s="1"/>
  <c r="CW35" i="35" s="1"/>
  <c r="CX35" i="35" s="1"/>
  <c r="CT35" i="35"/>
  <c r="CY33" i="35"/>
  <c r="K33" i="35" s="1"/>
  <c r="CZ33" i="35"/>
  <c r="L33" i="35" s="1"/>
  <c r="M33" i="35"/>
  <c r="J35" i="35"/>
  <c r="CD37" i="35"/>
  <c r="CI37" i="35" s="1"/>
  <c r="BS37" i="35"/>
  <c r="BP36" i="35"/>
  <c r="BT37" i="35"/>
  <c r="BN36" i="35"/>
  <c r="CE37" i="35"/>
  <c r="I38" i="35"/>
  <c r="CE38" i="35" s="1"/>
  <c r="BO37" i="35"/>
  <c r="BR37" i="35"/>
  <c r="BM37" i="35"/>
  <c r="AC8" i="36"/>
  <c r="Z9" i="36"/>
  <c r="AD8" i="36"/>
  <c r="B8" i="36"/>
  <c r="AA8" i="36"/>
  <c r="A8" i="36"/>
  <c r="BZ8" i="36" s="1"/>
  <c r="AB8" i="36"/>
  <c r="CZ35" i="35" l="1"/>
  <c r="L35" i="35" s="1"/>
  <c r="H8" i="36"/>
  <c r="CC8" i="36" s="1"/>
  <c r="CF37" i="35"/>
  <c r="BR38" i="35"/>
  <c r="BR40" i="35" s="1"/>
  <c r="BT38" i="35"/>
  <c r="BT40" i="35" s="1"/>
  <c r="CZ34" i="35"/>
  <c r="L34" i="35" s="1"/>
  <c r="M35" i="35"/>
  <c r="CY35" i="35"/>
  <c r="K35" i="35" s="1"/>
  <c r="CY34" i="35"/>
  <c r="K34" i="35" s="1"/>
  <c r="M34" i="35"/>
  <c r="BP37" i="35"/>
  <c r="I8" i="36"/>
  <c r="CE8" i="36" s="1"/>
  <c r="CC38" i="35"/>
  <c r="BN37" i="35"/>
  <c r="CD38" i="35"/>
  <c r="BN38" i="35" s="1"/>
  <c r="BN40" i="35" s="1"/>
  <c r="BS38" i="35"/>
  <c r="BS40" i="35" s="1"/>
  <c r="BQ37" i="35"/>
  <c r="CV36" i="35"/>
  <c r="CW36" i="35" s="1"/>
  <c r="CX36" i="35" s="1"/>
  <c r="J36" i="35"/>
  <c r="AD9" i="36"/>
  <c r="A9" i="36"/>
  <c r="BZ9" i="36" s="1"/>
  <c r="AA9" i="36"/>
  <c r="AC9" i="36"/>
  <c r="H9" i="36" s="1"/>
  <c r="Z10" i="36"/>
  <c r="B9" i="36"/>
  <c r="AB9" i="36"/>
  <c r="CI38" i="35" l="1"/>
  <c r="BS42" i="35"/>
  <c r="N44" i="35" s="1"/>
  <c r="CU37" i="35"/>
  <c r="CT37" i="35"/>
  <c r="CF38" i="35"/>
  <c r="I9" i="36"/>
  <c r="CE9" i="36" s="1"/>
  <c r="CC9" i="36"/>
  <c r="BM38" i="35"/>
  <c r="BM40" i="35" s="1"/>
  <c r="BM42" i="35" s="1"/>
  <c r="N42" i="35" s="1"/>
  <c r="P42" i="35" s="1"/>
  <c r="R42" i="35" s="1"/>
  <c r="CZ36" i="35"/>
  <c r="L36" i="35" s="1"/>
  <c r="CY36" i="35"/>
  <c r="K36" i="35" s="1"/>
  <c r="BR8" i="36"/>
  <c r="BQ8" i="36"/>
  <c r="CD8" i="36"/>
  <c r="BN8" i="36" s="1"/>
  <c r="BS8" i="36"/>
  <c r="BO38" i="35"/>
  <c r="BO40" i="35" s="1"/>
  <c r="BP38" i="35"/>
  <c r="BP40" i="35" s="1"/>
  <c r="CV37" i="35"/>
  <c r="CW37" i="35" s="1"/>
  <c r="CX37" i="35" s="1"/>
  <c r="J37" i="35"/>
  <c r="M36" i="35"/>
  <c r="BQ38" i="35"/>
  <c r="BQ40" i="35" s="1"/>
  <c r="BQ42" i="35" s="1"/>
  <c r="N41" i="35" s="1"/>
  <c r="P41" i="35" s="1"/>
  <c r="R41" i="35" s="1"/>
  <c r="P44" i="35"/>
  <c r="R44" i="35" s="1"/>
  <c r="BT8" i="36"/>
  <c r="AD10" i="36"/>
  <c r="Z11" i="36"/>
  <c r="AB10" i="36"/>
  <c r="AA10" i="36"/>
  <c r="A10" i="36"/>
  <c r="BZ10" i="36" s="1"/>
  <c r="B10" i="36"/>
  <c r="AC10" i="36"/>
  <c r="H10" i="36" s="1"/>
  <c r="CI8" i="36" l="1"/>
  <c r="CU38" i="35"/>
  <c r="CV38" i="35" s="1"/>
  <c r="CW38" i="35" s="1"/>
  <c r="CX38" i="35" s="1"/>
  <c r="CT38" i="35"/>
  <c r="BR9" i="36"/>
  <c r="J38" i="35"/>
  <c r="BT9" i="36"/>
  <c r="CF8" i="36"/>
  <c r="I10" i="36"/>
  <c r="BR10" i="36" s="1"/>
  <c r="CC10" i="36"/>
  <c r="BO42" i="35"/>
  <c r="N43" i="35" s="1"/>
  <c r="P43" i="35" s="1"/>
  <c r="R43" i="35" s="1"/>
  <c r="BP8" i="36"/>
  <c r="CD9" i="36"/>
  <c r="BN9" i="36" s="1"/>
  <c r="BS9" i="36"/>
  <c r="BQ9" i="36"/>
  <c r="BM9" i="36"/>
  <c r="BO9" i="36"/>
  <c r="AC11" i="36"/>
  <c r="AA11" i="36"/>
  <c r="AB11" i="36"/>
  <c r="B11" i="36"/>
  <c r="A11" i="36"/>
  <c r="BZ11" i="36" s="1"/>
  <c r="AD11" i="36"/>
  <c r="Z12" i="36"/>
  <c r="BM8" i="36"/>
  <c r="BO8" i="36"/>
  <c r="CI9" i="36" l="1"/>
  <c r="CU8" i="36"/>
  <c r="CT8" i="36"/>
  <c r="M38" i="35"/>
  <c r="E3" i="36" s="1"/>
  <c r="G3" i="36" s="1"/>
  <c r="CV8" i="36"/>
  <c r="CW8" i="36" s="1"/>
  <c r="H11" i="36"/>
  <c r="I11" i="36" s="1"/>
  <c r="BT11" i="36" s="1"/>
  <c r="CZ37" i="35"/>
  <c r="L37" i="35" s="1"/>
  <c r="CY37" i="35"/>
  <c r="K37" i="35" s="1"/>
  <c r="M37" i="35"/>
  <c r="CF9" i="36"/>
  <c r="BP9" i="36"/>
  <c r="CE10" i="36"/>
  <c r="BS10" i="36"/>
  <c r="BQ10" i="36"/>
  <c r="CD10" i="36"/>
  <c r="BP10" i="36" s="1"/>
  <c r="BT10" i="36"/>
  <c r="BO10" i="36"/>
  <c r="BM10" i="36"/>
  <c r="AC12" i="36"/>
  <c r="B12" i="36"/>
  <c r="A12" i="36"/>
  <c r="BZ12" i="36" s="1"/>
  <c r="Z13" i="36"/>
  <c r="AA12" i="36"/>
  <c r="AB12" i="36"/>
  <c r="AD12" i="36"/>
  <c r="CI10" i="36" l="1"/>
  <c r="CT9" i="36"/>
  <c r="CU9" i="36" s="1"/>
  <c r="J8" i="36"/>
  <c r="CY38" i="35"/>
  <c r="K38" i="35" s="1"/>
  <c r="D3" i="36" s="1"/>
  <c r="CV3" i="36" s="1"/>
  <c r="CW3" i="36" s="1"/>
  <c r="CX8" i="36" s="1"/>
  <c r="CZ38" i="35"/>
  <c r="L38" i="35" s="1"/>
  <c r="CC11" i="36"/>
  <c r="BR11" i="36"/>
  <c r="CF10" i="36"/>
  <c r="BN10" i="36"/>
  <c r="BS11" i="36"/>
  <c r="BQ11" i="36"/>
  <c r="CD11" i="36"/>
  <c r="BN11" i="36" s="1"/>
  <c r="H12" i="36"/>
  <c r="CE11" i="36"/>
  <c r="AA13" i="36"/>
  <c r="B13" i="36"/>
  <c r="A13" i="36"/>
  <c r="BZ13" i="36" s="1"/>
  <c r="AD13" i="36"/>
  <c r="AC13" i="36"/>
  <c r="AB13" i="36"/>
  <c r="Z14" i="36"/>
  <c r="CI11" i="36" l="1"/>
  <c r="CT10" i="36"/>
  <c r="CU10" i="36" s="1"/>
  <c r="CV9" i="36"/>
  <c r="CW9" i="36" s="1"/>
  <c r="CX9" i="36" s="1"/>
  <c r="J9" i="36"/>
  <c r="M8" i="36"/>
  <c r="CZ8" i="36"/>
  <c r="L8" i="36" s="1"/>
  <c r="CY8" i="36"/>
  <c r="K8" i="36" s="1"/>
  <c r="CF11" i="36"/>
  <c r="DB11" i="36"/>
  <c r="AH11" i="36" s="1"/>
  <c r="AG40" i="36" s="1"/>
  <c r="BP11" i="36"/>
  <c r="H13" i="36"/>
  <c r="I12" i="36"/>
  <c r="BT12" i="36" s="1"/>
  <c r="CC12" i="36"/>
  <c r="BO11" i="36"/>
  <c r="BM11" i="36"/>
  <c r="AC14" i="36"/>
  <c r="B14" i="36"/>
  <c r="AD14" i="36"/>
  <c r="Z15" i="36"/>
  <c r="AB14" i="36"/>
  <c r="A14" i="36"/>
  <c r="BZ14" i="36" s="1"/>
  <c r="AA14" i="36"/>
  <c r="M9" i="36" l="1"/>
  <c r="CZ9" i="36"/>
  <c r="L9" i="36" s="1"/>
  <c r="CU11" i="36"/>
  <c r="CT11" i="36"/>
  <c r="CY9" i="36"/>
  <c r="K9" i="36" s="1"/>
  <c r="J10" i="36"/>
  <c r="CV10" i="36"/>
  <c r="CW10" i="36" s="1"/>
  <c r="CV11" i="36"/>
  <c r="CW11" i="36" s="1"/>
  <c r="CE12" i="36"/>
  <c r="BS12" i="36"/>
  <c r="BQ12" i="36"/>
  <c r="CD12" i="36"/>
  <c r="BP12" i="36" s="1"/>
  <c r="BR12" i="36"/>
  <c r="I13" i="36"/>
  <c r="BR13" i="36" s="1"/>
  <c r="CC13" i="36"/>
  <c r="H14" i="36"/>
  <c r="AG47" i="36"/>
  <c r="AG39" i="36"/>
  <c r="AG52" i="36"/>
  <c r="X8" i="36" s="1"/>
  <c r="DA11" i="36"/>
  <c r="BM12" i="36"/>
  <c r="BO12" i="36"/>
  <c r="AC15" i="36"/>
  <c r="H15" i="36" s="1"/>
  <c r="B15" i="36"/>
  <c r="AA15" i="36"/>
  <c r="Z16" i="36"/>
  <c r="A15" i="36"/>
  <c r="BZ15" i="36" s="1"/>
  <c r="AB15" i="36"/>
  <c r="AD15" i="36"/>
  <c r="CX10" i="36" l="1"/>
  <c r="CX11" i="36" s="1"/>
  <c r="CZ11" i="36" s="1"/>
  <c r="L11" i="36" s="1"/>
  <c r="CI12" i="36"/>
  <c r="CE13" i="36"/>
  <c r="BT13" i="36"/>
  <c r="J11" i="36"/>
  <c r="CF12" i="36"/>
  <c r="DB12" i="36"/>
  <c r="AI12" i="36" s="1"/>
  <c r="AH40" i="36" s="1"/>
  <c r="BS13" i="36"/>
  <c r="CD13" i="36"/>
  <c r="BN13" i="36" s="1"/>
  <c r="BN12" i="36"/>
  <c r="I15" i="36"/>
  <c r="CC15" i="36"/>
  <c r="I14" i="36"/>
  <c r="BT14" i="36" s="1"/>
  <c r="CC14" i="36"/>
  <c r="DB13" i="36"/>
  <c r="AJ13" i="36" s="1"/>
  <c r="AI40" i="36" s="1"/>
  <c r="BM13" i="36"/>
  <c r="BO13" i="36"/>
  <c r="Z17" i="36"/>
  <c r="AC16" i="36"/>
  <c r="H16" i="36" s="1"/>
  <c r="A16" i="36"/>
  <c r="BZ16" i="36" s="1"/>
  <c r="B16" i="36"/>
  <c r="AB16" i="36"/>
  <c r="AA16" i="36"/>
  <c r="AD16" i="36"/>
  <c r="CZ10" i="36" l="1"/>
  <c r="L10" i="36" s="1"/>
  <c r="M10" i="36"/>
  <c r="CY10" i="36"/>
  <c r="K10" i="36" s="1"/>
  <c r="BO14" i="36"/>
  <c r="CI13" i="36"/>
  <c r="CU12" i="36"/>
  <c r="CV12" i="36" s="1"/>
  <c r="CT12" i="36"/>
  <c r="M11" i="36"/>
  <c r="CY11" i="36"/>
  <c r="K11" i="36" s="1"/>
  <c r="CE15" i="36"/>
  <c r="BR15" i="36"/>
  <c r="CE14" i="36"/>
  <c r="BR14" i="36"/>
  <c r="CF13" i="36"/>
  <c r="BP13" i="36"/>
  <c r="BS14" i="36"/>
  <c r="CD14" i="36"/>
  <c r="CI14" i="36" s="1"/>
  <c r="BQ13" i="36"/>
  <c r="AI52" i="36"/>
  <c r="X10" i="36" s="1"/>
  <c r="AI47" i="36"/>
  <c r="AI39" i="36"/>
  <c r="I16" i="36"/>
  <c r="CE16" i="36" s="1"/>
  <c r="DB14" i="36"/>
  <c r="AK14" i="36" s="1"/>
  <c r="AJ40" i="36" s="1"/>
  <c r="BS15" i="36"/>
  <c r="CD15" i="36"/>
  <c r="BN15" i="36" s="1"/>
  <c r="AH52" i="36"/>
  <c r="X9" i="36" s="1"/>
  <c r="AH39" i="36"/>
  <c r="AH47" i="36"/>
  <c r="BM15" i="36"/>
  <c r="BT15" i="36"/>
  <c r="BM14" i="36"/>
  <c r="B17" i="36"/>
  <c r="AC17" i="36"/>
  <c r="H17" i="36" s="1"/>
  <c r="AD17" i="36"/>
  <c r="AB17" i="36"/>
  <c r="AA17" i="36"/>
  <c r="Z18" i="36"/>
  <c r="A17" i="36"/>
  <c r="BZ17" i="36" s="1"/>
  <c r="CI15" i="36" l="1"/>
  <c r="J12" i="36"/>
  <c r="CT13" i="36"/>
  <c r="CU13" i="36"/>
  <c r="CF14" i="36"/>
  <c r="CF15" i="36"/>
  <c r="BP15" i="36"/>
  <c r="BP14" i="36"/>
  <c r="BT16" i="36"/>
  <c r="BN14" i="36"/>
  <c r="BQ14" i="36"/>
  <c r="BR16" i="36"/>
  <c r="BS16" i="36"/>
  <c r="CD16" i="36"/>
  <c r="BN16" i="36" s="1"/>
  <c r="CW12" i="36"/>
  <c r="CX12" i="36" s="1"/>
  <c r="DA12" i="36"/>
  <c r="AJ52" i="36"/>
  <c r="X11" i="36" s="1"/>
  <c r="AJ47" i="36"/>
  <c r="AJ39" i="36"/>
  <c r="I17" i="36"/>
  <c r="BT17" i="36" s="1"/>
  <c r="CC16" i="36"/>
  <c r="BO15" i="36"/>
  <c r="BQ15" i="36"/>
  <c r="Z19" i="36"/>
  <c r="AC18" i="36"/>
  <c r="AA18" i="36"/>
  <c r="AB18" i="36"/>
  <c r="A18" i="36"/>
  <c r="BZ18" i="36" s="1"/>
  <c r="B18" i="36"/>
  <c r="AD18" i="36"/>
  <c r="CF16" i="36" l="1"/>
  <c r="CI16" i="36"/>
  <c r="CT16" i="36"/>
  <c r="CU16" i="36" s="1"/>
  <c r="CV16" i="36" s="1"/>
  <c r="CW16" i="36" s="1"/>
  <c r="CU15" i="36"/>
  <c r="CT15" i="36"/>
  <c r="CU14" i="36"/>
  <c r="CV14" i="36" s="1"/>
  <c r="CW14" i="36" s="1"/>
  <c r="CT14" i="36"/>
  <c r="CV15" i="36"/>
  <c r="CW15" i="36" s="1"/>
  <c r="H18" i="36"/>
  <c r="CC17" i="36"/>
  <c r="BR17" i="36"/>
  <c r="CE17" i="36"/>
  <c r="BP16" i="36"/>
  <c r="CV13" i="36"/>
  <c r="J13" i="36"/>
  <c r="CZ12" i="36"/>
  <c r="L12" i="36" s="1"/>
  <c r="CY12" i="36"/>
  <c r="K12" i="36" s="1"/>
  <c r="M12" i="36"/>
  <c r="DA14" i="36"/>
  <c r="BS17" i="36"/>
  <c r="CD17" i="36"/>
  <c r="BN17" i="36" s="1"/>
  <c r="BM16" i="36"/>
  <c r="BO16" i="36"/>
  <c r="BQ16" i="36"/>
  <c r="A19" i="36"/>
  <c r="BZ19" i="36" s="1"/>
  <c r="AB19" i="36"/>
  <c r="Z20" i="36"/>
  <c r="AC19" i="36"/>
  <c r="AA19" i="36"/>
  <c r="AD19" i="36"/>
  <c r="B19" i="36"/>
  <c r="J15" i="36"/>
  <c r="BO17" i="36" l="1"/>
  <c r="CI17" i="36"/>
  <c r="J14" i="36"/>
  <c r="BM17" i="36"/>
  <c r="CF17" i="36"/>
  <c r="I18" i="36"/>
  <c r="BR18" i="36" s="1"/>
  <c r="BP17" i="36"/>
  <c r="H19" i="36"/>
  <c r="CW13" i="36"/>
  <c r="CX13" i="36" s="1"/>
  <c r="CX14" i="36" s="1"/>
  <c r="CX15" i="36" s="1"/>
  <c r="CX16" i="36" s="1"/>
  <c r="DA13" i="36"/>
  <c r="BQ17" i="36"/>
  <c r="J16" i="36"/>
  <c r="AB20" i="36"/>
  <c r="A20" i="36"/>
  <c r="BZ20" i="36" s="1"/>
  <c r="AD20" i="36"/>
  <c r="AA20" i="36"/>
  <c r="AC20" i="36"/>
  <c r="B20" i="36"/>
  <c r="Z21" i="36"/>
  <c r="CT17" i="36" l="1"/>
  <c r="CU17" i="36" s="1"/>
  <c r="J17" i="36" s="1"/>
  <c r="BT18" i="36"/>
  <c r="CC18" i="36"/>
  <c r="M16" i="36"/>
  <c r="CY15" i="36"/>
  <c r="K15" i="36" s="1"/>
  <c r="CZ15" i="36"/>
  <c r="L15" i="36" s="1"/>
  <c r="M15" i="36"/>
  <c r="CY14" i="36"/>
  <c r="K14" i="36" s="1"/>
  <c r="M14" i="36"/>
  <c r="CZ14" i="36"/>
  <c r="L14" i="36" s="1"/>
  <c r="CZ13" i="36"/>
  <c r="L13" i="36" s="1"/>
  <c r="CY13" i="36"/>
  <c r="K13" i="36" s="1"/>
  <c r="M13" i="36"/>
  <c r="CE18" i="36"/>
  <c r="BS18" i="36"/>
  <c r="CD18" i="36"/>
  <c r="I19" i="36"/>
  <c r="BT19" i="36" s="1"/>
  <c r="CC19" i="36"/>
  <c r="H20" i="36"/>
  <c r="DB18" i="36"/>
  <c r="AL18" i="36" s="1"/>
  <c r="AK40" i="36" s="1"/>
  <c r="B21" i="36"/>
  <c r="A21" i="36"/>
  <c r="BZ21" i="36" s="1"/>
  <c r="Z22" i="36"/>
  <c r="AB21" i="36"/>
  <c r="AD21" i="36"/>
  <c r="AA21" i="36"/>
  <c r="AC21" i="36"/>
  <c r="BM19" i="36" l="1"/>
  <c r="BO18" i="36"/>
  <c r="CI18" i="36"/>
  <c r="CV17" i="36"/>
  <c r="CW17" i="36" s="1"/>
  <c r="CX17" i="36" s="1"/>
  <c r="BM18" i="36"/>
  <c r="CF18" i="36"/>
  <c r="CZ16" i="36"/>
  <c r="L16" i="36" s="1"/>
  <c r="CY16" i="36"/>
  <c r="K16" i="36" s="1"/>
  <c r="BN18" i="36"/>
  <c r="BP18" i="36"/>
  <c r="BQ18" i="36"/>
  <c r="H21" i="36"/>
  <c r="I20" i="36"/>
  <c r="BR20" i="36" s="1"/>
  <c r="CC20" i="36"/>
  <c r="BS19" i="36"/>
  <c r="CD19" i="36"/>
  <c r="BN19" i="36" s="1"/>
  <c r="CE19" i="36"/>
  <c r="AK39" i="36"/>
  <c r="AK52" i="36"/>
  <c r="X12" i="36" s="1"/>
  <c r="AK47" i="36"/>
  <c r="BR19" i="36"/>
  <c r="BO19" i="36"/>
  <c r="BQ19" i="36"/>
  <c r="Z23" i="36"/>
  <c r="AC22" i="36"/>
  <c r="A22" i="36"/>
  <c r="BZ22" i="36" s="1"/>
  <c r="AA22" i="36"/>
  <c r="AD22" i="36"/>
  <c r="B22" i="36"/>
  <c r="AB22" i="36"/>
  <c r="CI19" i="36" l="1"/>
  <c r="CU18" i="36"/>
  <c r="CT18" i="36"/>
  <c r="CZ17" i="36"/>
  <c r="L17" i="36" s="1"/>
  <c r="CY17" i="36"/>
  <c r="K17" i="36" s="1"/>
  <c r="M17" i="36"/>
  <c r="BT20" i="36"/>
  <c r="CE20" i="36"/>
  <c r="I21" i="36"/>
  <c r="BR21" i="36" s="1"/>
  <c r="CC21" i="36"/>
  <c r="DB21" i="36"/>
  <c r="AO21" i="36" s="1"/>
  <c r="AN40" i="36" s="1"/>
  <c r="DB19" i="36"/>
  <c r="AM19" i="36" s="1"/>
  <c r="AL40" i="36" s="1"/>
  <c r="BO20" i="36"/>
  <c r="CF19" i="36"/>
  <c r="BP19" i="36"/>
  <c r="BS20" i="36"/>
  <c r="CD20" i="36"/>
  <c r="CI20" i="36" s="1"/>
  <c r="CV18" i="36"/>
  <c r="J18" i="36"/>
  <c r="H22" i="36"/>
  <c r="DB20" i="36"/>
  <c r="AN20" i="36" s="1"/>
  <c r="AM40" i="36" s="1"/>
  <c r="BM20" i="36"/>
  <c r="Z24" i="36"/>
  <c r="AC23" i="36"/>
  <c r="H23" i="36" s="1"/>
  <c r="AA23" i="36"/>
  <c r="AD23" i="36"/>
  <c r="A23" i="36"/>
  <c r="BZ23" i="36" s="1"/>
  <c r="B23" i="36"/>
  <c r="AB23" i="36"/>
  <c r="CU19" i="36" l="1"/>
  <c r="CT19" i="36"/>
  <c r="BT21" i="36"/>
  <c r="CF20" i="36"/>
  <c r="CE21" i="36"/>
  <c r="BN20" i="36"/>
  <c r="BP20" i="36"/>
  <c r="AN52" i="36"/>
  <c r="X15" i="36" s="1"/>
  <c r="AN47" i="36"/>
  <c r="AN39" i="36"/>
  <c r="BO21" i="36"/>
  <c r="BQ20" i="36"/>
  <c r="CD21" i="36"/>
  <c r="BP21" i="36" s="1"/>
  <c r="BS21" i="36"/>
  <c r="I22" i="36"/>
  <c r="BR22" i="36" s="1"/>
  <c r="CC22" i="36"/>
  <c r="I23" i="36"/>
  <c r="CW18" i="36"/>
  <c r="CX18" i="36" s="1"/>
  <c r="DA18" i="36"/>
  <c r="AL47" i="36"/>
  <c r="AL39" i="36"/>
  <c r="AL52" i="36"/>
  <c r="X13" i="36" s="1"/>
  <c r="AM39" i="36"/>
  <c r="AM47" i="36"/>
  <c r="AM52" i="36"/>
  <c r="X14" i="36" s="1"/>
  <c r="BM21" i="36"/>
  <c r="AC24" i="36"/>
  <c r="H24" i="36" s="1"/>
  <c r="AA24" i="36"/>
  <c r="AD24" i="36"/>
  <c r="AB24" i="36"/>
  <c r="Z25" i="36"/>
  <c r="A24" i="36"/>
  <c r="BZ24" i="36" s="1"/>
  <c r="B24" i="36"/>
  <c r="CI21" i="36" l="1"/>
  <c r="CU20" i="36"/>
  <c r="CT20" i="36"/>
  <c r="BT22" i="36"/>
  <c r="CF21" i="36"/>
  <c r="BN21" i="36"/>
  <c r="CD23" i="36"/>
  <c r="BP23" i="36" s="1"/>
  <c r="BS23" i="36"/>
  <c r="BQ21" i="36"/>
  <c r="CE22" i="36"/>
  <c r="CE23" i="36"/>
  <c r="CV19" i="36"/>
  <c r="J19" i="36"/>
  <c r="BS22" i="36"/>
  <c r="CD22" i="36"/>
  <c r="BN22" i="36" s="1"/>
  <c r="CZ18" i="36"/>
  <c r="L18" i="36" s="1"/>
  <c r="CY18" i="36"/>
  <c r="K18" i="36" s="1"/>
  <c r="M18" i="36"/>
  <c r="BT23" i="36"/>
  <c r="CV20" i="36"/>
  <c r="J20" i="36"/>
  <c r="I24" i="36"/>
  <c r="BR24" i="36" s="1"/>
  <c r="BR23" i="36"/>
  <c r="CC23" i="36"/>
  <c r="BM22" i="36"/>
  <c r="AD25" i="36"/>
  <c r="A25" i="36"/>
  <c r="BZ25" i="36" s="1"/>
  <c r="AB25" i="36"/>
  <c r="B25" i="36"/>
  <c r="AA25" i="36"/>
  <c r="Z26" i="36"/>
  <c r="AC25" i="36"/>
  <c r="BO22" i="36"/>
  <c r="CI23" i="36" l="1"/>
  <c r="CI22" i="36"/>
  <c r="CT21" i="36"/>
  <c r="CU21" i="36"/>
  <c r="CV21" i="36" s="1"/>
  <c r="CW21" i="36" s="1"/>
  <c r="CF23" i="36"/>
  <c r="DA21" i="36"/>
  <c r="H25" i="36"/>
  <c r="BT24" i="36"/>
  <c r="CF22" i="36"/>
  <c r="CC24" i="36"/>
  <c r="BP22" i="36"/>
  <c r="CE24" i="36"/>
  <c r="BN23" i="36"/>
  <c r="CD24" i="36"/>
  <c r="BN24" i="36" s="1"/>
  <c r="BS24" i="36"/>
  <c r="BQ22" i="36"/>
  <c r="CW20" i="36"/>
  <c r="DA20" i="36"/>
  <c r="CW19" i="36"/>
  <c r="CX19" i="36" s="1"/>
  <c r="CX20" i="36" s="1"/>
  <c r="DA19" i="36"/>
  <c r="BQ23" i="36"/>
  <c r="A26" i="36"/>
  <c r="BZ26" i="36" s="1"/>
  <c r="AB26" i="36"/>
  <c r="AA26" i="36"/>
  <c r="Z27" i="36"/>
  <c r="AC26" i="36"/>
  <c r="AD26" i="36"/>
  <c r="B26" i="36"/>
  <c r="BM23" i="36"/>
  <c r="BO23" i="36"/>
  <c r="J21" i="36" l="1"/>
  <c r="CX21" i="36"/>
  <c r="CY21" i="36" s="1"/>
  <c r="K21" i="36" s="1"/>
  <c r="CI24" i="36"/>
  <c r="CT23" i="36"/>
  <c r="CU23" i="36" s="1"/>
  <c r="CU22" i="36"/>
  <c r="CV22" i="36" s="1"/>
  <c r="CW22" i="36" s="1"/>
  <c r="CT22" i="36"/>
  <c r="J22" i="36"/>
  <c r="BQ24" i="36"/>
  <c r="CF24" i="36"/>
  <c r="CY19" i="36"/>
  <c r="K19" i="36" s="1"/>
  <c r="CZ19" i="36"/>
  <c r="L19" i="36" s="1"/>
  <c r="M19" i="36"/>
  <c r="I25" i="36"/>
  <c r="BR25" i="36" s="1"/>
  <c r="CC25" i="36"/>
  <c r="BM24" i="36"/>
  <c r="BO24" i="36"/>
  <c r="BP24" i="36"/>
  <c r="H26" i="36"/>
  <c r="CZ20" i="36"/>
  <c r="L20" i="36" s="1"/>
  <c r="CY20" i="36"/>
  <c r="K20" i="36" s="1"/>
  <c r="M20" i="36"/>
  <c r="CZ21" i="36"/>
  <c r="L21" i="36" s="1"/>
  <c r="AB27" i="36"/>
  <c r="B27" i="36"/>
  <c r="Z28" i="36"/>
  <c r="A27" i="36"/>
  <c r="BZ27" i="36" s="1"/>
  <c r="AD27" i="36"/>
  <c r="AA27" i="36"/>
  <c r="AC27" i="36"/>
  <c r="M21" i="36" l="1"/>
  <c r="CX22" i="36"/>
  <c r="CZ22" i="36" s="1"/>
  <c r="L22" i="36" s="1"/>
  <c r="CT24" i="36"/>
  <c r="CU24" i="36" s="1"/>
  <c r="J23" i="36"/>
  <c r="CV23" i="36"/>
  <c r="CW23" i="36" s="1"/>
  <c r="CE25" i="36"/>
  <c r="DB25" i="36"/>
  <c r="AP25" i="36" s="1"/>
  <c r="AO40" i="36" s="1"/>
  <c r="BT25" i="36"/>
  <c r="I26" i="36"/>
  <c r="BR26" i="36" s="1"/>
  <c r="CC26" i="36"/>
  <c r="DB26" i="36"/>
  <c r="AQ26" i="36" s="1"/>
  <c r="AP40" i="36" s="1"/>
  <c r="H27" i="36"/>
  <c r="CD25" i="36"/>
  <c r="CI25" i="36" s="1"/>
  <c r="BS25" i="36"/>
  <c r="BO25" i="36"/>
  <c r="BM25" i="36"/>
  <c r="AD28" i="36"/>
  <c r="A28" i="36"/>
  <c r="BZ28" i="36" s="1"/>
  <c r="B28" i="36"/>
  <c r="Z29" i="36"/>
  <c r="AA28" i="36"/>
  <c r="AB28" i="36"/>
  <c r="AC28" i="36"/>
  <c r="M22" i="36" l="1"/>
  <c r="CY22" i="36"/>
  <c r="K22" i="36" s="1"/>
  <c r="CX23" i="36"/>
  <c r="CY23" i="36" s="1"/>
  <c r="K23" i="36" s="1"/>
  <c r="J24" i="36"/>
  <c r="CV24" i="36"/>
  <c r="CW24" i="36" s="1"/>
  <c r="CF25" i="36"/>
  <c r="H28" i="36"/>
  <c r="BT26" i="36"/>
  <c r="CE26" i="36"/>
  <c r="BN25" i="36"/>
  <c r="BP25" i="36"/>
  <c r="I27" i="36"/>
  <c r="CE27" i="36" s="1"/>
  <c r="CC27" i="36"/>
  <c r="DB27" i="36"/>
  <c r="AR27" i="36" s="1"/>
  <c r="AQ40" i="36" s="1"/>
  <c r="CD26" i="36"/>
  <c r="BN26" i="36" s="1"/>
  <c r="BS26" i="36"/>
  <c r="AP52" i="36"/>
  <c r="X17" i="36" s="1"/>
  <c r="AP47" i="36"/>
  <c r="AP39" i="36"/>
  <c r="AO52" i="36"/>
  <c r="X16" i="36" s="1"/>
  <c r="AO39" i="36"/>
  <c r="AO47" i="36"/>
  <c r="I28" i="36"/>
  <c r="CE28" i="36" s="1"/>
  <c r="CC28" i="36"/>
  <c r="BO26" i="36"/>
  <c r="BQ25" i="36"/>
  <c r="A29" i="36"/>
  <c r="BZ29" i="36" s="1"/>
  <c r="AC29" i="36"/>
  <c r="AB29" i="36"/>
  <c r="Z30" i="36"/>
  <c r="B29" i="36"/>
  <c r="AA29" i="36"/>
  <c r="AD29" i="36"/>
  <c r="BM26" i="36"/>
  <c r="M23" i="36" l="1"/>
  <c r="CX24" i="36"/>
  <c r="M24" i="36" s="1"/>
  <c r="CZ23" i="36"/>
  <c r="L23" i="36" s="1"/>
  <c r="CI26" i="36"/>
  <c r="CT25" i="36"/>
  <c r="CU25" i="36"/>
  <c r="CV25" i="36" s="1"/>
  <c r="BR27" i="36"/>
  <c r="BT27" i="36"/>
  <c r="CF26" i="36"/>
  <c r="AQ52" i="36"/>
  <c r="X18" i="36" s="1"/>
  <c r="AQ39" i="36"/>
  <c r="AQ47" i="36"/>
  <c r="BR28" i="36"/>
  <c r="BT28" i="36"/>
  <c r="CD27" i="36"/>
  <c r="BN27" i="36" s="1"/>
  <c r="BS27" i="36"/>
  <c r="BQ26" i="36"/>
  <c r="H29" i="36"/>
  <c r="BP26" i="36"/>
  <c r="CD28" i="36"/>
  <c r="BP28" i="36" s="1"/>
  <c r="BS28" i="36"/>
  <c r="BQ28" i="36"/>
  <c r="B30" i="36"/>
  <c r="A30" i="36"/>
  <c r="BZ30" i="36" s="1"/>
  <c r="AB30" i="36"/>
  <c r="AA30" i="36"/>
  <c r="AC30" i="36"/>
  <c r="H30" i="36" s="1"/>
  <c r="AD30" i="36"/>
  <c r="Z31" i="36"/>
  <c r="BM27" i="36"/>
  <c r="BM28" i="36"/>
  <c r="BO27" i="36"/>
  <c r="CY24" i="36" l="1"/>
  <c r="K24" i="36" s="1"/>
  <c r="J25" i="36"/>
  <c r="CZ24" i="36"/>
  <c r="L24" i="36" s="1"/>
  <c r="CI27" i="36"/>
  <c r="CI28" i="36"/>
  <c r="CU26" i="36"/>
  <c r="CT26" i="36"/>
  <c r="BP27" i="36"/>
  <c r="CF27" i="36"/>
  <c r="CF28" i="36"/>
  <c r="I29" i="36"/>
  <c r="CE29" i="36" s="1"/>
  <c r="CC29" i="36"/>
  <c r="BN28" i="36"/>
  <c r="BQ27" i="36"/>
  <c r="CW25" i="36"/>
  <c r="CX25" i="36" s="1"/>
  <c r="DA25" i="36"/>
  <c r="I30" i="36"/>
  <c r="CE30" i="36" s="1"/>
  <c r="CC30" i="36"/>
  <c r="DB28" i="36"/>
  <c r="AS28" i="36" s="1"/>
  <c r="AR40" i="36" s="1"/>
  <c r="DA39" i="36"/>
  <c r="BO28" i="36"/>
  <c r="AC31" i="36"/>
  <c r="H31" i="36" s="1"/>
  <c r="AB31" i="36"/>
  <c r="AA31" i="36"/>
  <c r="A31" i="36"/>
  <c r="BZ31" i="36" s="1"/>
  <c r="AD31" i="36"/>
  <c r="B31" i="36"/>
  <c r="Z32" i="36"/>
  <c r="CU27" i="36" l="1"/>
  <c r="CT27" i="36"/>
  <c r="CU28" i="36"/>
  <c r="CT28" i="36"/>
  <c r="DA41" i="36"/>
  <c r="BT29" i="36"/>
  <c r="BR29" i="36"/>
  <c r="I31" i="36"/>
  <c r="CE31" i="36" s="1"/>
  <c r="BT31" i="36"/>
  <c r="CC31" i="36"/>
  <c r="BS30" i="36"/>
  <c r="CD30" i="36"/>
  <c r="CF30" i="36" s="1"/>
  <c r="CY25" i="36"/>
  <c r="K25" i="36" s="1"/>
  <c r="CZ25" i="36"/>
  <c r="L25" i="36" s="1"/>
  <c r="M25" i="36"/>
  <c r="AR52" i="36"/>
  <c r="X19" i="36" s="1"/>
  <c r="AR47" i="36"/>
  <c r="AR39" i="36"/>
  <c r="AG44" i="36"/>
  <c r="AR41" i="36" s="1"/>
  <c r="CV27" i="36"/>
  <c r="J27" i="36"/>
  <c r="CV26" i="36"/>
  <c r="J26" i="36"/>
  <c r="CD29" i="36"/>
  <c r="CF29" i="36" s="1"/>
  <c r="BS29" i="36"/>
  <c r="BM29" i="36"/>
  <c r="BR30" i="36"/>
  <c r="BT30" i="36"/>
  <c r="CV28" i="36"/>
  <c r="AB32" i="36"/>
  <c r="A32" i="36"/>
  <c r="BZ32" i="36" s="1"/>
  <c r="AD32" i="36"/>
  <c r="Z33" i="36"/>
  <c r="AA32" i="36"/>
  <c r="B32" i="36"/>
  <c r="AC32" i="36"/>
  <c r="BO29" i="36"/>
  <c r="CI29" i="36" l="1"/>
  <c r="CI30" i="36"/>
  <c r="CU29" i="36"/>
  <c r="CT29" i="36"/>
  <c r="CT30" i="36"/>
  <c r="CU30" i="36" s="1"/>
  <c r="CV29" i="36"/>
  <c r="CW29" i="36" s="1"/>
  <c r="DA42" i="36"/>
  <c r="S3" i="36" s="1"/>
  <c r="H32" i="36"/>
  <c r="I32" i="36" s="1"/>
  <c r="BR31" i="36"/>
  <c r="BP30" i="36"/>
  <c r="BN29" i="36"/>
  <c r="BP29" i="36"/>
  <c r="CC32" i="36"/>
  <c r="BN30" i="36"/>
  <c r="CW26" i="36"/>
  <c r="CX26" i="36" s="1"/>
  <c r="DA26" i="36"/>
  <c r="CW28" i="36"/>
  <c r="DA28" i="36"/>
  <c r="J28" i="36"/>
  <c r="BQ29" i="36"/>
  <c r="BS31" i="36"/>
  <c r="CD31" i="36"/>
  <c r="CF31" i="36" s="1"/>
  <c r="CW27" i="36"/>
  <c r="DA27" i="36"/>
  <c r="BC42" i="36"/>
  <c r="AG48" i="36"/>
  <c r="AR49" i="36" s="1"/>
  <c r="Y19" i="36" s="1"/>
  <c r="AV41" i="36"/>
  <c r="AX41" i="36"/>
  <c r="BH42" i="36"/>
  <c r="AS42" i="36"/>
  <c r="BF41" i="36"/>
  <c r="BI42" i="36"/>
  <c r="AW42" i="36"/>
  <c r="BH41" i="36"/>
  <c r="BC41" i="36"/>
  <c r="AW41" i="36"/>
  <c r="BA41" i="36"/>
  <c r="AY41" i="36"/>
  <c r="BD41" i="36"/>
  <c r="BJ42" i="36"/>
  <c r="AZ42" i="36"/>
  <c r="BA42" i="36"/>
  <c r="AV42" i="36"/>
  <c r="BJ41" i="36"/>
  <c r="BB41" i="36"/>
  <c r="AS41" i="36"/>
  <c r="BG42" i="36"/>
  <c r="AT41" i="36"/>
  <c r="X38" i="36"/>
  <c r="BE41" i="36"/>
  <c r="BG41" i="36"/>
  <c r="BF42" i="36"/>
  <c r="AT42" i="36"/>
  <c r="BI41" i="36"/>
  <c r="AY42" i="36"/>
  <c r="BE42" i="36"/>
  <c r="AU41" i="36"/>
  <c r="AG50" i="36"/>
  <c r="Y38" i="36" s="1"/>
  <c r="BB42" i="36"/>
  <c r="AG45" i="36"/>
  <c r="AU42" i="36"/>
  <c r="AX42" i="36"/>
  <c r="AZ41" i="36"/>
  <c r="BD42" i="36"/>
  <c r="AG41" i="36"/>
  <c r="AG42" i="36"/>
  <c r="AH42" i="36"/>
  <c r="AI42" i="36"/>
  <c r="AI41" i="36"/>
  <c r="AH41" i="36"/>
  <c r="AJ41" i="36"/>
  <c r="AJ42" i="36"/>
  <c r="AK42" i="36"/>
  <c r="AK41" i="36"/>
  <c r="AM42" i="36"/>
  <c r="AM41" i="36"/>
  <c r="AL42" i="36"/>
  <c r="AN41" i="36"/>
  <c r="AN42" i="36"/>
  <c r="AL41" i="36"/>
  <c r="AP41" i="36"/>
  <c r="AO42" i="36"/>
  <c r="AO41" i="36"/>
  <c r="AP42" i="36"/>
  <c r="AQ42" i="36"/>
  <c r="AQ41" i="36"/>
  <c r="AR42" i="36"/>
  <c r="BM31" i="36"/>
  <c r="BO31" i="36"/>
  <c r="BQ30" i="36"/>
  <c r="AB33" i="36"/>
  <c r="A33" i="36"/>
  <c r="BZ33" i="36" s="1"/>
  <c r="Z34" i="36"/>
  <c r="B33" i="36"/>
  <c r="AA33" i="36"/>
  <c r="AD33" i="36"/>
  <c r="AC33" i="36"/>
  <c r="BM30" i="36"/>
  <c r="J29" i="36"/>
  <c r="BO30" i="36"/>
  <c r="BQ31" i="36"/>
  <c r="CX27" i="36" l="1"/>
  <c r="CX28" i="36" s="1"/>
  <c r="CX29" i="36" s="1"/>
  <c r="CI31" i="36"/>
  <c r="CT31" i="36"/>
  <c r="CU31" i="36" s="1"/>
  <c r="CV30" i="36"/>
  <c r="CW30" i="36" s="1"/>
  <c r="J30" i="36"/>
  <c r="BP31" i="36"/>
  <c r="CY26" i="36"/>
  <c r="K26" i="36" s="1"/>
  <c r="CZ26" i="36"/>
  <c r="L26" i="36" s="1"/>
  <c r="M26" i="36"/>
  <c r="BN31" i="36"/>
  <c r="AG43" i="36"/>
  <c r="BR32" i="36"/>
  <c r="CE32" i="36"/>
  <c r="H33" i="36"/>
  <c r="AL49" i="36"/>
  <c r="Y13" i="36" s="1"/>
  <c r="BC49" i="36"/>
  <c r="Y30" i="36" s="1"/>
  <c r="BB49" i="36"/>
  <c r="Y29" i="36" s="1"/>
  <c r="BG49" i="36"/>
  <c r="Y34" i="36" s="1"/>
  <c r="AU49" i="36"/>
  <c r="Y22" i="36" s="1"/>
  <c r="BA49" i="36"/>
  <c r="Y28" i="36" s="1"/>
  <c r="AY49" i="36"/>
  <c r="Y26" i="36" s="1"/>
  <c r="BH49" i="36"/>
  <c r="Y35" i="36" s="1"/>
  <c r="BD49" i="36"/>
  <c r="Y31" i="36" s="1"/>
  <c r="AX49" i="36"/>
  <c r="Y25" i="36" s="1"/>
  <c r="BF49" i="36"/>
  <c r="Y33" i="36" s="1"/>
  <c r="BI49" i="36"/>
  <c r="Y36" i="36" s="1"/>
  <c r="AZ49" i="36"/>
  <c r="Y27" i="36" s="1"/>
  <c r="AT49" i="36"/>
  <c r="Y21" i="36" s="1"/>
  <c r="AS49" i="36"/>
  <c r="Y20" i="36" s="1"/>
  <c r="BJ49" i="36"/>
  <c r="Y37" i="36" s="1"/>
  <c r="AV49" i="36"/>
  <c r="Y23" i="36" s="1"/>
  <c r="BE49" i="36"/>
  <c r="Y32" i="36" s="1"/>
  <c r="AW49" i="36"/>
  <c r="Y24" i="36" s="1"/>
  <c r="AG49" i="36"/>
  <c r="Y8" i="36" s="1"/>
  <c r="AI49" i="36"/>
  <c r="Y10" i="36" s="1"/>
  <c r="AH49" i="36"/>
  <c r="Y9" i="36" s="1"/>
  <c r="AJ49" i="36"/>
  <c r="Y11" i="36" s="1"/>
  <c r="AK49" i="36"/>
  <c r="Y12" i="36" s="1"/>
  <c r="AN49" i="36"/>
  <c r="Y15" i="36" s="1"/>
  <c r="AM49" i="36"/>
  <c r="Y14" i="36" s="1"/>
  <c r="AP49" i="36"/>
  <c r="Y17" i="36" s="1"/>
  <c r="AO49" i="36"/>
  <c r="Y16" i="36" s="1"/>
  <c r="AQ49" i="36"/>
  <c r="Y18" i="36" s="1"/>
  <c r="CD32" i="36"/>
  <c r="CI32" i="36" s="1"/>
  <c r="BS32" i="36"/>
  <c r="BT32" i="36"/>
  <c r="Z35" i="36"/>
  <c r="AA34" i="36"/>
  <c r="A34" i="36"/>
  <c r="BZ34" i="36" s="1"/>
  <c r="AB34" i="36"/>
  <c r="B34" i="36"/>
  <c r="AC34" i="36"/>
  <c r="AD34" i="36"/>
  <c r="CX30" i="36" l="1"/>
  <c r="CV31" i="36"/>
  <c r="CW31" i="36" s="1"/>
  <c r="J31" i="36"/>
  <c r="CY27" i="36"/>
  <c r="K27" i="36" s="1"/>
  <c r="CF32" i="36"/>
  <c r="M27" i="36"/>
  <c r="CZ27" i="36"/>
  <c r="L27" i="36" s="1"/>
  <c r="M28" i="36"/>
  <c r="M29" i="36"/>
  <c r="CY30" i="36"/>
  <c r="K30" i="36" s="1"/>
  <c r="CZ30" i="36"/>
  <c r="L30" i="36" s="1"/>
  <c r="CZ29" i="36"/>
  <c r="L29" i="36" s="1"/>
  <c r="CZ28" i="36"/>
  <c r="L28" i="36" s="1"/>
  <c r="CY29" i="36"/>
  <c r="K29" i="36" s="1"/>
  <c r="CY28" i="36"/>
  <c r="K28" i="36" s="1"/>
  <c r="BN32" i="36"/>
  <c r="BP32" i="36"/>
  <c r="I33" i="36"/>
  <c r="CC33" i="36"/>
  <c r="H34" i="36"/>
  <c r="BQ32" i="36"/>
  <c r="BO32" i="36"/>
  <c r="BM32" i="36"/>
  <c r="M30" i="36"/>
  <c r="B35" i="36"/>
  <c r="AC35" i="36"/>
  <c r="AB35" i="36"/>
  <c r="AD35" i="36"/>
  <c r="A35" i="36"/>
  <c r="BZ35" i="36" s="1"/>
  <c r="AA35" i="36"/>
  <c r="Z36" i="36"/>
  <c r="CX31" i="36" l="1"/>
  <c r="CY31" i="36" s="1"/>
  <c r="K31" i="36" s="1"/>
  <c r="CU32" i="36"/>
  <c r="CT32" i="36"/>
  <c r="CV32" i="36"/>
  <c r="CW32" i="36" s="1"/>
  <c r="BS33" i="36"/>
  <c r="CD33" i="36"/>
  <c r="CI33" i="36" s="1"/>
  <c r="BQ33" i="36"/>
  <c r="BT33" i="36"/>
  <c r="CE33" i="36"/>
  <c r="H35" i="36"/>
  <c r="BR33" i="36"/>
  <c r="I34" i="36"/>
  <c r="BR34" i="36" s="1"/>
  <c r="CC34" i="36"/>
  <c r="BM33" i="36"/>
  <c r="BO33" i="36"/>
  <c r="AB36" i="36"/>
  <c r="Z37" i="36"/>
  <c r="AC36" i="36"/>
  <c r="AD36" i="36"/>
  <c r="M31" i="36" l="1"/>
  <c r="CX32" i="36"/>
  <c r="CZ32" i="36" s="1"/>
  <c r="L32" i="36" s="1"/>
  <c r="CZ31" i="36"/>
  <c r="L31" i="36" s="1"/>
  <c r="BM34" i="36"/>
  <c r="J32" i="36"/>
  <c r="CF33" i="36"/>
  <c r="BP33" i="36"/>
  <c r="CE34" i="36"/>
  <c r="BN33" i="36"/>
  <c r="H36" i="36"/>
  <c r="I35" i="36"/>
  <c r="BT35" i="36" s="1"/>
  <c r="CC35" i="36"/>
  <c r="BT34" i="36"/>
  <c r="CD34" i="36"/>
  <c r="BN34" i="36" s="1"/>
  <c r="BS34" i="36"/>
  <c r="BO34" i="36"/>
  <c r="Z38" i="36"/>
  <c r="AC37" i="36"/>
  <c r="H37" i="36" s="1"/>
  <c r="AD37" i="36"/>
  <c r="AB37" i="36"/>
  <c r="AA36" i="36"/>
  <c r="B36" i="36"/>
  <c r="A36" i="36"/>
  <c r="BZ36" i="36" s="1"/>
  <c r="M32" i="36" l="1"/>
  <c r="CY32" i="36"/>
  <c r="K32" i="36" s="1"/>
  <c r="CI34" i="36"/>
  <c r="CU33" i="36"/>
  <c r="CV33" i="36" s="1"/>
  <c r="CW33" i="36" s="1"/>
  <c r="CT33" i="36"/>
  <c r="J33" i="36"/>
  <c r="BP34" i="36"/>
  <c r="CF34" i="36"/>
  <c r="BR35" i="36"/>
  <c r="BQ35" i="36"/>
  <c r="CD35" i="36"/>
  <c r="CI35" i="36" s="1"/>
  <c r="BS35" i="36"/>
  <c r="I36" i="36"/>
  <c r="CE35" i="36"/>
  <c r="BQ34" i="36"/>
  <c r="I37" i="36"/>
  <c r="CC37" i="36" s="1"/>
  <c r="BO35" i="36"/>
  <c r="BM35" i="36"/>
  <c r="A37" i="36"/>
  <c r="BZ37" i="36" s="1"/>
  <c r="B37" i="36"/>
  <c r="AA37" i="36"/>
  <c r="AB38" i="36"/>
  <c r="Z39" i="37"/>
  <c r="AD38" i="36"/>
  <c r="AC38" i="36"/>
  <c r="H38" i="36" s="1"/>
  <c r="CX33" i="36" l="1"/>
  <c r="CY33" i="36" s="1"/>
  <c r="K33" i="36" s="1"/>
  <c r="CU34" i="36"/>
  <c r="CV34" i="36" s="1"/>
  <c r="CW34" i="36" s="1"/>
  <c r="CT34" i="36"/>
  <c r="CF35" i="36"/>
  <c r="BN35" i="36"/>
  <c r="BP35" i="36"/>
  <c r="BS36" i="36"/>
  <c r="CD36" i="36"/>
  <c r="BN36" i="36" s="1"/>
  <c r="BR37" i="36"/>
  <c r="BT37" i="36"/>
  <c r="CD37" i="36"/>
  <c r="BN37" i="36" s="1"/>
  <c r="BS37" i="36"/>
  <c r="CE36" i="36"/>
  <c r="CE37" i="36"/>
  <c r="BR36" i="36"/>
  <c r="I38" i="36"/>
  <c r="CC36" i="36"/>
  <c r="BT36" i="36"/>
  <c r="A38" i="36"/>
  <c r="BZ38" i="36" s="1"/>
  <c r="B38" i="36"/>
  <c r="AA38" i="36"/>
  <c r="Z40" i="36" s="1"/>
  <c r="Z41" i="37" s="1"/>
  <c r="O1" i="37" s="1"/>
  <c r="Z8" i="37" s="1"/>
  <c r="CX34" i="36" l="1"/>
  <c r="M34" i="36" s="1"/>
  <c r="CZ33" i="36"/>
  <c r="L33" i="36" s="1"/>
  <c r="M33" i="36"/>
  <c r="CI37" i="36"/>
  <c r="CI36" i="36"/>
  <c r="CU35" i="36"/>
  <c r="J35" i="36" s="1"/>
  <c r="CT35" i="36"/>
  <c r="J34" i="36"/>
  <c r="CV35" i="36"/>
  <c r="CW35" i="36" s="1"/>
  <c r="CF36" i="36"/>
  <c r="BP36" i="36"/>
  <c r="BO36" i="36"/>
  <c r="CD38" i="36"/>
  <c r="BN38" i="36" s="1"/>
  <c r="BN40" i="36" s="1"/>
  <c r="BS38" i="36"/>
  <c r="BS40" i="36" s="1"/>
  <c r="BP37" i="36"/>
  <c r="CF37" i="36"/>
  <c r="BQ36" i="36"/>
  <c r="BM36" i="36"/>
  <c r="CC38" i="36"/>
  <c r="CI38" i="36" s="1"/>
  <c r="CE38" i="36"/>
  <c r="BT38" i="36"/>
  <c r="BT40" i="36" s="1"/>
  <c r="AC8" i="37"/>
  <c r="AB8" i="37"/>
  <c r="A8" i="37"/>
  <c r="BZ8" i="37" s="1"/>
  <c r="AA8" i="37"/>
  <c r="B8" i="37"/>
  <c r="Z9" i="37"/>
  <c r="AD8" i="37"/>
  <c r="BR38" i="36"/>
  <c r="BR40" i="36" s="1"/>
  <c r="BM37" i="36"/>
  <c r="BO37" i="36"/>
  <c r="BQ37" i="36"/>
  <c r="CZ34" i="36" l="1"/>
  <c r="L34" i="36" s="1"/>
  <c r="CY34" i="36"/>
  <c r="K34" i="36" s="1"/>
  <c r="CX35" i="36"/>
  <c r="CY35" i="36" s="1"/>
  <c r="K35" i="36" s="1"/>
  <c r="CT37" i="36"/>
  <c r="CU37" i="36" s="1"/>
  <c r="CU36" i="36"/>
  <c r="J36" i="36" s="1"/>
  <c r="CT36" i="36"/>
  <c r="BP38" i="36"/>
  <c r="BP40" i="36" s="1"/>
  <c r="CF38" i="36"/>
  <c r="H8" i="37"/>
  <c r="BQ38" i="36"/>
  <c r="BO38" i="36"/>
  <c r="BO40" i="36" s="1"/>
  <c r="BM38" i="36"/>
  <c r="BM40" i="36" s="1"/>
  <c r="BM42" i="36" s="1"/>
  <c r="N42" i="36" s="1"/>
  <c r="P42" i="36" s="1"/>
  <c r="R42" i="36" s="1"/>
  <c r="A9" i="37"/>
  <c r="BZ9" i="37" s="1"/>
  <c r="AC9" i="37"/>
  <c r="AB9" i="37"/>
  <c r="AA9" i="37"/>
  <c r="Z10" i="37"/>
  <c r="AD9" i="37"/>
  <c r="B9" i="37"/>
  <c r="BS42" i="36"/>
  <c r="N44" i="36" s="1"/>
  <c r="BQ40" i="36"/>
  <c r="BQ42" i="36" s="1"/>
  <c r="N41" i="36" s="1"/>
  <c r="CZ35" i="36" l="1"/>
  <c r="L35" i="36" s="1"/>
  <c r="M35" i="36"/>
  <c r="CT38" i="36"/>
  <c r="CU38" i="36" s="1"/>
  <c r="J37" i="36"/>
  <c r="CV37" i="36"/>
  <c r="CW37" i="36" s="1"/>
  <c r="CV36" i="36"/>
  <c r="CW36" i="36" s="1"/>
  <c r="CX36" i="36" s="1"/>
  <c r="BO42" i="36"/>
  <c r="N43" i="36" s="1"/>
  <c r="P43" i="36" s="1"/>
  <c r="R43" i="36" s="1"/>
  <c r="I8" i="37"/>
  <c r="BT8" i="37" s="1"/>
  <c r="CC8" i="37"/>
  <c r="BR8" i="37"/>
  <c r="CE8" i="37"/>
  <c r="H9" i="37"/>
  <c r="P41" i="36"/>
  <c r="R41" i="36" s="1"/>
  <c r="P44" i="36"/>
  <c r="R44" i="36" s="1"/>
  <c r="AB10" i="37"/>
  <c r="A10" i="37"/>
  <c r="BZ10" i="37" s="1"/>
  <c r="Z11" i="37"/>
  <c r="AC10" i="37"/>
  <c r="AD10" i="37"/>
  <c r="B10" i="37"/>
  <c r="AA10" i="37"/>
  <c r="CX37" i="36" l="1"/>
  <c r="CV38" i="36"/>
  <c r="CW38" i="36" s="1"/>
  <c r="J38" i="36"/>
  <c r="M36" i="36"/>
  <c r="CY36" i="36"/>
  <c r="K36" i="36" s="1"/>
  <c r="CZ36" i="36"/>
  <c r="L36" i="36" s="1"/>
  <c r="H10" i="37"/>
  <c r="I9" i="37"/>
  <c r="BT9" i="37" s="1"/>
  <c r="CC9" i="37"/>
  <c r="BS8" i="37"/>
  <c r="BQ8" i="37"/>
  <c r="CD8" i="37"/>
  <c r="CF8" i="37" s="1"/>
  <c r="BM8" i="37"/>
  <c r="BO8" i="37"/>
  <c r="AC11" i="37"/>
  <c r="AA11" i="37"/>
  <c r="A11" i="37"/>
  <c r="BZ11" i="37" s="1"/>
  <c r="Z12" i="37"/>
  <c r="B11" i="37"/>
  <c r="AB11" i="37"/>
  <c r="AD11" i="37"/>
  <c r="CX38" i="36" l="1"/>
  <c r="BM9" i="37"/>
  <c r="CI8" i="37"/>
  <c r="CT8" i="37"/>
  <c r="CU8" i="37" s="1"/>
  <c r="CY37" i="36"/>
  <c r="K37" i="36" s="1"/>
  <c r="CZ37" i="36"/>
  <c r="L37" i="36" s="1"/>
  <c r="M37" i="36"/>
  <c r="BN8" i="37"/>
  <c r="BP8" i="37"/>
  <c r="CE9" i="37"/>
  <c r="BR9" i="37"/>
  <c r="H11" i="37"/>
  <c r="BS9" i="37"/>
  <c r="BQ9" i="37"/>
  <c r="CD9" i="37"/>
  <c r="BN9" i="37" s="1"/>
  <c r="I10" i="37"/>
  <c r="CC10" i="37"/>
  <c r="AB12" i="37"/>
  <c r="Z13" i="37"/>
  <c r="AD12" i="37"/>
  <c r="A12" i="37"/>
  <c r="BZ12" i="37" s="1"/>
  <c r="B12" i="37"/>
  <c r="AC12" i="37"/>
  <c r="AA12" i="37"/>
  <c r="BO9" i="37"/>
  <c r="CI9" i="37" l="1"/>
  <c r="CV8" i="37"/>
  <c r="CW8" i="37" s="1"/>
  <c r="J8" i="37"/>
  <c r="CY38" i="36"/>
  <c r="K38" i="36" s="1"/>
  <c r="D3" i="37" s="1"/>
  <c r="CV3" i="37" s="1"/>
  <c r="CZ38" i="36"/>
  <c r="L38" i="36" s="1"/>
  <c r="M38" i="36"/>
  <c r="E3" i="37" s="1"/>
  <c r="G3" i="37" s="1"/>
  <c r="BP9" i="37"/>
  <c r="CD10" i="37"/>
  <c r="BN10" i="37" s="1"/>
  <c r="BQ10" i="37"/>
  <c r="BS10" i="37"/>
  <c r="CF9" i="37"/>
  <c r="I11" i="37"/>
  <c r="CE11" i="37" s="1"/>
  <c r="CC11" i="37"/>
  <c r="BR10" i="37"/>
  <c r="H12" i="37"/>
  <c r="BT10" i="37"/>
  <c r="CE10" i="37"/>
  <c r="BM10" i="37"/>
  <c r="BO10" i="37"/>
  <c r="AB13" i="37"/>
  <c r="A13" i="37"/>
  <c r="BZ13" i="37" s="1"/>
  <c r="AA13" i="37"/>
  <c r="AD13" i="37"/>
  <c r="AC13" i="37"/>
  <c r="H13" i="37" s="1"/>
  <c r="B13" i="37"/>
  <c r="Z14" i="37"/>
  <c r="CI10" i="37" l="1"/>
  <c r="CU9" i="37"/>
  <c r="CT9" i="37"/>
  <c r="CW3" i="37"/>
  <c r="BT11" i="37"/>
  <c r="BP10" i="37"/>
  <c r="CF10" i="37"/>
  <c r="CD11" i="37"/>
  <c r="CF11" i="37" s="1"/>
  <c r="BS11" i="37"/>
  <c r="I12" i="37"/>
  <c r="BR12" i="37" s="1"/>
  <c r="CC12" i="37"/>
  <c r="I13" i="37"/>
  <c r="CE13" i="37" s="1"/>
  <c r="CC13" i="37"/>
  <c r="BR11" i="37"/>
  <c r="AD14" i="37"/>
  <c r="AB14" i="37"/>
  <c r="B14" i="37"/>
  <c r="AA14" i="37"/>
  <c r="A14" i="37"/>
  <c r="BZ14" i="37" s="1"/>
  <c r="Z15" i="37"/>
  <c r="AC14" i="37"/>
  <c r="H14" i="37" s="1"/>
  <c r="BO11" i="37"/>
  <c r="BM11" i="37"/>
  <c r="CX8" i="37" l="1"/>
  <c r="CI11" i="37"/>
  <c r="CU11" i="37"/>
  <c r="CT11" i="37"/>
  <c r="CU10" i="37"/>
  <c r="CV10" i="37" s="1"/>
  <c r="CW10" i="37" s="1"/>
  <c r="CT10" i="37"/>
  <c r="CV11" i="37"/>
  <c r="CW11" i="37" s="1"/>
  <c r="CE12" i="37"/>
  <c r="BT12" i="37"/>
  <c r="BR13" i="37"/>
  <c r="BP11" i="37"/>
  <c r="BN11" i="37"/>
  <c r="CV9" i="37"/>
  <c r="CW9" i="37" s="1"/>
  <c r="J9" i="37"/>
  <c r="BT13" i="37"/>
  <c r="BQ11" i="37"/>
  <c r="I14" i="37"/>
  <c r="CC14" i="37"/>
  <c r="BT14" i="37"/>
  <c r="BR14" i="37"/>
  <c r="BO12" i="37"/>
  <c r="BM12" i="37"/>
  <c r="CD12" i="37"/>
  <c r="CI12" i="37" s="1"/>
  <c r="BS12" i="37"/>
  <c r="BO13" i="37"/>
  <c r="CD13" i="37"/>
  <c r="BN13" i="37" s="1"/>
  <c r="BS13" i="37"/>
  <c r="BQ13" i="37"/>
  <c r="A15" i="37"/>
  <c r="BZ15" i="37" s="1"/>
  <c r="B15" i="37"/>
  <c r="Z16" i="37"/>
  <c r="AB15" i="37"/>
  <c r="AA15" i="37"/>
  <c r="AD15" i="37"/>
  <c r="AC15" i="37"/>
  <c r="BM13" i="37"/>
  <c r="CX9" i="37" l="1"/>
  <c r="CX10" i="37" s="1"/>
  <c r="CX11" i="37" s="1"/>
  <c r="CY11" i="37" s="1"/>
  <c r="M8" i="37"/>
  <c r="CY8" i="37"/>
  <c r="K8" i="37" s="1"/>
  <c r="CZ8" i="37"/>
  <c r="L8" i="37" s="1"/>
  <c r="J10" i="37"/>
  <c r="CI13" i="37"/>
  <c r="CF12" i="37"/>
  <c r="H15" i="37"/>
  <c r="J11" i="37"/>
  <c r="BP12" i="37"/>
  <c r="BN12" i="37"/>
  <c r="CF13" i="37"/>
  <c r="BP13" i="37"/>
  <c r="CD14" i="37"/>
  <c r="CF14" i="37" s="1"/>
  <c r="BS14" i="37"/>
  <c r="BQ14" i="37"/>
  <c r="BQ12" i="37"/>
  <c r="I15" i="37"/>
  <c r="CC15" i="37"/>
  <c r="CE14" i="37"/>
  <c r="BO14" i="37"/>
  <c r="Z17" i="37"/>
  <c r="AD16" i="37"/>
  <c r="B16" i="37"/>
  <c r="A16" i="37"/>
  <c r="BZ16" i="37" s="1"/>
  <c r="AA16" i="37"/>
  <c r="AB16" i="37"/>
  <c r="AC16" i="37"/>
  <c r="BM14" i="37"/>
  <c r="CI14" i="37" l="1"/>
  <c r="CT14" i="37"/>
  <c r="CU14" i="37" s="1"/>
  <c r="CT13" i="37"/>
  <c r="CU13" i="37" s="1"/>
  <c r="CV13" i="37" s="1"/>
  <c r="CW13" i="37" s="1"/>
  <c r="CU12" i="37"/>
  <c r="CT12" i="37"/>
  <c r="H16" i="37"/>
  <c r="CE15" i="37"/>
  <c r="CZ9" i="37"/>
  <c r="L9" i="37" s="1"/>
  <c r="CY10" i="37"/>
  <c r="K10" i="37" s="1"/>
  <c r="CZ10" i="37"/>
  <c r="L10" i="37" s="1"/>
  <c r="CY9" i="37"/>
  <c r="K9" i="37" s="1"/>
  <c r="CZ11" i="37"/>
  <c r="L11" i="37" s="1"/>
  <c r="M10" i="37"/>
  <c r="M9" i="37"/>
  <c r="BP14" i="37"/>
  <c r="BN14" i="37"/>
  <c r="CD15" i="37"/>
  <c r="CI15" i="37" s="1"/>
  <c r="I16" i="37"/>
  <c r="CC16" i="37"/>
  <c r="BT15" i="37"/>
  <c r="K11" i="37"/>
  <c r="M11" i="37"/>
  <c r="BS15" i="37"/>
  <c r="BR15" i="37"/>
  <c r="Z18" i="37"/>
  <c r="A17" i="37"/>
  <c r="BZ17" i="37" s="1"/>
  <c r="AC17" i="37"/>
  <c r="AB17" i="37"/>
  <c r="B17" i="37"/>
  <c r="AA17" i="37"/>
  <c r="AD17" i="37"/>
  <c r="CV14" i="37" l="1"/>
  <c r="CW14" i="37" s="1"/>
  <c r="J14" i="37"/>
  <c r="CV12" i="37"/>
  <c r="CW12" i="37" s="1"/>
  <c r="J12" i="37"/>
  <c r="CF15" i="37"/>
  <c r="J13" i="37"/>
  <c r="BN15" i="37"/>
  <c r="BP15" i="37"/>
  <c r="CD16" i="37"/>
  <c r="BP16" i="37" s="1"/>
  <c r="BS16" i="37"/>
  <c r="BR16" i="37"/>
  <c r="BT16" i="37"/>
  <c r="H17" i="37"/>
  <c r="BQ15" i="37"/>
  <c r="CE16" i="37"/>
  <c r="BM15" i="37"/>
  <c r="BO15" i="37"/>
  <c r="Z19" i="37"/>
  <c r="AC18" i="37"/>
  <c r="B18" i="37"/>
  <c r="AB18" i="37"/>
  <c r="AD18" i="37"/>
  <c r="AA18" i="37"/>
  <c r="A18" i="37"/>
  <c r="BZ18" i="37" s="1"/>
  <c r="BM16" i="37"/>
  <c r="CX12" i="37" l="1"/>
  <c r="CX13" i="37" s="1"/>
  <c r="CX14" i="37" s="1"/>
  <c r="CY14" i="37" s="1"/>
  <c r="CI16" i="37"/>
  <c r="CU15" i="37"/>
  <c r="J15" i="37" s="1"/>
  <c r="CT15" i="37"/>
  <c r="H18" i="37"/>
  <c r="BN16" i="37"/>
  <c r="CF16" i="37"/>
  <c r="I18" i="37"/>
  <c r="CC18" i="37" s="1"/>
  <c r="BQ16" i="37"/>
  <c r="I17" i="37"/>
  <c r="CC17" i="37"/>
  <c r="BO16" i="37"/>
  <c r="AB19" i="37"/>
  <c r="AD19" i="37"/>
  <c r="Z20" i="37"/>
  <c r="A19" i="37"/>
  <c r="BZ19" i="37" s="1"/>
  <c r="AC19" i="37"/>
  <c r="B19" i="37"/>
  <c r="AA19" i="37"/>
  <c r="CV15" i="37" l="1"/>
  <c r="CW15" i="37" s="1"/>
  <c r="CZ13" i="37"/>
  <c r="L13" i="37" s="1"/>
  <c r="CY13" i="37"/>
  <c r="K13" i="37" s="1"/>
  <c r="M13" i="37"/>
  <c r="CZ12" i="37"/>
  <c r="L12" i="37" s="1"/>
  <c r="CY12" i="37"/>
  <c r="K12" i="37" s="1"/>
  <c r="M12" i="37"/>
  <c r="CX15" i="37"/>
  <c r="CY15" i="37" s="1"/>
  <c r="K15" i="37" s="1"/>
  <c r="CZ14" i="37"/>
  <c r="L14" i="37" s="1"/>
  <c r="BM17" i="37"/>
  <c r="CU16" i="37"/>
  <c r="CV16" i="37" s="1"/>
  <c r="CW16" i="37" s="1"/>
  <c r="CT16" i="37"/>
  <c r="CE18" i="37"/>
  <c r="H19" i="37"/>
  <c r="CD18" i="37"/>
  <c r="CF18" i="37" s="1"/>
  <c r="BS18" i="37"/>
  <c r="BS17" i="37"/>
  <c r="CD17" i="37"/>
  <c r="BP17" i="37" s="1"/>
  <c r="CE17" i="37"/>
  <c r="BR17" i="37"/>
  <c r="BT17" i="37"/>
  <c r="M14" i="37"/>
  <c r="K14" i="37"/>
  <c r="BO17" i="37"/>
  <c r="BR18" i="37"/>
  <c r="BT18" i="37"/>
  <c r="AB20" i="37"/>
  <c r="AD20" i="37"/>
  <c r="AC20" i="37"/>
  <c r="H20" i="37" s="1"/>
  <c r="Z21" i="37"/>
  <c r="B20" i="37"/>
  <c r="A20" i="37"/>
  <c r="BZ20" i="37" s="1"/>
  <c r="AA20" i="37"/>
  <c r="CZ15" i="37" l="1"/>
  <c r="L15" i="37" s="1"/>
  <c r="CX16" i="37"/>
  <c r="M16" i="37" s="1"/>
  <c r="M15" i="37"/>
  <c r="CI18" i="37"/>
  <c r="CI17" i="37"/>
  <c r="CT18" i="37"/>
  <c r="CU18" i="37" s="1"/>
  <c r="CV18" i="37" s="1"/>
  <c r="CW18" i="37" s="1"/>
  <c r="J16" i="37"/>
  <c r="BN18" i="37"/>
  <c r="BP18" i="37"/>
  <c r="BN17" i="37"/>
  <c r="I20" i="37"/>
  <c r="BR20" i="37" s="1"/>
  <c r="CC20" i="37"/>
  <c r="BQ17" i="37"/>
  <c r="CF17" i="37"/>
  <c r="I19" i="37"/>
  <c r="CE19" i="37" s="1"/>
  <c r="CC19" i="37"/>
  <c r="BQ18" i="37"/>
  <c r="BO18" i="37"/>
  <c r="AC21" i="37"/>
  <c r="H21" i="37" s="1"/>
  <c r="B21" i="37"/>
  <c r="A21" i="37"/>
  <c r="BZ21" i="37" s="1"/>
  <c r="AD21" i="37"/>
  <c r="Z22" i="37"/>
  <c r="AA21" i="37"/>
  <c r="AB21" i="37"/>
  <c r="BM18" i="37"/>
  <c r="CY16" i="37" l="1"/>
  <c r="K16" i="37" s="1"/>
  <c r="CZ16" i="37"/>
  <c r="L16" i="37" s="1"/>
  <c r="BO19" i="37"/>
  <c r="CU17" i="37"/>
  <c r="CT17" i="37"/>
  <c r="BT20" i="37"/>
  <c r="CE20" i="37"/>
  <c r="CD19" i="37"/>
  <c r="BN19" i="37" s="1"/>
  <c r="BS19" i="37"/>
  <c r="I21" i="37"/>
  <c r="CE21" i="37" s="1"/>
  <c r="BR19" i="37"/>
  <c r="BS20" i="37"/>
  <c r="CD20" i="37"/>
  <c r="CI20" i="37" s="1"/>
  <c r="BM19" i="37"/>
  <c r="BT19" i="37"/>
  <c r="BO20" i="37"/>
  <c r="J18" i="37"/>
  <c r="AC22" i="37"/>
  <c r="AB22" i="37"/>
  <c r="AA22" i="37"/>
  <c r="Z23" i="37"/>
  <c r="B22" i="37"/>
  <c r="A22" i="37"/>
  <c r="BZ22" i="37" s="1"/>
  <c r="AD22" i="37"/>
  <c r="BM20" i="37"/>
  <c r="CI19" i="37" l="1"/>
  <c r="CF20" i="37"/>
  <c r="BT21" i="37"/>
  <c r="BR21" i="37"/>
  <c r="BP19" i="37"/>
  <c r="CF19" i="37"/>
  <c r="CC21" i="37"/>
  <c r="CV17" i="37"/>
  <c r="CW17" i="37" s="1"/>
  <c r="J17" i="37"/>
  <c r="CD21" i="37"/>
  <c r="BP21" i="37" s="1"/>
  <c r="BS21" i="37"/>
  <c r="BN20" i="37"/>
  <c r="H22" i="37"/>
  <c r="BP20" i="37"/>
  <c r="BQ19" i="37"/>
  <c r="BQ20" i="37"/>
  <c r="B23" i="37"/>
  <c r="AA23" i="37"/>
  <c r="A23" i="37"/>
  <c r="BZ23" i="37" s="1"/>
  <c r="AD23" i="37"/>
  <c r="AB23" i="37"/>
  <c r="Z24" i="37"/>
  <c r="AC23" i="37"/>
  <c r="CX17" i="37" l="1"/>
  <c r="CX18" i="37" s="1"/>
  <c r="CY18" i="37" s="1"/>
  <c r="K18" i="37" s="1"/>
  <c r="BO21" i="37"/>
  <c r="CI21" i="37"/>
  <c r="CU19" i="37"/>
  <c r="CT19" i="37"/>
  <c r="CT20" i="37"/>
  <c r="CU20" i="37" s="1"/>
  <c r="CV19" i="37"/>
  <c r="CW19" i="37" s="1"/>
  <c r="J19" i="37"/>
  <c r="I22" i="37"/>
  <c r="CE22" i="37" s="1"/>
  <c r="CC22" i="37"/>
  <c r="BN21" i="37"/>
  <c r="H23" i="37"/>
  <c r="BQ21" i="37"/>
  <c r="CF21" i="37"/>
  <c r="BM21" i="37"/>
  <c r="AD24" i="37"/>
  <c r="AB24" i="37"/>
  <c r="A24" i="37"/>
  <c r="BZ24" i="37" s="1"/>
  <c r="Z25" i="37"/>
  <c r="AC24" i="37"/>
  <c r="AA24" i="37"/>
  <c r="B24" i="37"/>
  <c r="CZ18" i="37" l="1"/>
  <c r="L18" i="37" s="1"/>
  <c r="M17" i="37"/>
  <c r="CY17" i="37"/>
  <c r="K17" i="37" s="1"/>
  <c r="CZ17" i="37"/>
  <c r="L17" i="37" s="1"/>
  <c r="CX19" i="37"/>
  <c r="CZ19" i="37" s="1"/>
  <c r="L19" i="37" s="1"/>
  <c r="M18" i="37"/>
  <c r="BM22" i="37"/>
  <c r="CT21" i="37"/>
  <c r="CU21" i="37" s="1"/>
  <c r="CV21" i="37" s="1"/>
  <c r="CW21" i="37" s="1"/>
  <c r="J20" i="37"/>
  <c r="CV20" i="37"/>
  <c r="CW20" i="37" s="1"/>
  <c r="H24" i="37"/>
  <c r="I23" i="37"/>
  <c r="CE23" i="37" s="1"/>
  <c r="CC23" i="37"/>
  <c r="BR22" i="37"/>
  <c r="BT22" i="37"/>
  <c r="I24" i="37"/>
  <c r="CC24" i="37"/>
  <c r="CD22" i="37"/>
  <c r="BN22" i="37" s="1"/>
  <c r="BS22" i="37"/>
  <c r="BO22" i="37"/>
  <c r="B25" i="37"/>
  <c r="AD25" i="37"/>
  <c r="Z26" i="37"/>
  <c r="AB25" i="37"/>
  <c r="A25" i="37"/>
  <c r="BZ25" i="37" s="1"/>
  <c r="AC25" i="37"/>
  <c r="AA25" i="37"/>
  <c r="CY19" i="37" l="1"/>
  <c r="K19" i="37" s="1"/>
  <c r="M19" i="37"/>
  <c r="CX20" i="37"/>
  <c r="CX21" i="37" s="1"/>
  <c r="CY21" i="37" s="1"/>
  <c r="K21" i="37" s="1"/>
  <c r="CI22" i="37"/>
  <c r="J21" i="37"/>
  <c r="BT23" i="37"/>
  <c r="BR23" i="37"/>
  <c r="CF22" i="37"/>
  <c r="BP22" i="37"/>
  <c r="BM23" i="37"/>
  <c r="BQ22" i="37"/>
  <c r="CD23" i="37"/>
  <c r="CF23" i="37" s="1"/>
  <c r="BS23" i="37"/>
  <c r="CD24" i="37"/>
  <c r="CI24" i="37" s="1"/>
  <c r="BS24" i="37"/>
  <c r="CE24" i="37"/>
  <c r="BR24" i="37"/>
  <c r="BO23" i="37"/>
  <c r="H25" i="37"/>
  <c r="BT24" i="37"/>
  <c r="AB26" i="37"/>
  <c r="AA26" i="37"/>
  <c r="AC26" i="37"/>
  <c r="A26" i="37"/>
  <c r="BZ26" i="37" s="1"/>
  <c r="AD26" i="37"/>
  <c r="B26" i="37"/>
  <c r="Z27" i="37"/>
  <c r="BO24" i="37"/>
  <c r="M20" i="37" l="1"/>
  <c r="CZ20" i="37"/>
  <c r="L20" i="37" s="1"/>
  <c r="CY20" i="37"/>
  <c r="K20" i="37" s="1"/>
  <c r="CI23" i="37"/>
  <c r="CU22" i="37"/>
  <c r="J22" i="37" s="1"/>
  <c r="CT22" i="37"/>
  <c r="CU23" i="37"/>
  <c r="CT23" i="37"/>
  <c r="CZ21" i="37"/>
  <c r="L21" i="37" s="1"/>
  <c r="M21" i="37"/>
  <c r="CV22" i="37"/>
  <c r="CW22" i="37" s="1"/>
  <c r="CF24" i="37"/>
  <c r="BN23" i="37"/>
  <c r="BP24" i="37"/>
  <c r="BN24" i="37"/>
  <c r="BP23" i="37"/>
  <c r="BQ23" i="37"/>
  <c r="I25" i="37"/>
  <c r="CC25" i="37"/>
  <c r="H26" i="37"/>
  <c r="BQ24" i="37"/>
  <c r="BM24" i="37"/>
  <c r="AB27" i="37"/>
  <c r="AA27" i="37"/>
  <c r="A27" i="37"/>
  <c r="BZ27" i="37" s="1"/>
  <c r="B27" i="37"/>
  <c r="AC27" i="37"/>
  <c r="H27" i="37" s="1"/>
  <c r="AD27" i="37"/>
  <c r="Z28" i="37"/>
  <c r="CX22" i="37" l="1"/>
  <c r="CY22" i="37" s="1"/>
  <c r="K22" i="37" s="1"/>
  <c r="CU24" i="37"/>
  <c r="CV24" i="37" s="1"/>
  <c r="CW24" i="37" s="1"/>
  <c r="CT24" i="37"/>
  <c r="CD25" i="37"/>
  <c r="BN25" i="37" s="1"/>
  <c r="BS25" i="37"/>
  <c r="I27" i="37"/>
  <c r="CE27" i="37" s="1"/>
  <c r="CC27" i="37"/>
  <c r="BR25" i="37"/>
  <c r="CV23" i="37"/>
  <c r="CW23" i="37" s="1"/>
  <c r="J23" i="37"/>
  <c r="CE25" i="37"/>
  <c r="I26" i="37"/>
  <c r="CE26" i="37" s="1"/>
  <c r="CC26" i="37"/>
  <c r="BT25" i="37"/>
  <c r="BO25" i="37"/>
  <c r="BM25" i="37"/>
  <c r="J24" i="37"/>
  <c r="A28" i="37"/>
  <c r="BZ28" i="37" s="1"/>
  <c r="AB28" i="37"/>
  <c r="B28" i="37"/>
  <c r="Z29" i="37"/>
  <c r="AA28" i="37"/>
  <c r="AD28" i="37"/>
  <c r="AC28" i="37"/>
  <c r="H28" i="37" s="1"/>
  <c r="M22" i="37" l="1"/>
  <c r="CX23" i="37"/>
  <c r="CX24" i="37" s="1"/>
  <c r="M24" i="37" s="1"/>
  <c r="CZ22" i="37"/>
  <c r="L22" i="37" s="1"/>
  <c r="CI25" i="37"/>
  <c r="CF25" i="37"/>
  <c r="BR26" i="37"/>
  <c r="BT26" i="37"/>
  <c r="BP25" i="37"/>
  <c r="CD27" i="37"/>
  <c r="CF27" i="37" s="1"/>
  <c r="BS27" i="37"/>
  <c r="BO26" i="37"/>
  <c r="CD26" i="37"/>
  <c r="BN26" i="37" s="1"/>
  <c r="BS26" i="37"/>
  <c r="I28" i="37"/>
  <c r="CC28" i="37" s="1"/>
  <c r="BQ25" i="37"/>
  <c r="AA29" i="37"/>
  <c r="AC29" i="37"/>
  <c r="B29" i="37"/>
  <c r="AD29" i="37"/>
  <c r="Z30" i="37"/>
  <c r="A29" i="37"/>
  <c r="BZ29" i="37" s="1"/>
  <c r="AB29" i="37"/>
  <c r="BM26" i="37"/>
  <c r="BR27" i="37"/>
  <c r="BM27" i="37"/>
  <c r="BT27" i="37"/>
  <c r="CI26" i="37" l="1"/>
  <c r="CI27" i="37"/>
  <c r="CT27" i="37"/>
  <c r="CU27" i="37" s="1"/>
  <c r="CV27" i="37" s="1"/>
  <c r="CW27" i="37" s="1"/>
  <c r="CU25" i="37"/>
  <c r="J25" i="37" s="1"/>
  <c r="CT25" i="37"/>
  <c r="BR28" i="37"/>
  <c r="BT28" i="37"/>
  <c r="CZ23" i="37"/>
  <c r="L23" i="37" s="1"/>
  <c r="CY23" i="37"/>
  <c r="K23" i="37" s="1"/>
  <c r="CY24" i="37"/>
  <c r="K24" i="37" s="1"/>
  <c r="CZ24" i="37"/>
  <c r="L24" i="37" s="1"/>
  <c r="M23" i="37"/>
  <c r="BN27" i="37"/>
  <c r="BP27" i="37"/>
  <c r="CD28" i="37"/>
  <c r="CI28" i="37" s="1"/>
  <c r="BS28" i="37"/>
  <c r="CF26" i="37"/>
  <c r="CE28" i="37"/>
  <c r="BP26" i="37"/>
  <c r="H29" i="37"/>
  <c r="BO28" i="37"/>
  <c r="BQ26" i="37"/>
  <c r="CV25" i="37"/>
  <c r="CW25" i="37" s="1"/>
  <c r="CX25" i="37" s="1"/>
  <c r="BM28" i="37"/>
  <c r="AA30" i="37"/>
  <c r="AD30" i="37"/>
  <c r="A30" i="37"/>
  <c r="BZ30" i="37" s="1"/>
  <c r="Z31" i="37"/>
  <c r="AC30" i="37"/>
  <c r="B30" i="37"/>
  <c r="AB30" i="37"/>
  <c r="BQ27" i="37"/>
  <c r="BO27" i="37"/>
  <c r="CU26" i="37" l="1"/>
  <c r="CV26" i="37" s="1"/>
  <c r="CW26" i="37" s="1"/>
  <c r="CX26" i="37" s="1"/>
  <c r="CX27" i="37" s="1"/>
  <c r="CT26" i="37"/>
  <c r="CF28" i="37"/>
  <c r="BN28" i="37"/>
  <c r="BP28" i="37"/>
  <c r="I29" i="37"/>
  <c r="BT29" i="37" s="1"/>
  <c r="CC29" i="37"/>
  <c r="H30" i="37"/>
  <c r="BQ28" i="37"/>
  <c r="Z32" i="37"/>
  <c r="AC31" i="37"/>
  <c r="A31" i="37"/>
  <c r="BZ31" i="37" s="1"/>
  <c r="B31" i="37"/>
  <c r="AD31" i="37"/>
  <c r="AB31" i="37"/>
  <c r="AA31" i="37"/>
  <c r="J27" i="37"/>
  <c r="CT28" i="37" l="1"/>
  <c r="CU28" i="37" s="1"/>
  <c r="J26" i="37"/>
  <c r="CZ27" i="37"/>
  <c r="L27" i="37" s="1"/>
  <c r="CY25" i="37"/>
  <c r="K25" i="37" s="1"/>
  <c r="M26" i="37"/>
  <c r="CZ25" i="37"/>
  <c r="L25" i="37" s="1"/>
  <c r="M25" i="37"/>
  <c r="I30" i="37"/>
  <c r="BR30" i="37" s="1"/>
  <c r="CC30" i="37"/>
  <c r="BR29" i="37"/>
  <c r="BS29" i="37"/>
  <c r="CD29" i="37"/>
  <c r="BN29" i="37" s="1"/>
  <c r="BM29" i="37"/>
  <c r="CE29" i="37"/>
  <c r="H31" i="37"/>
  <c r="BO29" i="37"/>
  <c r="AA32" i="37"/>
  <c r="B32" i="37"/>
  <c r="Z33" i="37"/>
  <c r="AC32" i="37"/>
  <c r="A32" i="37"/>
  <c r="BZ32" i="37" s="1"/>
  <c r="AD32" i="37"/>
  <c r="AB32" i="37"/>
  <c r="M27" i="37" l="1"/>
  <c r="CZ26" i="37"/>
  <c r="L26" i="37" s="1"/>
  <c r="CI29" i="37"/>
  <c r="CY26" i="37"/>
  <c r="K26" i="37" s="1"/>
  <c r="CY27" i="37"/>
  <c r="K27" i="37" s="1"/>
  <c r="J28" i="37"/>
  <c r="CV28" i="37"/>
  <c r="CW28" i="37" s="1"/>
  <c r="CX28" i="37" s="1"/>
  <c r="BP29" i="37"/>
  <c r="CF29" i="37"/>
  <c r="BQ29" i="37"/>
  <c r="H32" i="37"/>
  <c r="BT30" i="37"/>
  <c r="I31" i="37"/>
  <c r="CC31" i="37"/>
  <c r="CE30" i="37"/>
  <c r="BS30" i="37"/>
  <c r="CD30" i="37"/>
  <c r="BN30" i="37" s="1"/>
  <c r="BO30" i="37"/>
  <c r="BM30" i="37"/>
  <c r="AD33" i="37"/>
  <c r="AB33" i="37"/>
  <c r="AA33" i="37"/>
  <c r="A33" i="37"/>
  <c r="BZ33" i="37" s="1"/>
  <c r="B33" i="37"/>
  <c r="AC33" i="37"/>
  <c r="H33" i="37" s="1"/>
  <c r="Z34" i="37"/>
  <c r="BM31" i="37" l="1"/>
  <c r="CI30" i="37"/>
  <c r="CU29" i="37"/>
  <c r="CT29" i="37"/>
  <c r="CZ28" i="37"/>
  <c r="L28" i="37" s="1"/>
  <c r="CY28" i="37"/>
  <c r="K28" i="37" s="1"/>
  <c r="M28" i="37"/>
  <c r="CV29" i="37"/>
  <c r="CW29" i="37" s="1"/>
  <c r="CX29" i="37" s="1"/>
  <c r="CD31" i="37"/>
  <c r="CI31" i="37" s="1"/>
  <c r="BS31" i="37"/>
  <c r="BR31" i="37"/>
  <c r="I32" i="37"/>
  <c r="BT32" i="37" s="1"/>
  <c r="CC32" i="37"/>
  <c r="BP30" i="37"/>
  <c r="BT31" i="37"/>
  <c r="CE31" i="37"/>
  <c r="BQ30" i="37"/>
  <c r="CF30" i="37"/>
  <c r="I33" i="37"/>
  <c r="CC33" i="37"/>
  <c r="BO31" i="37"/>
  <c r="A34" i="37"/>
  <c r="BZ34" i="37" s="1"/>
  <c r="AA34" i="37"/>
  <c r="AC34" i="37"/>
  <c r="H34" i="37" s="1"/>
  <c r="AD34" i="37"/>
  <c r="AB34" i="37"/>
  <c r="Z35" i="37"/>
  <c r="B34" i="37"/>
  <c r="CT30" i="37" l="1"/>
  <c r="CU30" i="37"/>
  <c r="CF31" i="37"/>
  <c r="M29" i="37"/>
  <c r="J29" i="37"/>
  <c r="BN31" i="37"/>
  <c r="BP31" i="37"/>
  <c r="CD32" i="37"/>
  <c r="BN32" i="37" s="1"/>
  <c r="BS32" i="37"/>
  <c r="BQ32" i="37"/>
  <c r="BQ31" i="37"/>
  <c r="BS33" i="37"/>
  <c r="BQ33" i="37"/>
  <c r="CD33" i="37"/>
  <c r="BP33" i="37" s="1"/>
  <c r="I34" i="37"/>
  <c r="CE32" i="37"/>
  <c r="CE33" i="37"/>
  <c r="BR32" i="37"/>
  <c r="BO32" i="37"/>
  <c r="BM32" i="37"/>
  <c r="BR33" i="37"/>
  <c r="BT33" i="37"/>
  <c r="BO33" i="37"/>
  <c r="AD35" i="37"/>
  <c r="AA35" i="37"/>
  <c r="A35" i="37"/>
  <c r="BZ35" i="37" s="1"/>
  <c r="B35" i="37"/>
  <c r="Z36" i="37"/>
  <c r="AB35" i="37"/>
  <c r="AC35" i="37"/>
  <c r="H35" i="37" s="1"/>
  <c r="CI32" i="37" l="1"/>
  <c r="CI33" i="37"/>
  <c r="CU31" i="37"/>
  <c r="CT31" i="37"/>
  <c r="CC34" i="37"/>
  <c r="CZ29" i="37"/>
  <c r="L29" i="37" s="1"/>
  <c r="CY29" i="37"/>
  <c r="K29" i="37" s="1"/>
  <c r="CF33" i="37"/>
  <c r="BP32" i="37"/>
  <c r="CF32" i="37"/>
  <c r="BN33" i="37"/>
  <c r="BS34" i="37"/>
  <c r="CD34" i="37"/>
  <c r="BP34" i="37" s="1"/>
  <c r="CV30" i="37"/>
  <c r="CW30" i="37" s="1"/>
  <c r="CX30" i="37" s="1"/>
  <c r="J30" i="37"/>
  <c r="I35" i="37"/>
  <c r="CE35" i="37" s="1"/>
  <c r="CE34" i="37"/>
  <c r="BT34" i="37"/>
  <c r="CV31" i="37"/>
  <c r="CW31" i="37" s="1"/>
  <c r="J31" i="37"/>
  <c r="AB36" i="37"/>
  <c r="AD36" i="37"/>
  <c r="AC36" i="37"/>
  <c r="Z37" i="37"/>
  <c r="BR34" i="37"/>
  <c r="BM33" i="37"/>
  <c r="CX31" i="37" l="1"/>
  <c r="CZ31" i="37" s="1"/>
  <c r="L31" i="37" s="1"/>
  <c r="CI34" i="37"/>
  <c r="CU33" i="37"/>
  <c r="CV33" i="37" s="1"/>
  <c r="CW33" i="37" s="1"/>
  <c r="CT33" i="37"/>
  <c r="CU32" i="37"/>
  <c r="CT32" i="37"/>
  <c r="BR35" i="37"/>
  <c r="CC35" i="37"/>
  <c r="CV32" i="37"/>
  <c r="CW32" i="37" s="1"/>
  <c r="BN34" i="37"/>
  <c r="J32" i="37"/>
  <c r="CF34" i="37"/>
  <c r="CD35" i="37"/>
  <c r="BP35" i="37" s="1"/>
  <c r="BS35" i="37"/>
  <c r="CY30" i="37"/>
  <c r="K30" i="37" s="1"/>
  <c r="CZ30" i="37"/>
  <c r="L30" i="37" s="1"/>
  <c r="M30" i="37"/>
  <c r="H36" i="37"/>
  <c r="BT35" i="37"/>
  <c r="BO34" i="37"/>
  <c r="AD37" i="37"/>
  <c r="AC37" i="37"/>
  <c r="Z38" i="37"/>
  <c r="AB37" i="37"/>
  <c r="BM34" i="37"/>
  <c r="BQ34" i="37"/>
  <c r="A36" i="37"/>
  <c r="BZ36" i="37" s="1"/>
  <c r="B36" i="37"/>
  <c r="AA36" i="37"/>
  <c r="CX32" i="37" l="1"/>
  <c r="CX33" i="37" s="1"/>
  <c r="BM35" i="37"/>
  <c r="CI35" i="37"/>
  <c r="CT34" i="37"/>
  <c r="CU34" i="37" s="1"/>
  <c r="BO35" i="37"/>
  <c r="M31" i="37"/>
  <c r="CY31" i="37"/>
  <c r="K31" i="37" s="1"/>
  <c r="J33" i="37"/>
  <c r="H37" i="37"/>
  <c r="CF35" i="37"/>
  <c r="BN35" i="37"/>
  <c r="I36" i="37"/>
  <c r="CE36" i="37" s="1"/>
  <c r="CC36" i="37"/>
  <c r="I37" i="37"/>
  <c r="CE37" i="37" s="1"/>
  <c r="CC37" i="37"/>
  <c r="BQ35" i="37"/>
  <c r="B37" i="37"/>
  <c r="AA37" i="37"/>
  <c r="A37" i="37"/>
  <c r="BZ37" i="37" s="1"/>
  <c r="AD38" i="37"/>
  <c r="AB38" i="37"/>
  <c r="AC38" i="37"/>
  <c r="Z39" i="38"/>
  <c r="M32" i="37" l="1"/>
  <c r="CZ32" i="37"/>
  <c r="L32" i="37" s="1"/>
  <c r="CT35" i="37"/>
  <c r="CU35" i="37" s="1"/>
  <c r="CV35" i="37" s="1"/>
  <c r="CW35" i="37" s="1"/>
  <c r="CY32" i="37"/>
  <c r="K32" i="37" s="1"/>
  <c r="CY33" i="37"/>
  <c r="K33" i="37" s="1"/>
  <c r="CV34" i="37"/>
  <c r="CW34" i="37" s="1"/>
  <c r="CX34" i="37" s="1"/>
  <c r="CX35" i="37" s="1"/>
  <c r="J34" i="37"/>
  <c r="BR37" i="37"/>
  <c r="BT37" i="37"/>
  <c r="CD37" i="37"/>
  <c r="CF37" i="37" s="1"/>
  <c r="BS37" i="37"/>
  <c r="BQ37" i="37"/>
  <c r="BR36" i="37"/>
  <c r="H38" i="37"/>
  <c r="BT36" i="37"/>
  <c r="CD36" i="37"/>
  <c r="BN36" i="37" s="1"/>
  <c r="BS36" i="37"/>
  <c r="BM37" i="37"/>
  <c r="BM36" i="37"/>
  <c r="BO36" i="37"/>
  <c r="B38" i="37"/>
  <c r="A38" i="37"/>
  <c r="BZ38" i="37" s="1"/>
  <c r="AA38" i="37"/>
  <c r="Z40" i="37" s="1"/>
  <c r="Z41" i="38" s="1"/>
  <c r="O1" i="38" s="1"/>
  <c r="Z8" i="38" s="1"/>
  <c r="AC8" i="38" s="1"/>
  <c r="CI37" i="37" l="1"/>
  <c r="CI36" i="37"/>
  <c r="CZ33" i="37"/>
  <c r="L33" i="37" s="1"/>
  <c r="CU37" i="37"/>
  <c r="CV37" i="37" s="1"/>
  <c r="CW37" i="37" s="1"/>
  <c r="CT37" i="37"/>
  <c r="J35" i="37"/>
  <c r="CZ35" i="37"/>
  <c r="L35" i="37" s="1"/>
  <c r="M33" i="37"/>
  <c r="BN37" i="37"/>
  <c r="BP37" i="37"/>
  <c r="CF36" i="37"/>
  <c r="BP36" i="37"/>
  <c r="BQ36" i="37"/>
  <c r="I38" i="37"/>
  <c r="CE38" i="37" s="1"/>
  <c r="CC38" i="37"/>
  <c r="BO37" i="37"/>
  <c r="AB8" i="38"/>
  <c r="A8" i="38"/>
  <c r="BZ8" i="38" s="1"/>
  <c r="B8" i="38"/>
  <c r="AA8" i="38"/>
  <c r="Z9" i="38"/>
  <c r="AD8" i="38"/>
  <c r="H8" i="38" s="1"/>
  <c r="M34" i="37" l="1"/>
  <c r="CU36" i="37"/>
  <c r="CT36" i="37"/>
  <c r="CY34" i="37"/>
  <c r="K34" i="37" s="1"/>
  <c r="CZ34" i="37"/>
  <c r="L34" i="37" s="1"/>
  <c r="CY35" i="37"/>
  <c r="K35" i="37" s="1"/>
  <c r="M35" i="37"/>
  <c r="CV36" i="37"/>
  <c r="CW36" i="37" s="1"/>
  <c r="CX36" i="37" s="1"/>
  <c r="CX37" i="37" s="1"/>
  <c r="I8" i="38"/>
  <c r="CE8" i="38" s="1"/>
  <c r="CC8" i="38"/>
  <c r="BS38" i="37"/>
  <c r="BS40" i="37" s="1"/>
  <c r="CD38" i="37"/>
  <c r="CF38" i="37" s="1"/>
  <c r="BR38" i="37"/>
  <c r="BR40" i="37" s="1"/>
  <c r="BT38" i="37"/>
  <c r="BT40" i="37" s="1"/>
  <c r="J37" i="37"/>
  <c r="B9" i="38"/>
  <c r="AA9" i="38"/>
  <c r="Z10" i="38"/>
  <c r="AD9" i="38"/>
  <c r="AC9" i="38"/>
  <c r="A9" i="38"/>
  <c r="BZ9" i="38" s="1"/>
  <c r="AB9" i="38"/>
  <c r="BO38" i="37"/>
  <c r="BO40" i="37" s="1"/>
  <c r="BM38" i="37"/>
  <c r="BM40" i="37" s="1"/>
  <c r="CI38" i="37" l="1"/>
  <c r="CU38" i="37"/>
  <c r="CV38" i="37" s="1"/>
  <c r="CW38" i="37" s="1"/>
  <c r="CX38" i="37" s="1"/>
  <c r="CT38" i="37"/>
  <c r="J36" i="37"/>
  <c r="M36" i="37"/>
  <c r="CY36" i="37"/>
  <c r="K36" i="37" s="1"/>
  <c r="CZ37" i="37"/>
  <c r="L37" i="37" s="1"/>
  <c r="CZ36" i="37"/>
  <c r="L36" i="37" s="1"/>
  <c r="BS42" i="37"/>
  <c r="N44" i="37" s="1"/>
  <c r="P44" i="37" s="1"/>
  <c r="R44" i="37" s="1"/>
  <c r="BR8" i="38"/>
  <c r="BP38" i="37"/>
  <c r="BP40" i="37" s="1"/>
  <c r="BO42" i="37" s="1"/>
  <c r="N43" i="37" s="1"/>
  <c r="P43" i="37" s="1"/>
  <c r="R43" i="37" s="1"/>
  <c r="BN38" i="37"/>
  <c r="BN40" i="37" s="1"/>
  <c r="BM42" i="37" s="1"/>
  <c r="N42" i="37" s="1"/>
  <c r="P42" i="37" s="1"/>
  <c r="R42" i="37" s="1"/>
  <c r="BQ38" i="37"/>
  <c r="BQ40" i="37" s="1"/>
  <c r="BQ42" i="37" s="1"/>
  <c r="N41" i="37" s="1"/>
  <c r="P41" i="37" s="1"/>
  <c r="R41" i="37" s="1"/>
  <c r="BT8" i="38"/>
  <c r="H9" i="38"/>
  <c r="CD8" i="38"/>
  <c r="BN8" i="38" s="1"/>
  <c r="BS8" i="38"/>
  <c r="AD10" i="38"/>
  <c r="B10" i="38"/>
  <c r="Z11" i="38"/>
  <c r="AA10" i="38"/>
  <c r="A10" i="38"/>
  <c r="BZ10" i="38" s="1"/>
  <c r="AB10" i="38"/>
  <c r="AC10" i="38"/>
  <c r="H10" i="38" s="1"/>
  <c r="M38" i="37" l="1"/>
  <c r="E3" i="38" s="1"/>
  <c r="G3" i="38" s="1"/>
  <c r="CI8" i="38"/>
  <c r="CY37" i="37"/>
  <c r="K37" i="37" s="1"/>
  <c r="M37" i="37"/>
  <c r="J38" i="37"/>
  <c r="I9" i="38"/>
  <c r="BT9" i="38" s="1"/>
  <c r="CC9" i="38"/>
  <c r="CF8" i="38"/>
  <c r="I10" i="38"/>
  <c r="CC10" i="38"/>
  <c r="BP8" i="38"/>
  <c r="B11" i="38"/>
  <c r="AC11" i="38"/>
  <c r="H11" i="38" s="1"/>
  <c r="AB11" i="38"/>
  <c r="Z12" i="38"/>
  <c r="AD11" i="38"/>
  <c r="AA11" i="38"/>
  <c r="A11" i="38"/>
  <c r="BZ11" i="38" s="1"/>
  <c r="BO8" i="38"/>
  <c r="BQ8" i="38"/>
  <c r="BM8" i="38"/>
  <c r="CZ38" i="37" l="1"/>
  <c r="L38" i="37" s="1"/>
  <c r="CY38" i="37"/>
  <c r="K38" i="37" s="1"/>
  <c r="D3" i="38" s="1"/>
  <c r="CV3" i="38" s="1"/>
  <c r="CW3" i="38" s="1"/>
  <c r="CU8" i="38"/>
  <c r="CV8" i="38" s="1"/>
  <c r="CW8" i="38" s="1"/>
  <c r="CT8" i="38"/>
  <c r="BT10" i="38"/>
  <c r="CE10" i="38"/>
  <c r="I11" i="38"/>
  <c r="CC11" i="38"/>
  <c r="CE11" i="38"/>
  <c r="BS10" i="38"/>
  <c r="BQ10" i="38"/>
  <c r="CD10" i="38"/>
  <c r="CF10" i="38" s="1"/>
  <c r="CE9" i="38"/>
  <c r="BR9" i="38"/>
  <c r="BS9" i="38"/>
  <c r="BQ9" i="38"/>
  <c r="CD9" i="38"/>
  <c r="CI9" i="38" s="1"/>
  <c r="BM10" i="38"/>
  <c r="BR10" i="38"/>
  <c r="BM9" i="38"/>
  <c r="AC12" i="38"/>
  <c r="H12" i="38" s="1"/>
  <c r="A12" i="38"/>
  <c r="BZ12" i="38" s="1"/>
  <c r="B12" i="38"/>
  <c r="AA12" i="38"/>
  <c r="Z13" i="38"/>
  <c r="AD12" i="38"/>
  <c r="AB12" i="38"/>
  <c r="BO9" i="38"/>
  <c r="CX8" i="38" l="1"/>
  <c r="CZ8" i="38" s="1"/>
  <c r="L8" i="38" s="1"/>
  <c r="CI10" i="38"/>
  <c r="CU10" i="38"/>
  <c r="CT10" i="38"/>
  <c r="CV10" i="38"/>
  <c r="CW10" i="38" s="1"/>
  <c r="CF9" i="38"/>
  <c r="BR11" i="38"/>
  <c r="BP10" i="38"/>
  <c r="J8" i="38"/>
  <c r="BN10" i="38"/>
  <c r="BN9" i="38"/>
  <c r="BP9" i="38"/>
  <c r="I12" i="38"/>
  <c r="CE12" i="38" s="1"/>
  <c r="BS11" i="38"/>
  <c r="CD11" i="38"/>
  <c r="BN11" i="38" s="1"/>
  <c r="BO10" i="38"/>
  <c r="BT11" i="38"/>
  <c r="Z14" i="38"/>
  <c r="AC13" i="38"/>
  <c r="AD13" i="38"/>
  <c r="B13" i="38"/>
  <c r="AA13" i="38"/>
  <c r="AB13" i="38"/>
  <c r="A13" i="38"/>
  <c r="BZ13" i="38" s="1"/>
  <c r="CI11" i="38" l="1"/>
  <c r="CU9" i="38"/>
  <c r="CV9" i="38" s="1"/>
  <c r="CW9" i="38" s="1"/>
  <c r="CT9" i="38"/>
  <c r="BR12" i="38"/>
  <c r="CC12" i="38"/>
  <c r="BT12" i="38"/>
  <c r="M8" i="38"/>
  <c r="CY8" i="38"/>
  <c r="K8" i="38" s="1"/>
  <c r="CF11" i="38"/>
  <c r="H13" i="38"/>
  <c r="CD12" i="38"/>
  <c r="BP12" i="38" s="1"/>
  <c r="BS12" i="38"/>
  <c r="BP11" i="38"/>
  <c r="J10" i="38"/>
  <c r="BQ11" i="38"/>
  <c r="BO11" i="38"/>
  <c r="AD14" i="38"/>
  <c r="B14" i="38"/>
  <c r="AA14" i="38"/>
  <c r="A14" i="38"/>
  <c r="BZ14" i="38" s="1"/>
  <c r="AB14" i="38"/>
  <c r="Z15" i="38"/>
  <c r="AC14" i="38"/>
  <c r="BM11" i="38"/>
  <c r="CX9" i="38" l="1"/>
  <c r="CX10" i="38" s="1"/>
  <c r="CY10" i="38" s="1"/>
  <c r="K10" i="38" s="1"/>
  <c r="BM12" i="38"/>
  <c r="CI12" i="38"/>
  <c r="CT11" i="38"/>
  <c r="CU11" i="38" s="1"/>
  <c r="J9" i="38"/>
  <c r="BO12" i="38"/>
  <c r="CF12" i="38"/>
  <c r="BN12" i="38"/>
  <c r="BQ12" i="38"/>
  <c r="I13" i="38"/>
  <c r="BT13" i="38" s="1"/>
  <c r="CC13" i="38"/>
  <c r="H14" i="38"/>
  <c r="AD15" i="38"/>
  <c r="Z16" i="38"/>
  <c r="B15" i="38"/>
  <c r="AB15" i="38"/>
  <c r="AA15" i="38"/>
  <c r="A15" i="38"/>
  <c r="BZ15" i="38" s="1"/>
  <c r="AC15" i="38"/>
  <c r="CZ9" i="38" l="1"/>
  <c r="L9" i="38" s="1"/>
  <c r="M9" i="38"/>
  <c r="CY9" i="38"/>
  <c r="K9" i="38" s="1"/>
  <c r="CZ10" i="38"/>
  <c r="L10" i="38" s="1"/>
  <c r="CT12" i="38"/>
  <c r="CU12" i="38" s="1"/>
  <c r="CV11" i="38"/>
  <c r="CW11" i="38" s="1"/>
  <c r="J11" i="38"/>
  <c r="BR13" i="38"/>
  <c r="CE13" i="38"/>
  <c r="CD13" i="38"/>
  <c r="CI13" i="38" s="1"/>
  <c r="BS13" i="38"/>
  <c r="H15" i="38"/>
  <c r="I14" i="38"/>
  <c r="BR14" i="38" s="1"/>
  <c r="CC14" i="38"/>
  <c r="M10" i="38"/>
  <c r="BO13" i="38"/>
  <c r="BM13" i="38"/>
  <c r="AD16" i="38"/>
  <c r="AA16" i="38"/>
  <c r="B16" i="38"/>
  <c r="AC16" i="38"/>
  <c r="A16" i="38"/>
  <c r="BZ16" i="38" s="1"/>
  <c r="AB16" i="38"/>
  <c r="Z17" i="38"/>
  <c r="CX11" i="38" l="1"/>
  <c r="CY11" i="38" s="1"/>
  <c r="K11" i="38" s="1"/>
  <c r="BM14" i="38"/>
  <c r="CV12" i="38"/>
  <c r="CW12" i="38" s="1"/>
  <c r="J12" i="38"/>
  <c r="CF13" i="38"/>
  <c r="BO14" i="38"/>
  <c r="BQ13" i="38"/>
  <c r="CE14" i="38"/>
  <c r="H16" i="38"/>
  <c r="CD14" i="38"/>
  <c r="CI14" i="38" s="1"/>
  <c r="BS14" i="38"/>
  <c r="BT14" i="38"/>
  <c r="I15" i="38"/>
  <c r="BT15" i="38" s="1"/>
  <c r="CC15" i="38"/>
  <c r="BP13" i="38"/>
  <c r="BN13" i="38"/>
  <c r="AB17" i="38"/>
  <c r="AA17" i="38"/>
  <c r="AC17" i="38"/>
  <c r="A17" i="38"/>
  <c r="BZ17" i="38" s="1"/>
  <c r="AD17" i="38"/>
  <c r="B17" i="38"/>
  <c r="Z18" i="38"/>
  <c r="M11" i="38" l="1"/>
  <c r="CX12" i="38"/>
  <c r="CZ12" i="38" s="1"/>
  <c r="L12" i="38" s="1"/>
  <c r="CZ11" i="38"/>
  <c r="L11" i="38" s="1"/>
  <c r="CU13" i="38"/>
  <c r="CV13" i="38" s="1"/>
  <c r="CW13" i="38" s="1"/>
  <c r="CT13" i="38"/>
  <c r="CF14" i="38"/>
  <c r="CE15" i="38"/>
  <c r="BR15" i="38"/>
  <c r="BP14" i="38"/>
  <c r="BN14" i="38"/>
  <c r="I16" i="38"/>
  <c r="BT16" i="38" s="1"/>
  <c r="CC16" i="38"/>
  <c r="BQ14" i="38"/>
  <c r="H17" i="38"/>
  <c r="CD15" i="38"/>
  <c r="BP15" i="38" s="1"/>
  <c r="BS15" i="38"/>
  <c r="BM15" i="38"/>
  <c r="BO15" i="38"/>
  <c r="AB18" i="38"/>
  <c r="AA18" i="38"/>
  <c r="AC18" i="38"/>
  <c r="H18" i="38" s="1"/>
  <c r="Z19" i="38"/>
  <c r="AD18" i="38"/>
  <c r="B18" i="38"/>
  <c r="A18" i="38"/>
  <c r="BZ18" i="38" s="1"/>
  <c r="M12" i="38" l="1"/>
  <c r="CY12" i="38"/>
  <c r="K12" i="38" s="1"/>
  <c r="J13" i="38"/>
  <c r="CX13" i="38"/>
  <c r="CY13" i="38" s="1"/>
  <c r="K13" i="38" s="1"/>
  <c r="BO16" i="38"/>
  <c r="CI15" i="38"/>
  <c r="CU14" i="38"/>
  <c r="CV14" i="38" s="1"/>
  <c r="CW14" i="38" s="1"/>
  <c r="CT14" i="38"/>
  <c r="BR16" i="38"/>
  <c r="CF15" i="38"/>
  <c r="BN15" i="38"/>
  <c r="CE16" i="38"/>
  <c r="I18" i="38"/>
  <c r="CC18" i="38"/>
  <c r="BQ15" i="38"/>
  <c r="I17" i="38"/>
  <c r="BR17" i="38" s="1"/>
  <c r="CC17" i="38"/>
  <c r="BS16" i="38"/>
  <c r="CD16" i="38"/>
  <c r="BP16" i="38" s="1"/>
  <c r="BM16" i="38"/>
  <c r="B19" i="38"/>
  <c r="Z20" i="38"/>
  <c r="AB19" i="38"/>
  <c r="A19" i="38"/>
  <c r="BZ19" i="38" s="1"/>
  <c r="AA19" i="38"/>
  <c r="AC19" i="38"/>
  <c r="H19" i="38" s="1"/>
  <c r="AD19" i="38"/>
  <c r="M13" i="38" l="1"/>
  <c r="CZ13" i="38"/>
  <c r="L13" i="38" s="1"/>
  <c r="CX14" i="38"/>
  <c r="M14" i="38" s="1"/>
  <c r="BO17" i="38"/>
  <c r="CI16" i="38"/>
  <c r="CU15" i="38"/>
  <c r="CT15" i="38"/>
  <c r="J14" i="38"/>
  <c r="BT17" i="38"/>
  <c r="CE17" i="38"/>
  <c r="CE18" i="38"/>
  <c r="BQ16" i="38"/>
  <c r="CD18" i="38"/>
  <c r="BN18" i="38" s="1"/>
  <c r="BS18" i="38"/>
  <c r="BN16" i="38"/>
  <c r="BS17" i="38"/>
  <c r="BQ17" i="38"/>
  <c r="CD17" i="38"/>
  <c r="CI17" i="38" s="1"/>
  <c r="CF16" i="38"/>
  <c r="I19" i="38"/>
  <c r="BR19" i="38" s="1"/>
  <c r="CV15" i="38"/>
  <c r="CW15" i="38" s="1"/>
  <c r="J15" i="38"/>
  <c r="BM17" i="38"/>
  <c r="A20" i="38"/>
  <c r="BZ20" i="38" s="1"/>
  <c r="AB20" i="38"/>
  <c r="AA20" i="38"/>
  <c r="Z21" i="38"/>
  <c r="AD20" i="38"/>
  <c r="AC20" i="38"/>
  <c r="B20" i="38"/>
  <c r="BT18" i="38"/>
  <c r="BM18" i="38"/>
  <c r="BR18" i="38"/>
  <c r="CZ14" i="38" l="1"/>
  <c r="L14" i="38" s="1"/>
  <c r="CY14" i="38"/>
  <c r="K14" i="38" s="1"/>
  <c r="CX15" i="38"/>
  <c r="M15" i="38" s="1"/>
  <c r="CI18" i="38"/>
  <c r="CU16" i="38"/>
  <c r="CT16" i="38"/>
  <c r="CF17" i="38"/>
  <c r="BT19" i="38"/>
  <c r="CC19" i="38"/>
  <c r="CE19" i="38"/>
  <c r="CF18" i="38"/>
  <c r="BP18" i="38"/>
  <c r="CD19" i="38"/>
  <c r="BS19" i="38"/>
  <c r="H20" i="38"/>
  <c r="BP17" i="38"/>
  <c r="BN17" i="38"/>
  <c r="BO18" i="38"/>
  <c r="BQ18" i="38"/>
  <c r="AC21" i="38"/>
  <c r="AD21" i="38"/>
  <c r="AB21" i="38"/>
  <c r="A21" i="38"/>
  <c r="BZ21" i="38" s="1"/>
  <c r="B21" i="38"/>
  <c r="Z22" i="38"/>
  <c r="AA21" i="38"/>
  <c r="CY15" i="38" l="1"/>
  <c r="K15" i="38" s="1"/>
  <c r="CZ15" i="38"/>
  <c r="L15" i="38" s="1"/>
  <c r="BM19" i="38"/>
  <c r="CI19" i="38"/>
  <c r="CT18" i="38"/>
  <c r="CU18" i="38" s="1"/>
  <c r="CU17" i="38"/>
  <c r="J17" i="38" s="1"/>
  <c r="CT17" i="38"/>
  <c r="BO19" i="38"/>
  <c r="CF19" i="38"/>
  <c r="H21" i="38"/>
  <c r="I21" i="38" s="1"/>
  <c r="BP19" i="38"/>
  <c r="BQ19" i="38"/>
  <c r="BN19" i="38"/>
  <c r="CV16" i="38"/>
  <c r="CW16" i="38" s="1"/>
  <c r="CX16" i="38" s="1"/>
  <c r="J16" i="38"/>
  <c r="I20" i="38"/>
  <c r="CE20" i="38" s="1"/>
  <c r="CC20" i="38"/>
  <c r="AD22" i="38"/>
  <c r="AB22" i="38"/>
  <c r="B22" i="38"/>
  <c r="A22" i="38"/>
  <c r="BZ22" i="38" s="1"/>
  <c r="AC22" i="38"/>
  <c r="AA22" i="38"/>
  <c r="Z23" i="38"/>
  <c r="CT19" i="38" l="1"/>
  <c r="CU19" i="38" s="1"/>
  <c r="CV18" i="38"/>
  <c r="CW18" i="38" s="1"/>
  <c r="J18" i="38"/>
  <c r="CV17" i="38"/>
  <c r="CW17" i="38" s="1"/>
  <c r="CC21" i="38"/>
  <c r="H22" i="38"/>
  <c r="CC22" i="38" s="1"/>
  <c r="CE21" i="38"/>
  <c r="BR20" i="38"/>
  <c r="BT20" i="38"/>
  <c r="I22" i="38"/>
  <c r="CD21" i="38"/>
  <c r="BS21" i="38"/>
  <c r="CD20" i="38"/>
  <c r="CF20" i="38" s="1"/>
  <c r="BS20" i="38"/>
  <c r="CY16" i="38"/>
  <c r="K16" i="38" s="1"/>
  <c r="CZ16" i="38"/>
  <c r="L16" i="38" s="1"/>
  <c r="M16" i="38"/>
  <c r="BO20" i="38"/>
  <c r="BM20" i="38"/>
  <c r="AA23" i="38"/>
  <c r="B23" i="38"/>
  <c r="A23" i="38"/>
  <c r="BZ23" i="38" s="1"/>
  <c r="AC23" i="38"/>
  <c r="AD23" i="38"/>
  <c r="AB23" i="38"/>
  <c r="Z24" i="38"/>
  <c r="BT21" i="38"/>
  <c r="BR21" i="38"/>
  <c r="CX17" i="38" l="1"/>
  <c r="CX18" i="38" s="1"/>
  <c r="CY18" i="38" s="1"/>
  <c r="K18" i="38" s="1"/>
  <c r="CI21" i="38"/>
  <c r="CI20" i="38"/>
  <c r="CU20" i="38"/>
  <c r="CT20" i="38"/>
  <c r="J19" i="38"/>
  <c r="CV19" i="38"/>
  <c r="CW19" i="38" s="1"/>
  <c r="CF21" i="38"/>
  <c r="CE22" i="38"/>
  <c r="BP21" i="38"/>
  <c r="BN20" i="38"/>
  <c r="BN21" i="38"/>
  <c r="BR22" i="38"/>
  <c r="BP20" i="38"/>
  <c r="BQ20" i="38"/>
  <c r="BS22" i="38"/>
  <c r="BQ22" i="38"/>
  <c r="CD22" i="38"/>
  <c r="BN22" i="38" s="1"/>
  <c r="H23" i="38"/>
  <c r="BQ21" i="38"/>
  <c r="BT22" i="38"/>
  <c r="BM22" i="38"/>
  <c r="BM21" i="38"/>
  <c r="BO21" i="38"/>
  <c r="BO22" i="38"/>
  <c r="B24" i="38"/>
  <c r="AC24" i="38"/>
  <c r="Z25" i="38"/>
  <c r="A24" i="38"/>
  <c r="BZ24" i="38" s="1"/>
  <c r="AA24" i="38"/>
  <c r="AB24" i="38"/>
  <c r="AD24" i="38"/>
  <c r="M18" i="38" l="1"/>
  <c r="CZ17" i="38"/>
  <c r="L17" i="38" s="1"/>
  <c r="M17" i="38"/>
  <c r="CY17" i="38"/>
  <c r="K17" i="38" s="1"/>
  <c r="CX19" i="38"/>
  <c r="M19" i="38" s="1"/>
  <c r="CZ18" i="38"/>
  <c r="L18" i="38" s="1"/>
  <c r="CI22" i="38"/>
  <c r="CU21" i="38"/>
  <c r="J21" i="38" s="1"/>
  <c r="CT21" i="38"/>
  <c r="H24" i="38"/>
  <c r="I24" i="38" s="1"/>
  <c r="CF22" i="38"/>
  <c r="I23" i="38"/>
  <c r="BT23" i="38" s="1"/>
  <c r="CC23" i="38"/>
  <c r="BP22" i="38"/>
  <c r="CV20" i="38"/>
  <c r="CW20" i="38" s="1"/>
  <c r="J20" i="38"/>
  <c r="Z26" i="38"/>
  <c r="B25" i="38"/>
  <c r="AD25" i="38"/>
  <c r="AB25" i="38"/>
  <c r="AC25" i="38"/>
  <c r="H25" i="38" s="1"/>
  <c r="AA25" i="38"/>
  <c r="A25" i="38"/>
  <c r="BZ25" i="38" s="1"/>
  <c r="CY19" i="38" l="1"/>
  <c r="K19" i="38" s="1"/>
  <c r="CZ19" i="38"/>
  <c r="L19" i="38" s="1"/>
  <c r="CX20" i="38"/>
  <c r="CZ20" i="38" s="1"/>
  <c r="L20" i="38" s="1"/>
  <c r="CV21" i="38"/>
  <c r="CW21" i="38" s="1"/>
  <c r="CU22" i="38"/>
  <c r="J22" i="38" s="1"/>
  <c r="CT22" i="38"/>
  <c r="CC24" i="38"/>
  <c r="BT24" i="38"/>
  <c r="I25" i="38"/>
  <c r="BR25" i="38" s="1"/>
  <c r="CC25" i="38"/>
  <c r="BT25" i="38"/>
  <c r="CV22" i="38"/>
  <c r="CW22" i="38" s="1"/>
  <c r="CE24" i="38"/>
  <c r="BR23" i="38"/>
  <c r="BS23" i="38"/>
  <c r="CD23" i="38"/>
  <c r="BN23" i="38" s="1"/>
  <c r="BO23" i="38"/>
  <c r="CE23" i="38"/>
  <c r="BS24" i="38"/>
  <c r="CD24" i="38"/>
  <c r="BP24" i="38" s="1"/>
  <c r="M20" i="38"/>
  <c r="BM23" i="38"/>
  <c r="BR24" i="38"/>
  <c r="A26" i="38"/>
  <c r="BZ26" i="38" s="1"/>
  <c r="AB26" i="38"/>
  <c r="Z27" i="38"/>
  <c r="B26" i="38"/>
  <c r="AC26" i="38"/>
  <c r="H26" i="38" s="1"/>
  <c r="AA26" i="38"/>
  <c r="AD26" i="38"/>
  <c r="CY20" i="38" l="1"/>
  <c r="K20" i="38" s="1"/>
  <c r="CX21" i="38"/>
  <c r="CX22" i="38" s="1"/>
  <c r="CY22" i="38" s="1"/>
  <c r="BM24" i="38"/>
  <c r="CI24" i="38"/>
  <c r="CI23" i="38"/>
  <c r="CE25" i="38"/>
  <c r="CF23" i="38"/>
  <c r="BP23" i="38"/>
  <c r="BN24" i="38"/>
  <c r="CF24" i="38"/>
  <c r="I26" i="38"/>
  <c r="BT26" i="38" s="1"/>
  <c r="CC26" i="38"/>
  <c r="BR26" i="38"/>
  <c r="BQ24" i="38"/>
  <c r="BQ23" i="38"/>
  <c r="CD25" i="38"/>
  <c r="CI25" i="38" s="1"/>
  <c r="BS25" i="38"/>
  <c r="BO24" i="38"/>
  <c r="BO25" i="38"/>
  <c r="BM25" i="38"/>
  <c r="AC27" i="38"/>
  <c r="A27" i="38"/>
  <c r="BZ27" i="38" s="1"/>
  <c r="Z28" i="38"/>
  <c r="AD27" i="38"/>
  <c r="AA27" i="38"/>
  <c r="B27" i="38"/>
  <c r="AB27" i="38"/>
  <c r="M21" i="38" l="1"/>
  <c r="CY21" i="38"/>
  <c r="K21" i="38" s="1"/>
  <c r="CZ21" i="38"/>
  <c r="L21" i="38" s="1"/>
  <c r="CZ22" i="38"/>
  <c r="L22" i="38" s="1"/>
  <c r="CU24" i="38"/>
  <c r="CT24" i="38"/>
  <c r="CU23" i="38"/>
  <c r="CV23" i="38" s="1"/>
  <c r="CW23" i="38" s="1"/>
  <c r="CX23" i="38" s="1"/>
  <c r="CT23" i="38"/>
  <c r="CV24" i="38"/>
  <c r="CW24" i="38" s="1"/>
  <c r="CE26" i="38"/>
  <c r="CF25" i="38"/>
  <c r="BP25" i="38"/>
  <c r="BN25" i="38"/>
  <c r="BQ25" i="38"/>
  <c r="CD26" i="38"/>
  <c r="CI26" i="38" s="1"/>
  <c r="BS26" i="38"/>
  <c r="H27" i="38"/>
  <c r="M22" i="38"/>
  <c r="K22" i="38"/>
  <c r="BO26" i="38"/>
  <c r="J24" i="38"/>
  <c r="BM26" i="38"/>
  <c r="Z29" i="38"/>
  <c r="AD28" i="38"/>
  <c r="AC28" i="38"/>
  <c r="B28" i="38"/>
  <c r="AB28" i="38"/>
  <c r="A28" i="38"/>
  <c r="BZ28" i="38" s="1"/>
  <c r="AA28" i="38"/>
  <c r="CX24" i="38" l="1"/>
  <c r="CZ24" i="38" s="1"/>
  <c r="CT25" i="38"/>
  <c r="CU25" i="38" s="1"/>
  <c r="J23" i="38"/>
  <c r="CF26" i="38"/>
  <c r="BP26" i="38"/>
  <c r="BN26" i="38"/>
  <c r="H28" i="38"/>
  <c r="BQ26" i="38"/>
  <c r="CZ23" i="38"/>
  <c r="L23" i="38" s="1"/>
  <c r="CY23" i="38"/>
  <c r="K23" i="38" s="1"/>
  <c r="I27" i="38"/>
  <c r="BT27" i="38" s="1"/>
  <c r="CC27" i="38"/>
  <c r="M23" i="38"/>
  <c r="AC29" i="38"/>
  <c r="A29" i="38"/>
  <c r="BZ29" i="38" s="1"/>
  <c r="AB29" i="38"/>
  <c r="Z30" i="38"/>
  <c r="B29" i="38"/>
  <c r="AD29" i="38"/>
  <c r="AA29" i="38"/>
  <c r="CT26" i="38" l="1"/>
  <c r="CU26" i="38" s="1"/>
  <c r="J26" i="38" s="1"/>
  <c r="CY24" i="38"/>
  <c r="K24" i="38" s="1"/>
  <c r="CV25" i="38"/>
  <c r="CW25" i="38" s="1"/>
  <c r="J25" i="38"/>
  <c r="H29" i="38"/>
  <c r="CE27" i="38"/>
  <c r="BR27" i="38"/>
  <c r="I29" i="38"/>
  <c r="CE29" i="38" s="1"/>
  <c r="CC29" i="38"/>
  <c r="CD27" i="38"/>
  <c r="CI27" i="38" s="1"/>
  <c r="BS27" i="38"/>
  <c r="I28" i="38"/>
  <c r="BT28" i="38" s="1"/>
  <c r="CC28" i="38"/>
  <c r="M24" i="38"/>
  <c r="L24" i="38"/>
  <c r="BM27" i="38"/>
  <c r="BO27" i="38"/>
  <c r="AD30" i="38"/>
  <c r="AC30" i="38"/>
  <c r="B30" i="38"/>
  <c r="Z31" i="38"/>
  <c r="AB30" i="38"/>
  <c r="A30" i="38"/>
  <c r="BZ30" i="38" s="1"/>
  <c r="AA30" i="38"/>
  <c r="CX25" i="38" l="1"/>
  <c r="CZ25" i="38" s="1"/>
  <c r="L25" i="38" s="1"/>
  <c r="CV26" i="38"/>
  <c r="CW26" i="38" s="1"/>
  <c r="CF27" i="38"/>
  <c r="CE28" i="38"/>
  <c r="BN27" i="38"/>
  <c r="BR28" i="38"/>
  <c r="H30" i="38"/>
  <c r="BS28" i="38"/>
  <c r="CD28" i="38"/>
  <c r="CI28" i="38" s="1"/>
  <c r="BQ27" i="38"/>
  <c r="BQ29" i="38"/>
  <c r="CD29" i="38"/>
  <c r="CF29" i="38" s="1"/>
  <c r="BS29" i="38"/>
  <c r="BP27" i="38"/>
  <c r="BO28" i="38"/>
  <c r="BM28" i="38"/>
  <c r="Z32" i="38"/>
  <c r="AC31" i="38"/>
  <c r="AB31" i="38"/>
  <c r="AA31" i="38"/>
  <c r="B31" i="38"/>
  <c r="AD31" i="38"/>
  <c r="A31" i="38"/>
  <c r="BZ31" i="38" s="1"/>
  <c r="BT29" i="38"/>
  <c r="BO29" i="38"/>
  <c r="BR29" i="38"/>
  <c r="CY25" i="38" l="1"/>
  <c r="K25" i="38" s="1"/>
  <c r="CX26" i="38"/>
  <c r="M26" i="38" s="1"/>
  <c r="M25" i="38"/>
  <c r="CI29" i="38"/>
  <c r="CU27" i="38"/>
  <c r="CT27" i="38"/>
  <c r="CU29" i="38"/>
  <c r="CV29" i="38" s="1"/>
  <c r="CW29" i="38" s="1"/>
  <c r="CT29" i="38"/>
  <c r="CF28" i="38"/>
  <c r="H31" i="38"/>
  <c r="BP29" i="38"/>
  <c r="BN29" i="38"/>
  <c r="I31" i="38"/>
  <c r="CC31" i="38"/>
  <c r="BP28" i="38"/>
  <c r="BN28" i="38"/>
  <c r="BQ28" i="38"/>
  <c r="I30" i="38"/>
  <c r="CE30" i="38" s="1"/>
  <c r="CC30" i="38"/>
  <c r="CV27" i="38"/>
  <c r="CW27" i="38" s="1"/>
  <c r="J27" i="38"/>
  <c r="BM29" i="38"/>
  <c r="B32" i="38"/>
  <c r="Z33" i="38"/>
  <c r="AD32" i="38"/>
  <c r="AB32" i="38"/>
  <c r="A32" i="38"/>
  <c r="BZ32" i="38" s="1"/>
  <c r="AC32" i="38"/>
  <c r="H32" i="38" s="1"/>
  <c r="AA32" i="38"/>
  <c r="CY26" i="38" l="1"/>
  <c r="K26" i="38" s="1"/>
  <c r="CZ26" i="38"/>
  <c r="L26" i="38" s="1"/>
  <c r="CX27" i="38"/>
  <c r="CZ27" i="38" s="1"/>
  <c r="L27" i="38" s="1"/>
  <c r="CU28" i="38"/>
  <c r="J28" i="38" s="1"/>
  <c r="CT28" i="38"/>
  <c r="I32" i="38"/>
  <c r="CE32" i="38" s="1"/>
  <c r="CC32" i="38"/>
  <c r="BR30" i="38"/>
  <c r="CD31" i="38"/>
  <c r="BN31" i="38" s="1"/>
  <c r="BS31" i="38"/>
  <c r="CD30" i="38"/>
  <c r="CF30" i="38" s="1"/>
  <c r="BS30" i="38"/>
  <c r="CE31" i="38"/>
  <c r="BT30" i="38"/>
  <c r="BR31" i="38"/>
  <c r="BT31" i="38"/>
  <c r="BO31" i="38"/>
  <c r="J29" i="38"/>
  <c r="BO30" i="38"/>
  <c r="AD33" i="38"/>
  <c r="AA33" i="38"/>
  <c r="A33" i="38"/>
  <c r="BZ33" i="38" s="1"/>
  <c r="B33" i="38"/>
  <c r="AB33" i="38"/>
  <c r="Z34" i="38"/>
  <c r="AC33" i="38"/>
  <c r="H33" i="38" s="1"/>
  <c r="BM30" i="38"/>
  <c r="M27" i="38" l="1"/>
  <c r="CY27" i="38"/>
  <c r="K27" i="38" s="1"/>
  <c r="CV28" i="38"/>
  <c r="CW28" i="38" s="1"/>
  <c r="CI31" i="38"/>
  <c r="CI30" i="38"/>
  <c r="CU30" i="38"/>
  <c r="CT30" i="38"/>
  <c r="BN30" i="38"/>
  <c r="BP30" i="38"/>
  <c r="I33" i="38"/>
  <c r="BT33" i="38" s="1"/>
  <c r="CC33" i="38"/>
  <c r="BQ30" i="38"/>
  <c r="BQ31" i="38"/>
  <c r="CF31" i="38"/>
  <c r="BP31" i="38"/>
  <c r="CD32" i="38"/>
  <c r="BP32" i="38" s="1"/>
  <c r="BS32" i="38"/>
  <c r="BM31" i="38"/>
  <c r="BT32" i="38"/>
  <c r="BR32" i="38"/>
  <c r="A34" i="38"/>
  <c r="BZ34" i="38" s="1"/>
  <c r="AA34" i="38"/>
  <c r="AC34" i="38"/>
  <c r="AB34" i="38"/>
  <c r="B34" i="38"/>
  <c r="AD34" i="38"/>
  <c r="Z35" i="38"/>
  <c r="CX28" i="38" l="1"/>
  <c r="CI32" i="38"/>
  <c r="CU31" i="38"/>
  <c r="CV31" i="38" s="1"/>
  <c r="CW31" i="38" s="1"/>
  <c r="CT31" i="38"/>
  <c r="CE33" i="38"/>
  <c r="BR33" i="38"/>
  <c r="CF32" i="38"/>
  <c r="BN32" i="38"/>
  <c r="BS33" i="38"/>
  <c r="CD33" i="38"/>
  <c r="CF33" i="38" s="1"/>
  <c r="H34" i="38"/>
  <c r="CV30" i="38"/>
  <c r="CW30" i="38" s="1"/>
  <c r="J30" i="38"/>
  <c r="BO33" i="38"/>
  <c r="BM32" i="38"/>
  <c r="AD35" i="38"/>
  <c r="AB35" i="38"/>
  <c r="B35" i="38"/>
  <c r="Z36" i="38"/>
  <c r="A35" i="38"/>
  <c r="BZ35" i="38" s="1"/>
  <c r="AA35" i="38"/>
  <c r="AC35" i="38"/>
  <c r="BM33" i="38"/>
  <c r="BO32" i="38"/>
  <c r="BQ32" i="38"/>
  <c r="CX29" i="38" l="1"/>
  <c r="CY28" i="38"/>
  <c r="K28" i="38" s="1"/>
  <c r="M28" i="38"/>
  <c r="CZ28" i="38"/>
  <c r="L28" i="38" s="1"/>
  <c r="CI33" i="38"/>
  <c r="CT33" i="38"/>
  <c r="CU33" i="38" s="1"/>
  <c r="J33" i="38" s="1"/>
  <c r="CT32" i="38"/>
  <c r="CU32" i="38" s="1"/>
  <c r="J31" i="38"/>
  <c r="BP33" i="38"/>
  <c r="BN33" i="38"/>
  <c r="H35" i="38"/>
  <c r="I34" i="38"/>
  <c r="BR34" i="38" s="1"/>
  <c r="CC34" i="38"/>
  <c r="BQ33" i="38"/>
  <c r="Z37" i="38"/>
  <c r="AC37" i="38" s="1"/>
  <c r="AD36" i="38"/>
  <c r="AB36" i="38"/>
  <c r="AC36" i="38"/>
  <c r="CX30" i="38" l="1"/>
  <c r="CX31" i="38" s="1"/>
  <c r="CZ31" i="38" s="1"/>
  <c r="L31" i="38" s="1"/>
  <c r="CZ29" i="38"/>
  <c r="L29" i="38" s="1"/>
  <c r="M29" i="38"/>
  <c r="CY29" i="38"/>
  <c r="K29" i="38" s="1"/>
  <c r="BO34" i="38"/>
  <c r="CV32" i="38"/>
  <c r="CW32" i="38" s="1"/>
  <c r="J32" i="38"/>
  <c r="CV33" i="38"/>
  <c r="CW33" i="38" s="1"/>
  <c r="CE34" i="38"/>
  <c r="BS34" i="38"/>
  <c r="CD34" i="38"/>
  <c r="BN34" i="38" s="1"/>
  <c r="BT34" i="38"/>
  <c r="I35" i="38"/>
  <c r="BR35" i="38" s="1"/>
  <c r="CC35" i="38"/>
  <c r="H36" i="38"/>
  <c r="BM34" i="38"/>
  <c r="B36" i="38"/>
  <c r="AA36" i="38"/>
  <c r="A36" i="38"/>
  <c r="BZ36" i="38" s="1"/>
  <c r="AD37" i="38"/>
  <c r="H37" i="38" s="1"/>
  <c r="AB37" i="38"/>
  <c r="Z38" i="38"/>
  <c r="AC38" i="38" s="1"/>
  <c r="CY31" i="38" l="1"/>
  <c r="K31" i="38" s="1"/>
  <c r="CY30" i="38"/>
  <c r="K30" i="38" s="1"/>
  <c r="M30" i="38"/>
  <c r="CZ30" i="38"/>
  <c r="L30" i="38" s="1"/>
  <c r="CX32" i="38"/>
  <c r="CX33" i="38" s="1"/>
  <c r="M33" i="38" s="1"/>
  <c r="M31" i="38"/>
  <c r="CI34" i="38"/>
  <c r="CF34" i="38"/>
  <c r="I37" i="38"/>
  <c r="CC37" i="38"/>
  <c r="CE35" i="38"/>
  <c r="BS35" i="38"/>
  <c r="CD35" i="38"/>
  <c r="CI35" i="38" s="1"/>
  <c r="BP34" i="38"/>
  <c r="BT35" i="38"/>
  <c r="BQ34" i="38"/>
  <c r="I36" i="38"/>
  <c r="BR36" i="38" s="1"/>
  <c r="CC36" i="38"/>
  <c r="BO35" i="38"/>
  <c r="AB38" i="38"/>
  <c r="AD38" i="38"/>
  <c r="H38" i="38" s="1"/>
  <c r="AA37" i="38"/>
  <c r="B37" i="38"/>
  <c r="A37" i="38"/>
  <c r="BZ37" i="38" s="1"/>
  <c r="BM35" i="38"/>
  <c r="CZ32" i="38" l="1"/>
  <c r="L32" i="38" s="1"/>
  <c r="CY32" i="38"/>
  <c r="K32" i="38" s="1"/>
  <c r="M32" i="38"/>
  <c r="CU34" i="38"/>
  <c r="CV34" i="38" s="1"/>
  <c r="CW34" i="38" s="1"/>
  <c r="CX34" i="38" s="1"/>
  <c r="CT34" i="38"/>
  <c r="CF35" i="38"/>
  <c r="BT36" i="38"/>
  <c r="CY33" i="38"/>
  <c r="K33" i="38" s="1"/>
  <c r="CZ33" i="38"/>
  <c r="L33" i="38" s="1"/>
  <c r="BN35" i="38"/>
  <c r="I38" i="38"/>
  <c r="CE38" i="38" s="1"/>
  <c r="BP35" i="38"/>
  <c r="CE36" i="38"/>
  <c r="BS36" i="38"/>
  <c r="CD36" i="38"/>
  <c r="BN36" i="38" s="1"/>
  <c r="BQ35" i="38"/>
  <c r="BT37" i="38"/>
  <c r="CE37" i="38"/>
  <c r="J34" i="38"/>
  <c r="CD37" i="38"/>
  <c r="BP37" i="38" s="1"/>
  <c r="BS37" i="38"/>
  <c r="BR37" i="38"/>
  <c r="BO36" i="38"/>
  <c r="BM36" i="38"/>
  <c r="A38" i="38"/>
  <c r="BZ38" i="38" s="1"/>
  <c r="B38" i="38"/>
  <c r="AA38" i="38"/>
  <c r="Z40" i="38" s="1"/>
  <c r="CI37" i="38" l="1"/>
  <c r="CI36" i="38"/>
  <c r="CU35" i="38"/>
  <c r="CT35" i="38"/>
  <c r="CF37" i="38"/>
  <c r="BR38" i="38"/>
  <c r="BR40" i="38" s="1"/>
  <c r="BQ36" i="38"/>
  <c r="BT38" i="38"/>
  <c r="BT40" i="38" s="1"/>
  <c r="CF36" i="38"/>
  <c r="CV35" i="38"/>
  <c r="CW35" i="38" s="1"/>
  <c r="CX35" i="38" s="1"/>
  <c r="J35" i="38"/>
  <c r="CC38" i="38"/>
  <c r="CZ34" i="38"/>
  <c r="L34" i="38" s="1"/>
  <c r="CY34" i="38"/>
  <c r="K34" i="38" s="1"/>
  <c r="M34" i="38"/>
  <c r="BN37" i="38"/>
  <c r="BP36" i="38"/>
  <c r="CD38" i="38"/>
  <c r="BN38" i="38" s="1"/>
  <c r="BS38" i="38"/>
  <c r="BS40" i="38" s="1"/>
  <c r="BM37" i="38"/>
  <c r="BO37" i="38"/>
  <c r="BQ37" i="38"/>
  <c r="CF38" i="38" l="1"/>
  <c r="CU38" i="38" s="1"/>
  <c r="CV38" i="38" s="1"/>
  <c r="CW38" i="38" s="1"/>
  <c r="CI38" i="38"/>
  <c r="CU36" i="38"/>
  <c r="CT36" i="38"/>
  <c r="CU37" i="38"/>
  <c r="CT37" i="38"/>
  <c r="CZ35" i="38"/>
  <c r="L35" i="38" s="1"/>
  <c r="BN40" i="38"/>
  <c r="BP38" i="38"/>
  <c r="BP40" i="38" s="1"/>
  <c r="BM38" i="38"/>
  <c r="BM40" i="38" s="1"/>
  <c r="BO38" i="38"/>
  <c r="BO40" i="38" s="1"/>
  <c r="BS42" i="38"/>
  <c r="N44" i="38" s="1"/>
  <c r="P44" i="38" s="1"/>
  <c r="R44" i="38" s="1"/>
  <c r="BQ38" i="38"/>
  <c r="BQ40" i="38" s="1"/>
  <c r="BQ42" i="38" s="1"/>
  <c r="N41" i="38" s="1"/>
  <c r="P41" i="38" s="1"/>
  <c r="R41" i="38" s="1"/>
  <c r="CT38" i="38" l="1"/>
  <c r="BM42" i="38"/>
  <c r="N42" i="38" s="1"/>
  <c r="P42" i="38" s="1"/>
  <c r="R42" i="38" s="1"/>
  <c r="CY35" i="38"/>
  <c r="K35" i="38" s="1"/>
  <c r="M35" i="38"/>
  <c r="CV37" i="38"/>
  <c r="CW37" i="38" s="1"/>
  <c r="J37" i="38"/>
  <c r="BO42" i="38"/>
  <c r="N43" i="38" s="1"/>
  <c r="P43" i="38" s="1"/>
  <c r="R43" i="38" s="1"/>
  <c r="CV36" i="38"/>
  <c r="CW36" i="38" s="1"/>
  <c r="CX36" i="38" s="1"/>
  <c r="CX37" i="38" s="1"/>
  <c r="CX38" i="38" s="1"/>
  <c r="J36" i="38"/>
  <c r="J38" i="38"/>
  <c r="CZ38" i="38" l="1"/>
  <c r="L38" i="38" s="1"/>
  <c r="CY38" i="38"/>
  <c r="K38" i="38" s="1"/>
  <c r="CZ36" i="38"/>
  <c r="L36" i="38" s="1"/>
  <c r="CY36" i="38"/>
  <c r="K36" i="38" s="1"/>
  <c r="M36" i="38"/>
  <c r="CZ37" i="38"/>
  <c r="L37" i="38" s="1"/>
  <c r="CY37" i="38"/>
  <c r="K37" i="38" s="1"/>
  <c r="M37" i="38"/>
  <c r="M38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BW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CR: verrekening van de pauze,</t>
        </r>
      </text>
    </comment>
    <comment ref="BW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CA: Eerste registratieWordt gebruikt in de kolom CS: berekening 9u,</t>
        </r>
      </text>
    </comment>
    <comment ref="CX8" authorId="0" shapeId="0" xr:uid="{A301E3C1-38B6-461A-A7C3-F0D9FE0092C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Opgepast, in deze formulle verwijzen we de eerste keer naar het saldo van de vorige maand, en dan naar het saldo van de vorige DAG!!</t>
        </r>
      </text>
    </comment>
    <comment ref="BW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CS: berekening 9u.</t>
        </r>
      </text>
    </comment>
    <comment ref="BW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bbeperking AM.</t>
        </r>
      </text>
    </comment>
    <comment ref="BW1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CJ: beperking AM.</t>
        </r>
      </text>
    </comment>
    <comment ref="BW1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beperking PM.</t>
        </r>
      </text>
    </comment>
    <comment ref="BW1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CK: bbeperking PM.</t>
        </r>
      </text>
    </comment>
    <comment ref="BW1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 CB: Laatste registratie.</t>
        </r>
      </text>
    </comment>
    <comment ref="BW19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BW2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Wordt gebruikt in de kolomen B(M-N-O-P): Telling verlofdag VV AM/PM; KD AM/PM</t>
        </r>
      </text>
    </comment>
    <comment ref="E40" authorId="0" shapeId="0" xr:uid="{04870A5F-CF62-425D-A66B-F44B5D462A9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I40" authorId="0" shapeId="0" xr:uid="{18F5DB51-E5D6-46C3-BB1B-B690CBCF603E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V41.</t>
        </r>
      </text>
    </comment>
    <comment ref="D4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825683B-AE1A-4263-A1A7-0B275439F0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I43" authorId="0" shapeId="0" xr:uid="{10F0B68E-5FB7-40B7-986F-2E5069FA89B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Gelinkt aan de waarde in cel V44.</t>
        </r>
      </text>
    </comment>
    <comment ref="D44" authorId="0" shapeId="0" xr:uid="{B8A32540-C970-4CA9-98B3-8F152C2F3A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909528DE-61E9-428D-8B8A-6C6C9F4C300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187D3B0-A67E-41B9-BDD3-3B88C002BBF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078D94-B3B3-4171-B863-643C76DA25C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94550479-C9E0-4D74-9C8E-22DE675287F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18CCE54-AA8F-4F4C-BDB1-1FF0DE1D95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E202F21-C4A2-40EA-8370-F48FCCA4A62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74124C2-E8B4-4A87-94C5-CE03949DCA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3CC48A33-7FE2-4F2B-A04C-65889233C5A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E0F228A-3B8B-40CA-8478-8432316FF71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29645A90-FD6E-4786-B227-964EBB434DA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6078A6FF-45D2-4A2F-9D0B-2A49B58C0F2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905B3266-D5EB-4CFD-8699-A9C4A23C255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E0BC61B-DE05-4772-B7A9-0B3CB2284DD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64A9621A-41CC-45DE-8267-0543766728E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C5C8A9DC-93A7-434C-A81F-6A94A917B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33C8343-F1B4-4FA8-952B-A3B3F19F65E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39A661F3-6223-4536-A00D-20666BEDBC9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9104684-1E78-411D-A35C-2C5003D5475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3B4C952-80DA-4766-86E2-BF4926C227D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2BC3774-07E8-4F72-A710-02DFAA8F687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FB7F3374-8A3C-4172-ABA9-ED8D51B8325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A3133507-66D8-43FB-80BF-323F56BCA22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8F0E054-80D0-4DF6-A4EC-B81512B43C0B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FF724B5C-542C-4DF5-9C55-1EC99087F0F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FC7BF20-6882-42D9-8B85-1B5BAC48C6B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DD367926-E8AF-4AC3-8E53-E69403D10A9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71801384-09CA-498B-8D02-947B5023606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CAC25AEB-691F-42B4-9AA6-0FD8616CA0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535221A0-3F1A-46CC-B91D-9BFCACDD2EA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251E9497-387C-4FAB-858E-ACF9836C225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0FE67317-78F8-404C-9402-BC7A0DADD9B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51EE851A-26BE-4A2A-8B8B-79A5468631C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D65BDA25-6742-46AF-AE43-D3E7F3312D4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FDBC9108-30E7-4780-9B92-125957DD4F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BEA6F715-91DF-4CEE-B919-2A88A528CF4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B5D56EC5-C2C4-4DF4-AD9B-8CBAE0AECFB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66EF398F-76E7-4363-B4CE-2A739DC55D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40B1146-17D3-40B9-806B-D1A7EF75377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A44B9435-2E49-434C-9C2B-DFF2FE95E20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6C4827E8-3B5D-4E2A-A189-D5D14C0CB35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7B1C6B42-0A1D-4F16-86A7-2D11A19CD28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3405D23D-F648-4C96-9750-7E9CC189E6DF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896E0D6F-C487-48E3-A3CD-555AA311C7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9598F50-B769-4CD2-A113-E4FE427F79D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3B6D56B8-3B59-47EA-A008-6304F00BCE6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7A330374-40B5-4FA5-88D5-3A1FB247BFB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8857B954-723C-4619-8493-62BDED6B850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09F4960A-7B42-418D-96CF-F2AECA01AD2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ABFC4DB-5C52-4013-9BC8-8BB6F6FC5F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57867AA-FA67-4415-9EC8-ABC126FAC8F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1BF5084-1930-4E27-9598-441404ACDF36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4536CE64-527C-4555-9BD9-7EE9D78B7D61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E89089-F748-4223-B556-D568FF897D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DC19402-730E-4C4B-977A-204A5B8F1D39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3EE05366-1096-4C2A-9FD5-39D563D1EE3A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E5A40A78-F3A8-4712-97B8-017C70250BF4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65F8674A-EF16-4FD5-AD47-9D14DE2AC74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EFF6B02B-D3BA-4946-9776-71CD76170BE0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0F63552E-5AA3-4C8D-B879-B47465E9969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A750B9C3-5B6E-4811-8880-F1B675E999AC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BC4ED9BD-E076-4021-8FCC-520E9E282C5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1B6AB135-712A-4A97-9DFF-D422B205D6E3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Cattoor Bjorn</author>
  </authors>
  <commentList>
    <comment ref="E40" authorId="0" shapeId="0" xr:uid="{5C27F3E7-C3B8-4382-9A6E-0F185DC343E2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45: NIET BENUTTIGING - wegens vrijwillig arbeidsstelsel van 32 uren per week
46: NIET BENUTTIGING -wegens vrijwillig stelsel van halftijdse arbeid om sociale of familiale redenen
47: NIET BENUTTIGING - wegens vrijwillig stelsel van halftijdse arbeid om andere dan sociale of familiale redenen</t>
        </r>
      </text>
    </comment>
    <comment ref="D42" authorId="0" shapeId="0" xr:uid="{B97B674C-2565-4354-89DF-2446A87E7D68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3" authorId="0" shapeId="0" xr:uid="{4412E76C-2335-4398-BE90-F9349C817EB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4" authorId="0" shapeId="0" xr:uid="{196089EA-A95F-4AB9-9716-6EC355639A05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5" authorId="0" shapeId="0" xr:uid="{2F7DFFB1-109A-495A-AABA-50AD2EBE1CAD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  <comment ref="D46" authorId="0" shapeId="0" xr:uid="{76C6FB46-42AC-45E6-810D-AB618FB55697}">
      <text>
        <r>
          <rPr>
            <b/>
            <sz val="9"/>
            <color indexed="81"/>
            <rFont val="Tahoma"/>
            <family val="2"/>
          </rPr>
          <t>Cattoor Bjorn:</t>
        </r>
        <r>
          <rPr>
            <sz val="9"/>
            <color indexed="81"/>
            <rFont val="Tahoma"/>
            <family val="2"/>
          </rPr>
          <t xml:space="preserve">
0 = geen deeltijdse dag
1 = wel een deeltijdse dag
2 = halve deeltijdse dag in namiddag</t>
        </r>
      </text>
    </comment>
  </commentList>
</comments>
</file>

<file path=xl/sharedStrings.xml><?xml version="1.0" encoding="utf-8"?>
<sst xmlns="http://schemas.openxmlformats.org/spreadsheetml/2006/main" count="4318" uniqueCount="307">
  <si>
    <t>Beschrijving</t>
  </si>
  <si>
    <t>Uren</t>
  </si>
  <si>
    <t>%</t>
  </si>
  <si>
    <t>Totaal</t>
  </si>
  <si>
    <t>Code</t>
  </si>
  <si>
    <t>Boekhoudnr</t>
  </si>
  <si>
    <t>Code = 1</t>
  </si>
  <si>
    <t>Code = 2</t>
  </si>
  <si>
    <t>Code = 3</t>
  </si>
  <si>
    <t>Code = 4</t>
  </si>
  <si>
    <t>Code = 5</t>
  </si>
  <si>
    <t>Code = 6</t>
  </si>
  <si>
    <t>Code = 7</t>
  </si>
  <si>
    <t>Code = 8</t>
  </si>
  <si>
    <t>Code = 9</t>
  </si>
  <si>
    <t>Code = 10</t>
  </si>
  <si>
    <t>Code = 11</t>
  </si>
  <si>
    <t>Code = 12</t>
  </si>
  <si>
    <t>Code = 13</t>
  </si>
  <si>
    <t>Code = 14</t>
  </si>
  <si>
    <t>Code = 15</t>
  </si>
  <si>
    <t>Code = 16</t>
  </si>
  <si>
    <t>Code = 17</t>
  </si>
  <si>
    <t>Code = 18</t>
  </si>
  <si>
    <t>Code = 19</t>
  </si>
  <si>
    <t>Code = 20</t>
  </si>
  <si>
    <t>Code = 21</t>
  </si>
  <si>
    <t>Code = 22</t>
  </si>
  <si>
    <t>Code = 23</t>
  </si>
  <si>
    <t>Code = 24</t>
  </si>
  <si>
    <t>Code = 25</t>
  </si>
  <si>
    <t>Code = 26</t>
  </si>
  <si>
    <t>Code = 27</t>
  </si>
  <si>
    <t>Code = 28</t>
  </si>
  <si>
    <t>Code = 29</t>
  </si>
  <si>
    <t>Code = 30</t>
  </si>
  <si>
    <t>Maand</t>
  </si>
  <si>
    <t>Jaar</t>
  </si>
  <si>
    <t xml:space="preserve"> </t>
  </si>
  <si>
    <t>RW</t>
  </si>
  <si>
    <t>CW</t>
  </si>
  <si>
    <t>ZZ</t>
  </si>
  <si>
    <t>CT</t>
  </si>
  <si>
    <t>VV</t>
  </si>
  <si>
    <t>KD</t>
  </si>
  <si>
    <t>RR</t>
  </si>
  <si>
    <t>VS</t>
  </si>
  <si>
    <t>DD</t>
  </si>
  <si>
    <t>GP</t>
  </si>
  <si>
    <t>GV</t>
  </si>
  <si>
    <t>GW</t>
  </si>
  <si>
    <t>LO</t>
  </si>
  <si>
    <t>VD</t>
  </si>
  <si>
    <t>HO</t>
  </si>
  <si>
    <t>Maaltijdcheque</t>
  </si>
  <si>
    <t>HT</t>
  </si>
  <si>
    <t>OZ</t>
  </si>
  <si>
    <t>TS</t>
  </si>
  <si>
    <t>NB</t>
  </si>
  <si>
    <t>VZ</t>
  </si>
  <si>
    <t>TT</t>
  </si>
  <si>
    <t>DP</t>
  </si>
  <si>
    <t>OD</t>
  </si>
  <si>
    <t>OL</t>
  </si>
  <si>
    <t>PA</t>
  </si>
  <si>
    <t>PV</t>
  </si>
  <si>
    <t>SC</t>
  </si>
  <si>
    <t>SP</t>
  </si>
  <si>
    <t>SY</t>
  </si>
  <si>
    <t>TZ</t>
  </si>
  <si>
    <t>VO</t>
  </si>
  <si>
    <t>ZB</t>
  </si>
  <si>
    <t>ZD</t>
  </si>
  <si>
    <t>AA</t>
  </si>
  <si>
    <t>AS</t>
  </si>
  <si>
    <t>BZ</t>
  </si>
  <si>
    <t>BS</t>
  </si>
  <si>
    <t>RB</t>
  </si>
  <si>
    <t>CM</t>
  </si>
  <si>
    <t>CI</t>
  </si>
  <si>
    <t>datanr</t>
  </si>
  <si>
    <t>Label</t>
  </si>
  <si>
    <t>Valorisatie</t>
  </si>
  <si>
    <t>BB</t>
  </si>
  <si>
    <t>CO</t>
  </si>
  <si>
    <t>CV</t>
  </si>
  <si>
    <t>CX</t>
  </si>
  <si>
    <t>RX</t>
  </si>
  <si>
    <t>VZV</t>
  </si>
  <si>
    <t>dienstvrijstelling aanvulling tot 8u</t>
  </si>
  <si>
    <t>VZV/2</t>
  </si>
  <si>
    <t>Valorisatie PM</t>
  </si>
  <si>
    <t>Valorisatie AM</t>
  </si>
  <si>
    <t>Valorisatie VZV</t>
  </si>
  <si>
    <t>Valor. totaal</t>
  </si>
  <si>
    <t>Onderbreking duur</t>
  </si>
  <si>
    <t>Onderbreking extra</t>
  </si>
  <si>
    <t>Beperking AM</t>
  </si>
  <si>
    <t>Beperking PM</t>
  </si>
  <si>
    <t>Beperking totaal</t>
  </si>
  <si>
    <t>Onderbreking totaal</t>
  </si>
  <si>
    <t>Datum</t>
  </si>
  <si>
    <t>Eerste registratie</t>
  </si>
  <si>
    <t>A</t>
  </si>
  <si>
    <t>Laatste registratie</t>
  </si>
  <si>
    <t>C</t>
  </si>
  <si>
    <t>Prestatie</t>
  </si>
  <si>
    <t>pauze</t>
  </si>
  <si>
    <t>Verrekening pauze</t>
  </si>
  <si>
    <t>Wettelijke prestatie</t>
  </si>
  <si>
    <t>Stand saldo</t>
  </si>
  <si>
    <t xml:space="preserve"> +/- </t>
  </si>
  <si>
    <t>Saldo</t>
  </si>
  <si>
    <t>Prestatie rekeningnr</t>
  </si>
  <si>
    <t>uren kredietnr / dag=</t>
  </si>
  <si>
    <t>uren kredietnr / maand=</t>
  </si>
  <si>
    <t>tijd1</t>
  </si>
  <si>
    <t>Naam code =</t>
  </si>
  <si>
    <t>Nummer code =</t>
  </si>
  <si>
    <t>uren/dag/code =</t>
  </si>
  <si>
    <t>Som uren/code =</t>
  </si>
  <si>
    <t>Som uren alle codes =</t>
  </si>
  <si>
    <t>% code/maand =</t>
  </si>
  <si>
    <t>code/maand =</t>
  </si>
  <si>
    <t>Som code/maand =</t>
  </si>
  <si>
    <t>Vergelijking prestatie/krediet</t>
  </si>
  <si>
    <t>dag vd week</t>
  </si>
  <si>
    <t>Prest</t>
  </si>
  <si>
    <t>Registratie</t>
  </si>
  <si>
    <t>eerste</t>
  </si>
  <si>
    <t>laatste</t>
  </si>
  <si>
    <t>Pauze</t>
  </si>
  <si>
    <t>einde</t>
  </si>
  <si>
    <t>begin</t>
  </si>
  <si>
    <t>extra</t>
  </si>
  <si>
    <t>AM</t>
  </si>
  <si>
    <t>PM</t>
  </si>
  <si>
    <t>Werk</t>
  </si>
  <si>
    <t>Tijd</t>
  </si>
  <si>
    <t>nr</t>
  </si>
  <si>
    <t>Lijst</t>
  </si>
  <si>
    <t>werken</t>
  </si>
  <si>
    <t>Verrekening verdeling kredietnummers over de prestaties</t>
  </si>
  <si>
    <t>Bepaling weekdag</t>
  </si>
  <si>
    <t>Verrekening  prestaties , afwezigheden per dag (rekening houdend met de geldende beperkingen</t>
  </si>
  <si>
    <t>Codes , valorisatie , maaltijdcheque</t>
  </si>
  <si>
    <t xml:space="preserve">Aantal dagen verlof </t>
  </si>
  <si>
    <t xml:space="preserve">Aantal kredietdagen </t>
  </si>
  <si>
    <t>Verlofdagen tegoed  (vorig jaar)</t>
  </si>
  <si>
    <t>Kredietdagen tegoed   (vorig jaar)</t>
  </si>
  <si>
    <t>Aantal dagen brugkrediet</t>
  </si>
  <si>
    <t>Tegoed</t>
  </si>
  <si>
    <t>Vorig saldo</t>
  </si>
  <si>
    <t>Beginsaldo =</t>
  </si>
  <si>
    <t>CV (AM)</t>
  </si>
  <si>
    <t>CV (PM)</t>
  </si>
  <si>
    <t>maand</t>
  </si>
  <si>
    <t xml:space="preserve"> -dag</t>
  </si>
  <si>
    <t>maanden &lt; 31 dagen</t>
  </si>
  <si>
    <t>dagen &lt;31</t>
  </si>
  <si>
    <t>laatste dag vorige maand</t>
  </si>
  <si>
    <t>dagen &lt; dan 31 huidige maand</t>
  </si>
  <si>
    <t>dagen &lt; dan 31 vorige maand</t>
  </si>
  <si>
    <t>Aan te passen = cellen E3 en D3 (saldo)  /  cellen AA39 en AA41 (begindatum maand)  /  cellen P41 tot P46 (stand verlof, …)</t>
  </si>
  <si>
    <t>Omschrijving</t>
  </si>
  <si>
    <t>Aantal dagen CV</t>
  </si>
  <si>
    <t>GELEGENHEIDSVERLOF</t>
  </si>
  <si>
    <t>BEROEPSZIEKTE</t>
  </si>
  <si>
    <t>GEKWETST OP DE PLAATS VAN HET WERK</t>
  </si>
  <si>
    <t>GEKWETST OP DE WEG NAAR OF VAN HET WERK</t>
  </si>
  <si>
    <t>WACHTAFDELING</t>
  </si>
  <si>
    <t>TIJDSBONIFICATIE VOOR ZONDAGSWERK</t>
  </si>
  <si>
    <t>COMPENSATIE OVERWERK</t>
  </si>
  <si>
    <t>BRUGKREDIET - variabele werktijd</t>
  </si>
  <si>
    <t xml:space="preserve">VRIJSTELLING NORMALE DIENST - premies 0 % </t>
  </si>
  <si>
    <t>SOCIALE PROMOTIE</t>
  </si>
  <si>
    <t xml:space="preserve">DIENSTVRIJSTELLING - persoonlijke reden  </t>
  </si>
  <si>
    <t>DIENSTVRIJSTELLING POLITIEK MANDAAT</t>
  </si>
  <si>
    <t>DIENSTVRIJSTELLING - staking</t>
  </si>
  <si>
    <t>SYNDICAAL VERLOF</t>
  </si>
  <si>
    <t>NIET BENUTTIGING - wegens halftijds verlof ter voorbereiding van de opruststelling</t>
  </si>
  <si>
    <t>BESCHIKBAARHEIDSVERLOF</t>
  </si>
  <si>
    <t>VERLOF TER VOORBEREIDING VAN DE OPRUSTSTELLING</t>
  </si>
  <si>
    <t>POLITIEK VERLOF - zonder bezoldiging</t>
  </si>
  <si>
    <t>OVERLIJDEN</t>
  </si>
  <si>
    <t>AFWEZIGHEID - staking</t>
  </si>
  <si>
    <t>SCHORSING</t>
  </si>
  <si>
    <t>AFWEZIGHEID - ongerechtvaardigd</t>
  </si>
  <si>
    <t>WA</t>
  </si>
  <si>
    <t>WEKELIJKSE RUSTDAG - zondag</t>
  </si>
  <si>
    <t>RUSTDAG - FEESTDAG IN DE WEEK</t>
  </si>
  <si>
    <t>COMPENSATIEVERLOF - zaterdag</t>
  </si>
  <si>
    <t>BETAALDE RUST - niet-statutairen</t>
  </si>
  <si>
    <t>VAKANTIEVERLOF</t>
  </si>
  <si>
    <t>ZIEKTE OF KWETSUUR - privé</t>
  </si>
  <si>
    <t>VA</t>
  </si>
  <si>
    <t>ONBEZOLDIGD GELEGENHEIDSVERLOF</t>
  </si>
  <si>
    <t>JV</t>
  </si>
  <si>
    <t>JEUGDVAKANTIEDAGEN</t>
  </si>
  <si>
    <t>RUSTDAG - onregelmatige cyclus</t>
  </si>
  <si>
    <t>COMPENSATIEVERLOF - variabele</t>
  </si>
  <si>
    <t>COMPENSATIE MUTATIE</t>
  </si>
  <si>
    <t>COMPENSATIE TIJD</t>
  </si>
  <si>
    <t>COMPENSATIE TIJD - specifieke toekenning (bv. hitte)</t>
  </si>
  <si>
    <t>CB</t>
  </si>
  <si>
    <t>COMPENSATIE TIJD - specifiek - overplaatsing (werkplaats)</t>
  </si>
  <si>
    <t>COMPENSATIEVERLOF (onregelmatige cyclus)</t>
  </si>
  <si>
    <t>KREDIETDAG</t>
  </si>
  <si>
    <t>LT</t>
  </si>
  <si>
    <t>GEDEELTELIJKE LOOPBAANONDERBREKING -32u/week</t>
  </si>
  <si>
    <t>DIENSTVRIJSTELLING - HALVE RUST</t>
  </si>
  <si>
    <t>LH</t>
  </si>
  <si>
    <t>GEDEELTELIJKE LOOPBAANONDERBREKING -halftijds</t>
  </si>
  <si>
    <t>PALLIATIEF VERLOF</t>
  </si>
  <si>
    <t>NIET BENUTTIGING - wegens vrijwillig arbeidsstelsel van 32 uren per week</t>
  </si>
  <si>
    <t>NIET BENUTTIGING -wegens vrijwillig stelsel van halftijdse arbeid om sociale of familiale redenen</t>
  </si>
  <si>
    <t>NIET BENUTTIGING - wegens vrijwillig stelsel van halftijdse arbeid om andere dan sociale of familiale redenen</t>
  </si>
  <si>
    <t>NIET BENUTTIGING - onvoldoende tussenpoos treinpersoneel</t>
  </si>
  <si>
    <t>NIET BENUTTIGING - onvoldoende tussenpoos overig personeel</t>
  </si>
  <si>
    <t>OO</t>
  </si>
  <si>
    <t>ZO</t>
  </si>
  <si>
    <t>ZORG VOOR EEN ZWAAR ZIEK GEZINS-/FAMILIELID</t>
  </si>
  <si>
    <t>VERLOF ZONDER BEZOLDIGING</t>
  </si>
  <si>
    <t>VOLLEDIGE LOOPBAANONDERBREKING</t>
  </si>
  <si>
    <t>VERLOF ZONDER BEZOLDEGING - om dwingende redenen</t>
  </si>
  <si>
    <t>OU</t>
  </si>
  <si>
    <t>NIET BENUTTIGING  voor aanwerving - na ontslag</t>
  </si>
  <si>
    <t>OUDERSCHAPSVERLOF</t>
  </si>
  <si>
    <t>DI</t>
  </si>
  <si>
    <t>DETACHERING -binnen de Maatschappij</t>
  </si>
  <si>
    <t>ONDER DE WAPENS</t>
  </si>
  <si>
    <t>DE</t>
  </si>
  <si>
    <t>DETACHERING -buiten de Maatschappij</t>
  </si>
  <si>
    <t xml:space="preserve"> -</t>
  </si>
  <si>
    <t>VN</t>
  </si>
  <si>
    <t>VR</t>
  </si>
  <si>
    <t xml:space="preserve">VRIJSTELLING NORMALE DIENST - premies 100 % </t>
  </si>
  <si>
    <t xml:space="preserve">VRIJSTELLING NORMALE DIENST - premies 50 % </t>
  </si>
  <si>
    <t>gehele dag</t>
  </si>
  <si>
    <t>halve dag</t>
  </si>
  <si>
    <t>gehele of halve dag</t>
  </si>
  <si>
    <t>Telling verlofdagen</t>
  </si>
  <si>
    <t>BB (AM)</t>
  </si>
  <si>
    <t>BB (PM)</t>
  </si>
  <si>
    <t>Wettelijke feestdagen</t>
  </si>
  <si>
    <t>Bepaling feestdag</t>
  </si>
  <si>
    <t xml:space="preserve"> - </t>
  </si>
  <si>
    <t>Paasmaandag</t>
  </si>
  <si>
    <t>O.L.H.Hemelvaart</t>
  </si>
  <si>
    <t>Pinkstermaandag</t>
  </si>
  <si>
    <t>Nieuwjaar</t>
  </si>
  <si>
    <t>Dag vd arbeid</t>
  </si>
  <si>
    <t>Kerstmis</t>
  </si>
  <si>
    <t>Tweede kerstdag</t>
  </si>
  <si>
    <t>Dag vd dynastie</t>
  </si>
  <si>
    <t>Allerheiligen</t>
  </si>
  <si>
    <t>Allerzielen</t>
  </si>
  <si>
    <t>O.L.Vrouw ten hemelopneming</t>
  </si>
  <si>
    <t>Nationale feestdag</t>
  </si>
  <si>
    <t>Wapenstilstand</t>
  </si>
  <si>
    <t>Enkel de gele vakken aan te vullen</t>
  </si>
  <si>
    <t>dienstvrijstelling aanvulling tot 4u</t>
  </si>
  <si>
    <t>tevens verrekening CV en Brugkrediet</t>
  </si>
  <si>
    <t>minuten</t>
  </si>
  <si>
    <t>honderdsten</t>
  </si>
  <si>
    <t>Verrekening uren tussen 7u en 18u30</t>
  </si>
  <si>
    <t>2021 Beschikbaar Credit</t>
  </si>
  <si>
    <t>CJ</t>
  </si>
  <si>
    <t>CS</t>
  </si>
  <si>
    <t>CA</t>
  </si>
  <si>
    <t>CR</t>
  </si>
  <si>
    <t>CK</t>
  </si>
  <si>
    <t>Wordt gebruikt in</t>
  </si>
  <si>
    <t>??</t>
  </si>
  <si>
    <t>2de: CW &amp; CX</t>
  </si>
  <si>
    <t>Telling verlofdag</t>
  </si>
  <si>
    <t>Werklijst link</t>
  </si>
  <si>
    <t>werklijst</t>
  </si>
  <si>
    <t>werklijst ES</t>
  </si>
  <si>
    <t>ma</t>
  </si>
  <si>
    <t>di</t>
  </si>
  <si>
    <t>woe</t>
  </si>
  <si>
    <t>do</t>
  </si>
  <si>
    <t>vr</t>
  </si>
  <si>
    <t>Dag</t>
  </si>
  <si>
    <t>&lt;-- (AFGESCHAFT)</t>
  </si>
  <si>
    <t>Arbeidsstelsel (Alle rekenbladen!)</t>
  </si>
  <si>
    <t>i.</t>
  </si>
  <si>
    <t>Aan/Uit</t>
  </si>
  <si>
    <t>&lt;-- (NIET AFGESCHAFT bron: orderboek week 1 2021)</t>
  </si>
  <si>
    <t>Codes in het rood(accent 2) = aangepast voor de berekening van deeltijdse arbeid Past zichzelf aan op basis van geselecteerd arbeidsstelsel</t>
  </si>
  <si>
    <t>CV [22]</t>
  </si>
  <si>
    <t>VV [7]</t>
  </si>
  <si>
    <t>KD [30]</t>
  </si>
  <si>
    <t>BB [27]</t>
  </si>
  <si>
    <t>Verschil met 7u36 of 8u(deeltijds)</t>
  </si>
  <si>
    <t>voltijds 7u36'</t>
  </si>
  <si>
    <t>halftijds 7u36'</t>
  </si>
  <si>
    <t>deeltijds 8h00'</t>
  </si>
  <si>
    <t>deeltijds 7u36'</t>
  </si>
  <si>
    <t>Deeltijds: code</t>
  </si>
  <si>
    <t>Beperking 9u</t>
  </si>
  <si>
    <t>Naam hier invullen</t>
  </si>
  <si>
    <t>Beperking 9u/of 4u30</t>
  </si>
  <si>
    <t>+</t>
  </si>
  <si>
    <t xml:space="preserve">Versie </t>
  </si>
  <si>
    <t>2021-16-11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</si>
</sst>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0"/>
    <numFmt numFmtId="165" formatCode="[h]&quot;u&quot;:mm"/>
    <numFmt numFmtId="166" formatCode="d\ mmmm\ yyyy"/>
    <numFmt numFmtId="167" formatCode="0.0"/>
    <numFmt numFmtId="168" formatCode="dd"/>
    <numFmt numFmtId="169" formatCode="dd\ \ mmmm\ \ yyyy"/>
    <numFmt numFmtId="170" formatCode="ddd"/>
    <numFmt numFmtId="171" formatCode="00.00"/>
    <numFmt numFmtId="172" formatCode="0.0000000000000000"/>
    <numFmt numFmtId="173" formatCode="[$-F400]h:mm:ss\ AM/PM"/>
  </numFmts>
  <fonts count="31" x14ac:knownFonts="1">
    <font>
      <sz val="10"/>
      <name val="MS Sans Serif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b/>
      <sz val="13.5"/>
      <name val="Arial"/>
      <family val="2"/>
    </font>
    <font>
      <sz val="18"/>
      <name val="Arial"/>
      <family val="2"/>
    </font>
    <font>
      <b/>
      <sz val="10"/>
      <color indexed="48"/>
      <name val="Arial"/>
      <family val="2"/>
    </font>
    <font>
      <b/>
      <sz val="10"/>
      <color indexed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.5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.5"/>
      <name val="Arial"/>
      <family val="2"/>
    </font>
    <font>
      <sz val="10"/>
      <color indexed="10"/>
      <name val="Arial"/>
      <family val="2"/>
    </font>
    <font>
      <sz val="8"/>
      <name val="MS Sans Serif"/>
      <family val="2"/>
    </font>
    <font>
      <b/>
      <sz val="11"/>
      <name val="Arial"/>
      <family val="2"/>
    </font>
    <font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MS Sans Serif"/>
    </font>
    <font>
      <sz val="10"/>
      <color theme="0" tint="-0.14999847407452621"/>
      <name val="Arial"/>
      <family val="2"/>
    </font>
    <font>
      <sz val="1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u/>
      <sz val="10"/>
      <color theme="5" tint="0.39997558519241921"/>
      <name val="Arial"/>
      <family val="2"/>
    </font>
    <font>
      <sz val="14"/>
      <color rgb="FF000000"/>
      <name val="MS Sans Serif"/>
    </font>
  </fonts>
  <fills count="1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gray125">
        <fgColor indexed="10"/>
        <bgColor indexed="46"/>
      </patternFill>
    </fill>
    <fill>
      <patternFill patternType="gray0625"/>
    </fill>
    <fill>
      <patternFill patternType="darkUp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8" fillId="10" borderId="0" applyNumberFormat="0" applyBorder="0" applyAlignment="0" applyProtection="0"/>
  </cellStyleXfs>
  <cellXfs count="465">
    <xf numFmtId="0" fontId="0" fillId="0" borderId="0" xfId="0"/>
    <xf numFmtId="0" fontId="3" fillId="0" borderId="0" xfId="0" applyFont="1" applyProtection="1"/>
    <xf numFmtId="0" fontId="4" fillId="0" borderId="0" xfId="0" applyFont="1" applyProtection="1"/>
    <xf numFmtId="0" fontId="2" fillId="0" borderId="0" xfId="0" applyFont="1" applyAlignment="1" applyProtection="1">
      <alignment horizontal="center"/>
    </xf>
    <xf numFmtId="1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0" fontId="3" fillId="0" borderId="3" xfId="0" applyFont="1" applyBorder="1" applyAlignment="1" applyProtection="1">
      <alignment horizontal="center"/>
    </xf>
    <xf numFmtId="0" fontId="3" fillId="0" borderId="3" xfId="0" applyFont="1" applyBorder="1" applyProtection="1"/>
    <xf numFmtId="0" fontId="2" fillId="0" borderId="0" xfId="0" applyFont="1" applyProtection="1"/>
    <xf numFmtId="0" fontId="4" fillId="0" borderId="0" xfId="0" applyFont="1" applyFill="1" applyBorder="1" applyAlignment="1" applyProtection="1">
      <alignment horizontal="right"/>
    </xf>
    <xf numFmtId="0" fontId="7" fillId="0" borderId="4" xfId="0" applyFont="1" applyBorder="1" applyAlignment="1" applyProtection="1">
      <alignment horizontal="left"/>
    </xf>
    <xf numFmtId="0" fontId="7" fillId="0" borderId="4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8" fillId="0" borderId="4" xfId="0" applyFont="1" applyBorder="1" applyProtection="1"/>
    <xf numFmtId="0" fontId="3" fillId="2" borderId="5" xfId="0" applyNumberFormat="1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8" fillId="0" borderId="6" xfId="0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7" xfId="0" applyFont="1" applyBorder="1" applyProtection="1"/>
    <xf numFmtId="0" fontId="9" fillId="0" borderId="0" xfId="0" applyFont="1" applyProtection="1"/>
    <xf numFmtId="20" fontId="5" fillId="0" borderId="1" xfId="0" applyNumberFormat="1" applyFont="1" applyBorder="1" applyAlignment="1" applyProtection="1">
      <alignment horizontal="center"/>
      <protection locked="0"/>
    </xf>
    <xf numFmtId="0" fontId="3" fillId="0" borderId="0" xfId="0" applyNumberFormat="1" applyFont="1" applyProtection="1"/>
    <xf numFmtId="0" fontId="3" fillId="0" borderId="6" xfId="0" applyFont="1" applyBorder="1" applyAlignment="1" applyProtection="1">
      <alignment horizontal="center"/>
    </xf>
    <xf numFmtId="0" fontId="3" fillId="0" borderId="6" xfId="0" applyFont="1" applyBorder="1" applyProtection="1"/>
    <xf numFmtId="0" fontId="3" fillId="0" borderId="0" xfId="0" applyNumberFormat="1" applyFont="1" applyBorder="1" applyProtection="1"/>
    <xf numFmtId="0" fontId="10" fillId="0" borderId="8" xfId="0" applyFont="1" applyFill="1" applyBorder="1" applyAlignment="1" applyProtection="1">
      <alignment horizontal="center"/>
    </xf>
    <xf numFmtId="0" fontId="10" fillId="0" borderId="9" xfId="0" applyFont="1" applyFill="1" applyBorder="1" applyAlignment="1" applyProtection="1">
      <alignment horizontal="center"/>
    </xf>
    <xf numFmtId="1" fontId="10" fillId="0" borderId="9" xfId="0" applyNumberFormat="1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10" xfId="0" applyFont="1" applyFill="1" applyBorder="1" applyAlignment="1" applyProtection="1">
      <alignment horizontal="center"/>
    </xf>
    <xf numFmtId="1" fontId="10" fillId="0" borderId="10" xfId="0" applyNumberFormat="1" applyFont="1" applyFill="1" applyBorder="1" applyAlignment="1" applyProtection="1">
      <alignment horizontal="center"/>
    </xf>
    <xf numFmtId="1" fontId="10" fillId="0" borderId="11" xfId="0" applyNumberFormat="1" applyFont="1" applyFill="1" applyBorder="1" applyAlignment="1" applyProtection="1">
      <alignment horizontal="center"/>
    </xf>
    <xf numFmtId="0" fontId="10" fillId="0" borderId="12" xfId="0" applyFont="1" applyFill="1" applyBorder="1" applyAlignment="1" applyProtection="1">
      <alignment horizontal="center"/>
    </xf>
    <xf numFmtId="1" fontId="10" fillId="0" borderId="12" xfId="0" applyNumberFormat="1" applyFont="1" applyFill="1" applyBorder="1" applyAlignment="1" applyProtection="1">
      <alignment horizontal="center"/>
    </xf>
    <xf numFmtId="1" fontId="3" fillId="3" borderId="6" xfId="0" applyNumberFormat="1" applyFont="1" applyFill="1" applyBorder="1" applyAlignment="1" applyProtection="1">
      <alignment horizontal="center"/>
    </xf>
    <xf numFmtId="0" fontId="3" fillId="3" borderId="7" xfId="0" applyFont="1" applyFill="1" applyBorder="1" applyAlignment="1" applyProtection="1">
      <alignment horizontal="center"/>
    </xf>
    <xf numFmtId="0" fontId="3" fillId="0" borderId="6" xfId="0" applyFont="1" applyBorder="1" applyAlignment="1" applyProtection="1">
      <alignment horizontal="left"/>
    </xf>
    <xf numFmtId="0" fontId="11" fillId="3" borderId="0" xfId="0" applyFont="1" applyFill="1" applyBorder="1" applyProtection="1"/>
    <xf numFmtId="0" fontId="11" fillId="3" borderId="7" xfId="0" applyFont="1" applyFill="1" applyBorder="1" applyProtection="1"/>
    <xf numFmtId="0" fontId="3" fillId="0" borderId="8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2" borderId="14" xfId="0" applyFont="1" applyFill="1" applyBorder="1" applyAlignment="1" applyProtection="1">
      <alignment horizontal="center"/>
    </xf>
    <xf numFmtId="0" fontId="3" fillId="2" borderId="15" xfId="0" applyFont="1" applyFill="1" applyBorder="1" applyAlignment="1" applyProtection="1">
      <alignment horizontal="center"/>
    </xf>
    <xf numFmtId="1" fontId="3" fillId="3" borderId="16" xfId="0" applyNumberFormat="1" applyFont="1" applyFill="1" applyBorder="1" applyAlignment="1" applyProtection="1">
      <alignment horizontal="center"/>
    </xf>
    <xf numFmtId="1" fontId="3" fillId="3" borderId="17" xfId="0" applyNumberFormat="1" applyFont="1" applyFill="1" applyBorder="1" applyAlignment="1" applyProtection="1">
      <alignment horizontal="center"/>
    </xf>
    <xf numFmtId="1" fontId="3" fillId="2" borderId="18" xfId="0" applyNumberFormat="1" applyFont="1" applyFill="1" applyBorder="1" applyAlignment="1" applyProtection="1">
      <alignment horizontal="center"/>
    </xf>
    <xf numFmtId="1" fontId="3" fillId="2" borderId="17" xfId="0" applyNumberFormat="1" applyFont="1" applyFill="1" applyBorder="1" applyAlignment="1" applyProtection="1">
      <alignment horizontal="center"/>
    </xf>
    <xf numFmtId="1" fontId="3" fillId="2" borderId="19" xfId="0" applyNumberFormat="1" applyFont="1" applyFill="1" applyBorder="1" applyAlignment="1" applyProtection="1">
      <alignment horizontal="center"/>
    </xf>
    <xf numFmtId="1" fontId="3" fillId="3" borderId="20" xfId="0" applyNumberFormat="1" applyFont="1" applyFill="1" applyBorder="1" applyAlignment="1" applyProtection="1">
      <alignment horizontal="center"/>
    </xf>
    <xf numFmtId="1" fontId="3" fillId="3" borderId="21" xfId="0" applyNumberFormat="1" applyFont="1" applyFill="1" applyBorder="1" applyAlignment="1" applyProtection="1">
      <alignment horizontal="center"/>
    </xf>
    <xf numFmtId="1" fontId="3" fillId="3" borderId="18" xfId="0" applyNumberFormat="1" applyFont="1" applyFill="1" applyBorder="1" applyAlignment="1" applyProtection="1">
      <alignment horizontal="center"/>
    </xf>
    <xf numFmtId="1" fontId="3" fillId="3" borderId="19" xfId="0" applyNumberFormat="1" applyFont="1" applyFill="1" applyBorder="1" applyAlignment="1" applyProtection="1">
      <alignment horizontal="center"/>
    </xf>
    <xf numFmtId="1" fontId="3" fillId="2" borderId="22" xfId="0" applyNumberFormat="1" applyFont="1" applyFill="1" applyBorder="1" applyAlignment="1" applyProtection="1">
      <alignment horizontal="center"/>
    </xf>
    <xf numFmtId="1" fontId="10" fillId="3" borderId="23" xfId="0" applyNumberFormat="1" applyFont="1" applyFill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15" xfId="0" applyFont="1" applyFill="1" applyBorder="1" applyAlignment="1" applyProtection="1">
      <alignment horizontal="center"/>
    </xf>
    <xf numFmtId="1" fontId="3" fillId="0" borderId="15" xfId="0" applyNumberFormat="1" applyFont="1" applyFill="1" applyBorder="1" applyAlignment="1" applyProtection="1">
      <alignment horizontal="center"/>
    </xf>
    <xf numFmtId="1" fontId="10" fillId="0" borderId="15" xfId="0" applyNumberFormat="1" applyFont="1" applyFill="1" applyBorder="1" applyAlignment="1" applyProtection="1">
      <alignment horizontal="left"/>
    </xf>
    <xf numFmtId="1" fontId="10" fillId="0" borderId="15" xfId="0" applyNumberFormat="1" applyFont="1" applyFill="1" applyBorder="1" applyAlignment="1" applyProtection="1">
      <alignment horizontal="center"/>
    </xf>
    <xf numFmtId="1" fontId="10" fillId="0" borderId="26" xfId="0" applyNumberFormat="1" applyFont="1" applyFill="1" applyBorder="1" applyAlignment="1" applyProtection="1">
      <alignment horizontal="center"/>
    </xf>
    <xf numFmtId="1" fontId="3" fillId="0" borderId="25" xfId="0" applyNumberFormat="1" applyFont="1" applyFill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1" xfId="0" applyFont="1" applyBorder="1" applyAlignment="1" applyProtection="1">
      <alignment horizontal="center"/>
    </xf>
    <xf numFmtId="1" fontId="3" fillId="0" borderId="28" xfId="0" applyNumberFormat="1" applyFont="1" applyFill="1" applyBorder="1" applyAlignment="1" applyProtection="1">
      <alignment horizontal="center"/>
    </xf>
    <xf numFmtId="1" fontId="3" fillId="0" borderId="29" xfId="0" applyNumberFormat="1" applyFont="1" applyFill="1" applyBorder="1" applyAlignment="1" applyProtection="1">
      <alignment horizontal="center"/>
    </xf>
    <xf numFmtId="1" fontId="3" fillId="0" borderId="6" xfId="0" applyNumberFormat="1" applyFont="1" applyFill="1" applyBorder="1" applyAlignment="1" applyProtection="1">
      <alignment horizontal="center"/>
    </xf>
    <xf numFmtId="1" fontId="3" fillId="0" borderId="30" xfId="0" applyNumberFormat="1" applyFont="1" applyFill="1" applyBorder="1" applyAlignment="1" applyProtection="1">
      <alignment horizontal="center"/>
    </xf>
    <xf numFmtId="1" fontId="3" fillId="0" borderId="31" xfId="0" applyNumberFormat="1" applyFont="1" applyFill="1" applyBorder="1" applyAlignment="1" applyProtection="1">
      <alignment horizontal="center"/>
    </xf>
    <xf numFmtId="1" fontId="3" fillId="0" borderId="32" xfId="0" applyNumberFormat="1" applyFont="1" applyFill="1" applyBorder="1" applyAlignment="1" applyProtection="1">
      <alignment horizontal="center"/>
    </xf>
    <xf numFmtId="1" fontId="3" fillId="0" borderId="33" xfId="0" applyNumberFormat="1" applyFont="1" applyFill="1" applyBorder="1" applyAlignment="1" applyProtection="1">
      <alignment horizontal="center"/>
    </xf>
    <xf numFmtId="1" fontId="3" fillId="0" borderId="34" xfId="0" applyNumberFormat="1" applyFont="1" applyFill="1" applyBorder="1" applyAlignment="1" applyProtection="1">
      <alignment horizontal="center"/>
    </xf>
    <xf numFmtId="1" fontId="3" fillId="0" borderId="35" xfId="0" applyNumberFormat="1" applyFont="1" applyFill="1" applyBorder="1" applyAlignment="1" applyProtection="1">
      <alignment horizontal="center"/>
    </xf>
    <xf numFmtId="1" fontId="10" fillId="0" borderId="36" xfId="0" applyNumberFormat="1" applyFont="1" applyFill="1" applyBorder="1" applyAlignment="1" applyProtection="1">
      <alignment horizontal="left"/>
    </xf>
    <xf numFmtId="0" fontId="3" fillId="0" borderId="6" xfId="0" applyFont="1" applyFill="1" applyBorder="1" applyProtection="1"/>
    <xf numFmtId="0" fontId="3" fillId="0" borderId="0" xfId="0" applyFont="1" applyFill="1" applyBorder="1" applyProtection="1"/>
    <xf numFmtId="0" fontId="3" fillId="0" borderId="7" xfId="0" applyFont="1" applyFill="1" applyBorder="1" applyProtection="1"/>
    <xf numFmtId="1" fontId="3" fillId="2" borderId="6" xfId="0" applyNumberFormat="1" applyFont="1" applyFill="1" applyBorder="1" applyAlignment="1" applyProtection="1">
      <alignment horizontal="center"/>
    </xf>
    <xf numFmtId="1" fontId="3" fillId="2" borderId="7" xfId="0" applyNumberFormat="1" applyFont="1" applyFill="1" applyBorder="1" applyAlignment="1" applyProtection="1">
      <alignment horizontal="center"/>
    </xf>
    <xf numFmtId="0" fontId="3" fillId="2" borderId="0" xfId="0" applyFont="1" applyFill="1" applyBorder="1" applyProtection="1"/>
    <xf numFmtId="0" fontId="3" fillId="2" borderId="7" xfId="0" applyFont="1" applyFill="1" applyBorder="1" applyProtection="1"/>
    <xf numFmtId="0" fontId="3" fillId="0" borderId="40" xfId="0" applyFont="1" applyBorder="1" applyAlignment="1" applyProtection="1">
      <alignment horizontal="center"/>
    </xf>
    <xf numFmtId="0" fontId="3" fillId="0" borderId="32" xfId="0" applyFont="1" applyBorder="1" applyAlignment="1" applyProtection="1">
      <alignment horizontal="center"/>
    </xf>
    <xf numFmtId="168" fontId="3" fillId="2" borderId="33" xfId="0" applyNumberFormat="1" applyFont="1" applyFill="1" applyBorder="1" applyAlignment="1" applyProtection="1">
      <alignment horizontal="center"/>
    </xf>
    <xf numFmtId="20" fontId="3" fillId="2" borderId="33" xfId="0" applyNumberFormat="1" applyFont="1" applyFill="1" applyBorder="1" applyAlignment="1" applyProtection="1">
      <alignment horizontal="center"/>
    </xf>
    <xf numFmtId="20" fontId="3" fillId="3" borderId="33" xfId="0" applyNumberFormat="1" applyFont="1" applyFill="1" applyBorder="1" applyAlignment="1" applyProtection="1">
      <alignment horizontal="center"/>
    </xf>
    <xf numFmtId="20" fontId="3" fillId="3" borderId="32" xfId="0" applyNumberFormat="1" applyFont="1" applyFill="1" applyBorder="1" applyAlignment="1" applyProtection="1">
      <alignment horizontal="center"/>
    </xf>
    <xf numFmtId="20" fontId="3" fillId="3" borderId="6" xfId="0" applyNumberFormat="1" applyFont="1" applyFill="1" applyBorder="1" applyAlignment="1" applyProtection="1">
      <alignment horizontal="center"/>
    </xf>
    <xf numFmtId="20" fontId="3" fillId="2" borderId="30" xfId="0" applyNumberFormat="1" applyFont="1" applyFill="1" applyBorder="1" applyAlignment="1" applyProtection="1">
      <alignment horizontal="center"/>
    </xf>
    <xf numFmtId="20" fontId="3" fillId="2" borderId="34" xfId="0" applyNumberFormat="1" applyFont="1" applyFill="1" applyBorder="1" applyAlignment="1" applyProtection="1">
      <alignment horizontal="center"/>
    </xf>
    <xf numFmtId="20" fontId="3" fillId="3" borderId="31" xfId="0" applyNumberFormat="1" applyFont="1" applyFill="1" applyBorder="1" applyAlignment="1" applyProtection="1">
      <alignment horizontal="center"/>
    </xf>
    <xf numFmtId="0" fontId="3" fillId="3" borderId="33" xfId="0" applyNumberFormat="1" applyFont="1" applyFill="1" applyBorder="1" applyAlignment="1" applyProtection="1">
      <alignment horizontal="center"/>
    </xf>
    <xf numFmtId="20" fontId="3" fillId="3" borderId="34" xfId="0" applyNumberFormat="1" applyFont="1" applyFill="1" applyBorder="1" applyAlignment="1" applyProtection="1">
      <alignment horizontal="center"/>
    </xf>
    <xf numFmtId="0" fontId="3" fillId="2" borderId="35" xfId="0" applyNumberFormat="1" applyFont="1" applyFill="1" applyBorder="1" applyAlignment="1" applyProtection="1">
      <alignment horizontal="center"/>
    </xf>
    <xf numFmtId="0" fontId="3" fillId="0" borderId="41" xfId="0" applyFont="1" applyBorder="1" applyAlignment="1" applyProtection="1">
      <alignment horizontal="center"/>
    </xf>
    <xf numFmtId="20" fontId="3" fillId="0" borderId="41" xfId="0" applyNumberFormat="1" applyFont="1" applyBorder="1" applyAlignment="1" applyProtection="1">
      <alignment horizontal="center"/>
    </xf>
    <xf numFmtId="0" fontId="3" fillId="0" borderId="42" xfId="0" applyFont="1" applyBorder="1" applyAlignment="1" applyProtection="1">
      <alignment horizontal="center"/>
    </xf>
    <xf numFmtId="2" fontId="3" fillId="0" borderId="0" xfId="0" applyNumberFormat="1" applyFont="1" applyBorder="1" applyProtection="1"/>
    <xf numFmtId="0" fontId="3" fillId="0" borderId="33" xfId="0" applyFont="1" applyBorder="1" applyAlignment="1" applyProtection="1">
      <alignment horizontal="center"/>
    </xf>
    <xf numFmtId="0" fontId="3" fillId="0" borderId="46" xfId="0" applyFont="1" applyBorder="1" applyAlignment="1" applyProtection="1">
      <alignment horizontal="center"/>
    </xf>
    <xf numFmtId="20" fontId="3" fillId="0" borderId="46" xfId="0" applyNumberFormat="1" applyFont="1" applyBorder="1" applyAlignment="1" applyProtection="1">
      <alignment horizontal="center"/>
    </xf>
    <xf numFmtId="0" fontId="3" fillId="0" borderId="47" xfId="0" applyFont="1" applyBorder="1" applyAlignment="1" applyProtection="1">
      <alignment horizontal="center"/>
    </xf>
    <xf numFmtId="1" fontId="3" fillId="2" borderId="52" xfId="0" applyNumberFormat="1" applyFont="1" applyFill="1" applyBorder="1" applyAlignment="1" applyProtection="1">
      <alignment horizontal="center"/>
    </xf>
    <xf numFmtId="1" fontId="3" fillId="2" borderId="53" xfId="0" applyNumberFormat="1" applyFont="1" applyFill="1" applyBorder="1" applyAlignment="1" applyProtection="1">
      <alignment horizontal="center"/>
    </xf>
    <xf numFmtId="168" fontId="3" fillId="2" borderId="10" xfId="0" applyNumberFormat="1" applyFont="1" applyFill="1" applyBorder="1" applyAlignment="1" applyProtection="1">
      <alignment horizontal="center"/>
    </xf>
    <xf numFmtId="20" fontId="3" fillId="2" borderId="10" xfId="0" applyNumberFormat="1" applyFont="1" applyFill="1" applyBorder="1" applyAlignment="1" applyProtection="1">
      <alignment horizontal="center"/>
    </xf>
    <xf numFmtId="20" fontId="3" fillId="3" borderId="54" xfId="0" applyNumberFormat="1" applyFont="1" applyFill="1" applyBorder="1" applyAlignment="1" applyProtection="1">
      <alignment horizontal="center"/>
    </xf>
    <xf numFmtId="20" fontId="3" fillId="3" borderId="52" xfId="0" applyNumberFormat="1" applyFont="1" applyFill="1" applyBorder="1" applyAlignment="1" applyProtection="1">
      <alignment horizontal="center"/>
    </xf>
    <xf numFmtId="20" fontId="3" fillId="2" borderId="55" xfId="0" applyNumberFormat="1" applyFont="1" applyFill="1" applyBorder="1" applyAlignment="1" applyProtection="1">
      <alignment horizontal="center"/>
    </xf>
    <xf numFmtId="20" fontId="3" fillId="2" borderId="56" xfId="0" applyNumberFormat="1" applyFont="1" applyFill="1" applyBorder="1" applyAlignment="1" applyProtection="1">
      <alignment horizontal="center"/>
    </xf>
    <xf numFmtId="20" fontId="3" fillId="2" borderId="57" xfId="0" applyNumberFormat="1" applyFont="1" applyFill="1" applyBorder="1" applyAlignment="1" applyProtection="1">
      <alignment horizontal="center"/>
    </xf>
    <xf numFmtId="20" fontId="3" fillId="3" borderId="58" xfId="0" applyNumberFormat="1" applyFont="1" applyFill="1" applyBorder="1" applyAlignment="1" applyProtection="1">
      <alignment horizontal="center"/>
    </xf>
    <xf numFmtId="0" fontId="3" fillId="3" borderId="56" xfId="0" applyNumberFormat="1" applyFont="1" applyFill="1" applyBorder="1" applyAlignment="1" applyProtection="1">
      <alignment horizontal="center"/>
    </xf>
    <xf numFmtId="20" fontId="3" fillId="3" borderId="57" xfId="0" applyNumberFormat="1" applyFont="1" applyFill="1" applyBorder="1" applyAlignment="1" applyProtection="1">
      <alignment horizontal="center"/>
    </xf>
    <xf numFmtId="0" fontId="3" fillId="2" borderId="59" xfId="0" applyNumberFormat="1" applyFont="1" applyFill="1" applyBorder="1" applyAlignment="1" applyProtection="1">
      <alignment horizontal="center"/>
    </xf>
    <xf numFmtId="168" fontId="3" fillId="0" borderId="0" xfId="0" applyNumberFormat="1" applyFont="1" applyFill="1" applyAlignment="1" applyProtection="1">
      <alignment horizontal="center"/>
    </xf>
    <xf numFmtId="1" fontId="3" fillId="0" borderId="0" xfId="0" applyNumberFormat="1" applyFont="1" applyFill="1" applyBorder="1" applyAlignment="1" applyProtection="1">
      <alignment horizontal="center"/>
    </xf>
    <xf numFmtId="1" fontId="9" fillId="5" borderId="60" xfId="0" applyNumberFormat="1" applyFont="1" applyFill="1" applyBorder="1" applyAlignment="1" applyProtection="1">
      <alignment horizontal="center"/>
    </xf>
    <xf numFmtId="0" fontId="3" fillId="0" borderId="61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left"/>
    </xf>
    <xf numFmtId="0" fontId="3" fillId="0" borderId="4" xfId="0" applyFont="1" applyBorder="1" applyProtection="1"/>
    <xf numFmtId="1" fontId="3" fillId="0" borderId="0" xfId="0" applyNumberFormat="1" applyFont="1" applyFill="1" applyBorder="1" applyProtection="1"/>
    <xf numFmtId="49" fontId="3" fillId="0" borderId="0" xfId="0" applyNumberFormat="1" applyFont="1" applyFill="1" applyProtection="1"/>
    <xf numFmtId="0" fontId="3" fillId="3" borderId="0" xfId="0" applyFont="1" applyFill="1" applyBorder="1" applyProtection="1"/>
    <xf numFmtId="0" fontId="15" fillId="0" borderId="62" xfId="0" applyFont="1" applyBorder="1" applyAlignment="1" applyProtection="1">
      <alignment horizontal="center"/>
    </xf>
    <xf numFmtId="0" fontId="15" fillId="0" borderId="33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9" fontId="3" fillId="2" borderId="0" xfId="1" applyFont="1" applyFill="1" applyBorder="1" applyProtection="1"/>
    <xf numFmtId="0" fontId="3" fillId="0" borderId="62" xfId="0" applyFont="1" applyBorder="1" applyProtection="1"/>
    <xf numFmtId="0" fontId="3" fillId="0" borderId="33" xfId="0" applyFont="1" applyBorder="1" applyProtection="1"/>
    <xf numFmtId="20" fontId="3" fillId="0" borderId="0" xfId="0" applyNumberFormat="1" applyFont="1" applyFill="1" applyBorder="1" applyProtection="1"/>
    <xf numFmtId="0" fontId="3" fillId="0" borderId="52" xfId="0" applyFont="1" applyBorder="1" applyProtection="1"/>
    <xf numFmtId="20" fontId="3" fillId="0" borderId="3" xfId="0" applyNumberFormat="1" applyFont="1" applyFill="1" applyBorder="1" applyProtection="1"/>
    <xf numFmtId="0" fontId="3" fillId="0" borderId="53" xfId="0" applyFont="1" applyBorder="1" applyProtection="1"/>
    <xf numFmtId="0" fontId="3" fillId="0" borderId="63" xfId="0" applyFont="1" applyBorder="1" applyProtection="1"/>
    <xf numFmtId="0" fontId="3" fillId="0" borderId="10" xfId="0" applyFont="1" applyBorder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right" vertical="center"/>
    </xf>
    <xf numFmtId="0" fontId="3" fillId="3" borderId="1" xfId="0" applyFont="1" applyFill="1" applyBorder="1" applyProtection="1"/>
    <xf numFmtId="0" fontId="3" fillId="0" borderId="0" xfId="0" applyFont="1" applyBorder="1" applyAlignment="1" applyProtection="1">
      <alignment horizontal="left" vertical="center"/>
    </xf>
    <xf numFmtId="9" fontId="3" fillId="3" borderId="0" xfId="0" applyNumberFormat="1" applyFont="1" applyFill="1" applyBorder="1" applyProtection="1"/>
    <xf numFmtId="9" fontId="3" fillId="2" borderId="0" xfId="0" applyNumberFormat="1" applyFont="1" applyFill="1" applyBorder="1" applyProtection="1"/>
    <xf numFmtId="165" fontId="3" fillId="3" borderId="3" xfId="0" applyNumberFormat="1" applyFont="1" applyFill="1" applyBorder="1" applyProtection="1"/>
    <xf numFmtId="20" fontId="3" fillId="0" borderId="0" xfId="0" applyNumberFormat="1" applyFont="1" applyFill="1" applyBorder="1" applyAlignment="1" applyProtection="1">
      <alignment horizontal="center"/>
    </xf>
    <xf numFmtId="164" fontId="3" fillId="0" borderId="0" xfId="0" applyNumberFormat="1" applyFont="1" applyFill="1" applyBorder="1" applyProtection="1"/>
    <xf numFmtId="20" fontId="3" fillId="0" borderId="0" xfId="0" applyNumberFormat="1" applyFont="1" applyProtection="1"/>
    <xf numFmtId="20" fontId="3" fillId="0" borderId="64" xfId="0" applyNumberFormat="1" applyFont="1" applyBorder="1" applyAlignment="1" applyProtection="1">
      <alignment horizontal="center"/>
    </xf>
    <xf numFmtId="0" fontId="3" fillId="0" borderId="65" xfId="0" applyFont="1" applyBorder="1" applyAlignment="1" applyProtection="1">
      <alignment horizontal="center"/>
    </xf>
    <xf numFmtId="49" fontId="3" fillId="0" borderId="0" xfId="0" applyNumberFormat="1" applyFont="1" applyProtection="1"/>
    <xf numFmtId="0" fontId="0" fillId="0" borderId="0" xfId="0" applyFill="1" applyAlignment="1"/>
    <xf numFmtId="0" fontId="6" fillId="0" borderId="0" xfId="0" applyFont="1" applyAlignment="1"/>
    <xf numFmtId="1" fontId="7" fillId="0" borderId="0" xfId="0" applyNumberFormat="1" applyFont="1" applyProtection="1"/>
    <xf numFmtId="1" fontId="3" fillId="0" borderId="0" xfId="0" applyNumberFormat="1" applyFont="1" applyBorder="1" applyAlignment="1" applyProtection="1">
      <alignment horizontal="center"/>
    </xf>
    <xf numFmtId="1" fontId="3" fillId="0" borderId="0" xfId="0" applyNumberFormat="1" applyFont="1" applyBorder="1" applyProtection="1"/>
    <xf numFmtId="0" fontId="7" fillId="0" borderId="1" xfId="0" applyFont="1" applyBorder="1" applyAlignment="1" applyProtection="1">
      <alignment horizontal="left"/>
    </xf>
    <xf numFmtId="1" fontId="3" fillId="3" borderId="0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Border="1" applyAlignment="1" applyProtection="1">
      <alignment horizontal="center"/>
    </xf>
    <xf numFmtId="1" fontId="3" fillId="2" borderId="3" xfId="0" applyNumberFormat="1" applyFont="1" applyFill="1" applyBorder="1" applyAlignment="1" applyProtection="1">
      <alignment horizontal="center"/>
    </xf>
    <xf numFmtId="1" fontId="10" fillId="0" borderId="73" xfId="0" applyNumberFormat="1" applyFont="1" applyFill="1" applyBorder="1" applyAlignment="1" applyProtection="1">
      <alignment horizontal="center"/>
    </xf>
    <xf numFmtId="1" fontId="10" fillId="0" borderId="74" xfId="0" applyNumberFormat="1" applyFont="1" applyFill="1" applyBorder="1" applyAlignment="1" applyProtection="1">
      <alignment horizontal="center"/>
    </xf>
    <xf numFmtId="1" fontId="10" fillId="0" borderId="75" xfId="0" applyNumberFormat="1" applyFont="1" applyFill="1" applyBorder="1" applyAlignment="1" applyProtection="1">
      <alignment horizontal="center"/>
    </xf>
    <xf numFmtId="0" fontId="10" fillId="0" borderId="75" xfId="0" applyFont="1" applyFill="1" applyBorder="1" applyAlignment="1" applyProtection="1">
      <alignment horizontal="center"/>
    </xf>
    <xf numFmtId="0" fontId="10" fillId="0" borderId="76" xfId="0" applyFont="1" applyFill="1" applyBorder="1" applyAlignment="1" applyProtection="1">
      <alignment horizontal="center"/>
    </xf>
    <xf numFmtId="0" fontId="10" fillId="0" borderId="77" xfId="0" applyFont="1" applyFill="1" applyBorder="1" applyAlignment="1" applyProtection="1">
      <alignment horizontal="center"/>
    </xf>
    <xf numFmtId="1" fontId="10" fillId="0" borderId="78" xfId="0" applyNumberFormat="1" applyFont="1" applyFill="1" applyBorder="1" applyAlignment="1" applyProtection="1">
      <alignment horizontal="center"/>
    </xf>
    <xf numFmtId="1" fontId="3" fillId="2" borderId="0" xfId="0" applyNumberFormat="1" applyFont="1" applyFill="1" applyAlignment="1" applyProtection="1">
      <alignment horizontal="center"/>
    </xf>
    <xf numFmtId="1" fontId="3" fillId="3" borderId="0" xfId="0" applyNumberFormat="1" applyFont="1" applyFill="1" applyAlignment="1" applyProtection="1">
      <alignment horizontal="center"/>
    </xf>
    <xf numFmtId="20" fontId="3" fillId="0" borderId="82" xfId="0" applyNumberFormat="1" applyFont="1" applyBorder="1" applyAlignment="1" applyProtection="1">
      <alignment horizontal="center"/>
    </xf>
    <xf numFmtId="20" fontId="3" fillId="0" borderId="45" xfId="0" applyNumberFormat="1" applyFont="1" applyBorder="1" applyAlignment="1" applyProtection="1">
      <alignment horizontal="center"/>
    </xf>
    <xf numFmtId="1" fontId="3" fillId="3" borderId="84" xfId="0" applyNumberFormat="1" applyFont="1" applyFill="1" applyBorder="1" applyAlignment="1" applyProtection="1">
      <alignment horizontal="center"/>
    </xf>
    <xf numFmtId="1" fontId="3" fillId="7" borderId="88" xfId="0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41" xfId="0" applyFont="1" applyBorder="1" applyAlignment="1" applyProtection="1">
      <alignment horizontal="left"/>
    </xf>
    <xf numFmtId="0" fontId="3" fillId="0" borderId="46" xfId="0" applyFont="1" applyBorder="1" applyAlignment="1" applyProtection="1">
      <alignment horizontal="left"/>
    </xf>
    <xf numFmtId="0" fontId="3" fillId="0" borderId="64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center"/>
    </xf>
    <xf numFmtId="1" fontId="3" fillId="0" borderId="89" xfId="0" applyNumberFormat="1" applyFont="1" applyBorder="1" applyAlignment="1" applyProtection="1">
      <alignment horizontal="center"/>
    </xf>
    <xf numFmtId="1" fontId="3" fillId="0" borderId="39" xfId="0" applyNumberFormat="1" applyFont="1" applyBorder="1" applyAlignment="1" applyProtection="1">
      <alignment horizontal="center"/>
    </xf>
    <xf numFmtId="1" fontId="3" fillId="0" borderId="50" xfId="0" applyNumberFormat="1" applyFont="1" applyBorder="1" applyAlignment="1" applyProtection="1">
      <alignment horizontal="center"/>
    </xf>
    <xf numFmtId="167" fontId="3" fillId="3" borderId="30" xfId="0" applyNumberFormat="1" applyFont="1" applyFill="1" applyBorder="1" applyAlignment="1" applyProtection="1">
      <alignment horizontal="center"/>
    </xf>
    <xf numFmtId="167" fontId="3" fillId="0" borderId="40" xfId="0" applyNumberFormat="1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0" fontId="3" fillId="0" borderId="29" xfId="0" applyFont="1" applyBorder="1" applyAlignment="1" applyProtection="1">
      <alignment horizontal="center"/>
    </xf>
    <xf numFmtId="167" fontId="3" fillId="0" borderId="28" xfId="0" applyNumberFormat="1" applyFont="1" applyBorder="1" applyAlignment="1" applyProtection="1">
      <alignment horizontal="center"/>
    </xf>
    <xf numFmtId="167" fontId="3" fillId="0" borderId="29" xfId="0" applyNumberFormat="1" applyFont="1" applyBorder="1" applyAlignment="1" applyProtection="1">
      <alignment horizontal="center"/>
    </xf>
    <xf numFmtId="167" fontId="3" fillId="0" borderId="32" xfId="0" applyNumberFormat="1" applyFont="1" applyBorder="1" applyAlignment="1" applyProtection="1">
      <alignment horizontal="center"/>
    </xf>
    <xf numFmtId="167" fontId="3" fillId="0" borderId="12" xfId="0" applyNumberFormat="1" applyFont="1" applyBorder="1" applyAlignment="1" applyProtection="1">
      <alignment horizontal="center"/>
    </xf>
    <xf numFmtId="167" fontId="3" fillId="0" borderId="11" xfId="0" applyNumberFormat="1" applyFont="1" applyBorder="1" applyAlignment="1" applyProtection="1">
      <alignment horizontal="center"/>
    </xf>
    <xf numFmtId="167" fontId="3" fillId="0" borderId="27" xfId="0" applyNumberFormat="1" applyFont="1" applyBorder="1" applyAlignment="1" applyProtection="1">
      <alignment horizontal="center"/>
    </xf>
    <xf numFmtId="167" fontId="3" fillId="0" borderId="33" xfId="0" applyNumberFormat="1" applyFont="1" applyBorder="1" applyAlignment="1" applyProtection="1">
      <alignment horizontal="center"/>
    </xf>
    <xf numFmtId="167" fontId="3" fillId="0" borderId="1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7" xfId="0" applyFont="1" applyFill="1" applyBorder="1" applyAlignment="1" applyProtection="1">
      <alignment horizontal="center"/>
    </xf>
    <xf numFmtId="0" fontId="3" fillId="0" borderId="40" xfId="0" applyFont="1" applyFill="1" applyBorder="1" applyAlignment="1" applyProtection="1">
      <alignment horizontal="center"/>
    </xf>
    <xf numFmtId="0" fontId="3" fillId="0" borderId="33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8" fillId="0" borderId="4" xfId="0" applyFont="1" applyBorder="1" applyAlignment="1" applyProtection="1">
      <alignment horizontal="left"/>
    </xf>
    <xf numFmtId="0" fontId="3" fillId="0" borderId="6" xfId="0" applyNumberFormat="1" applyFont="1" applyBorder="1" applyAlignment="1" applyProtection="1">
      <alignment horizontal="center"/>
    </xf>
    <xf numFmtId="166" fontId="3" fillId="0" borderId="7" xfId="0" applyNumberFormat="1" applyFont="1" applyBorder="1" applyAlignment="1" applyProtection="1">
      <alignment horizontal="center"/>
    </xf>
    <xf numFmtId="0" fontId="3" fillId="0" borderId="52" xfId="0" applyNumberFormat="1" applyFont="1" applyBorder="1" applyAlignment="1" applyProtection="1">
      <alignment horizontal="center"/>
    </xf>
    <xf numFmtId="0" fontId="3" fillId="0" borderId="53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0" borderId="7" xfId="0" applyFont="1" applyBorder="1" applyAlignment="1" applyProtection="1">
      <alignment horizontal="left"/>
    </xf>
    <xf numFmtId="166" fontId="3" fillId="0" borderId="0" xfId="0" applyNumberFormat="1" applyFont="1" applyBorder="1" applyAlignment="1" applyProtection="1">
      <alignment horizontal="left"/>
    </xf>
    <xf numFmtId="166" fontId="3" fillId="4" borderId="0" xfId="0" applyNumberFormat="1" applyFont="1" applyFill="1" applyBorder="1" applyAlignment="1" applyProtection="1">
      <alignment horizontal="left"/>
    </xf>
    <xf numFmtId="0" fontId="3" fillId="4" borderId="7" xfId="0" applyFont="1" applyFill="1" applyBorder="1" applyAlignment="1" applyProtection="1">
      <alignment horizontal="left"/>
    </xf>
    <xf numFmtId="49" fontId="13" fillId="8" borderId="92" xfId="0" applyNumberFormat="1" applyFont="1" applyFill="1" applyBorder="1" applyAlignment="1" applyProtection="1">
      <alignment horizontal="center"/>
      <protection locked="0"/>
    </xf>
    <xf numFmtId="49" fontId="5" fillId="8" borderId="95" xfId="0" applyNumberFormat="1" applyFont="1" applyFill="1" applyBorder="1" applyAlignment="1" applyProtection="1">
      <alignment horizontal="right"/>
      <protection locked="0"/>
    </xf>
    <xf numFmtId="20" fontId="3" fillId="3" borderId="36" xfId="0" applyNumberFormat="1" applyFont="1" applyFill="1" applyBorder="1" applyAlignment="1" applyProtection="1">
      <alignment horizontal="center"/>
    </xf>
    <xf numFmtId="20" fontId="3" fillId="9" borderId="0" xfId="0" applyNumberFormat="1" applyFont="1" applyFill="1" applyBorder="1" applyProtection="1"/>
    <xf numFmtId="2" fontId="3" fillId="9" borderId="0" xfId="0" applyNumberFormat="1" applyFont="1" applyFill="1" applyBorder="1" applyProtection="1"/>
    <xf numFmtId="1" fontId="3" fillId="9" borderId="0" xfId="0" applyNumberFormat="1" applyFont="1" applyFill="1" applyBorder="1" applyProtection="1"/>
    <xf numFmtId="1" fontId="10" fillId="0" borderId="97" xfId="0" applyNumberFormat="1" applyFont="1" applyFill="1" applyBorder="1" applyAlignment="1" applyProtection="1">
      <alignment horizontal="center"/>
    </xf>
    <xf numFmtId="1" fontId="10" fillId="0" borderId="98" xfId="0" applyNumberFormat="1" applyFont="1" applyFill="1" applyBorder="1" applyAlignment="1" applyProtection="1">
      <alignment horizontal="center"/>
    </xf>
    <xf numFmtId="1" fontId="10" fillId="0" borderId="99" xfId="0" applyNumberFormat="1" applyFont="1" applyFill="1" applyBorder="1" applyAlignment="1" applyProtection="1">
      <alignment horizontal="left"/>
    </xf>
    <xf numFmtId="0" fontId="3" fillId="0" borderId="52" xfId="0" applyFont="1" applyFill="1" applyBorder="1" applyAlignment="1" applyProtection="1">
      <alignment horizontal="center"/>
    </xf>
    <xf numFmtId="0" fontId="3" fillId="0" borderId="106" xfId="0" applyFont="1" applyFill="1" applyBorder="1" applyAlignment="1" applyProtection="1">
      <alignment horizontal="center"/>
    </xf>
    <xf numFmtId="0" fontId="3" fillId="0" borderId="58" xfId="0" applyFont="1" applyFill="1" applyBorder="1" applyAlignment="1" applyProtection="1">
      <alignment horizontal="center"/>
    </xf>
    <xf numFmtId="0" fontId="3" fillId="0" borderId="54" xfId="0" applyFont="1" applyFill="1" applyBorder="1" applyAlignment="1" applyProtection="1">
      <alignment horizontal="center"/>
    </xf>
    <xf numFmtId="0" fontId="10" fillId="0" borderId="13" xfId="0" applyFont="1" applyFill="1" applyBorder="1" applyAlignment="1" applyProtection="1">
      <alignment horizontal="center"/>
    </xf>
    <xf numFmtId="0" fontId="10" fillId="0" borderId="11" xfId="0" applyFont="1" applyFill="1" applyBorder="1" applyAlignment="1" applyProtection="1">
      <alignment horizontal="center"/>
    </xf>
    <xf numFmtId="20" fontId="5" fillId="0" borderId="5" xfId="0" applyNumberFormat="1" applyFont="1" applyFill="1" applyBorder="1" applyAlignment="1" applyProtection="1">
      <alignment horizontal="center"/>
      <protection hidden="1"/>
    </xf>
    <xf numFmtId="20" fontId="5" fillId="8" borderId="95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 applyProtection="1">
      <alignment horizontal="center"/>
    </xf>
    <xf numFmtId="1" fontId="3" fillId="0" borderId="39" xfId="0" applyNumberFormat="1" applyFont="1" applyFill="1" applyBorder="1" applyAlignment="1" applyProtection="1">
      <alignment horizontal="center" vertical="center"/>
    </xf>
    <xf numFmtId="20" fontId="3" fillId="8" borderId="89" xfId="0" applyNumberFormat="1" applyFont="1" applyFill="1" applyBorder="1" applyAlignment="1" applyProtection="1">
      <alignment horizontal="center" vertical="center"/>
      <protection locked="0"/>
    </xf>
    <xf numFmtId="20" fontId="3" fillId="8" borderId="41" xfId="0" applyNumberFormat="1" applyFont="1" applyFill="1" applyBorder="1" applyAlignment="1" applyProtection="1">
      <alignment horizontal="center" vertical="center"/>
      <protection locked="0"/>
    </xf>
    <xf numFmtId="1" fontId="3" fillId="8" borderId="100" xfId="0" applyNumberFormat="1" applyFont="1" applyFill="1" applyBorder="1" applyAlignment="1" applyProtection="1">
      <alignment horizontal="center" vertical="center"/>
      <protection locked="0"/>
    </xf>
    <xf numFmtId="1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92" xfId="0" applyNumberFormat="1" applyFont="1" applyFill="1" applyBorder="1" applyAlignment="1" applyProtection="1">
      <alignment horizontal="center" vertical="center"/>
      <protection locked="0"/>
    </xf>
    <xf numFmtId="20" fontId="3" fillId="8" borderId="38" xfId="0" applyNumberFormat="1" applyFont="1" applyFill="1" applyBorder="1" applyAlignment="1" applyProtection="1">
      <alignment horizontal="center" vertical="center"/>
      <protection locked="0"/>
    </xf>
    <xf numFmtId="1" fontId="3" fillId="0" borderId="37" xfId="0" applyNumberFormat="1" applyFont="1" applyFill="1" applyBorder="1" applyAlignment="1" applyProtection="1">
      <alignment horizontal="center" vertical="center"/>
    </xf>
    <xf numFmtId="20" fontId="3" fillId="8" borderId="39" xfId="0" applyNumberFormat="1" applyFont="1" applyFill="1" applyBorder="1" applyAlignment="1" applyProtection="1">
      <alignment horizontal="center" vertical="center"/>
      <protection locked="0"/>
    </xf>
    <xf numFmtId="20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46" xfId="0" applyNumberFormat="1" applyFont="1" applyFill="1" applyBorder="1" applyAlignment="1" applyProtection="1">
      <alignment horizontal="center" vertical="center"/>
      <protection locked="0"/>
    </xf>
    <xf numFmtId="1" fontId="3" fillId="8" borderId="101" xfId="0" applyNumberFormat="1" applyFont="1" applyFill="1" applyBorder="1" applyAlignment="1" applyProtection="1">
      <alignment horizontal="center" vertical="center"/>
      <protection locked="0"/>
    </xf>
    <xf numFmtId="20" fontId="3" fillId="8" borderId="47" xfId="0" applyNumberFormat="1" applyFont="1" applyFill="1" applyBorder="1" applyAlignment="1" applyProtection="1">
      <alignment horizontal="center" vertical="center"/>
      <protection locked="0"/>
    </xf>
    <xf numFmtId="0" fontId="3" fillId="0" borderId="39" xfId="0" applyFont="1" applyFill="1" applyBorder="1" applyAlignment="1" applyProtection="1">
      <alignment horizontal="center" vertical="center"/>
    </xf>
    <xf numFmtId="1" fontId="3" fillId="0" borderId="80" xfId="0" applyNumberFormat="1" applyFont="1" applyFill="1" applyBorder="1" applyAlignment="1" applyProtection="1">
      <alignment horizontal="center" vertical="center"/>
    </xf>
    <xf numFmtId="20" fontId="3" fillId="8" borderId="50" xfId="0" applyNumberFormat="1" applyFont="1" applyFill="1" applyBorder="1" applyAlignment="1" applyProtection="1">
      <alignment horizontal="center" vertical="center"/>
      <protection locked="0"/>
    </xf>
    <xf numFmtId="20" fontId="3" fillId="8" borderId="64" xfId="0" applyNumberFormat="1" applyFont="1" applyFill="1" applyBorder="1" applyAlignment="1" applyProtection="1">
      <alignment horizontal="center" vertical="center"/>
      <protection locked="0"/>
    </xf>
    <xf numFmtId="1" fontId="3" fillId="8" borderId="102" xfId="0" applyNumberFormat="1" applyFont="1" applyFill="1" applyBorder="1" applyAlignment="1" applyProtection="1">
      <alignment horizontal="center" vertical="center"/>
      <protection locked="0"/>
    </xf>
    <xf numFmtId="1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3" xfId="0" applyNumberFormat="1" applyFont="1" applyFill="1" applyBorder="1" applyAlignment="1" applyProtection="1">
      <alignment horizontal="center" vertical="center"/>
      <protection locked="0"/>
    </xf>
    <xf numFmtId="20" fontId="3" fillId="8" borderId="94" xfId="0" applyNumberFormat="1" applyFont="1" applyFill="1" applyBorder="1" applyAlignment="1" applyProtection="1">
      <alignment horizontal="center" vertical="center"/>
      <protection locked="0"/>
    </xf>
    <xf numFmtId="1" fontId="3" fillId="7" borderId="87" xfId="0" applyNumberFormat="1" applyFont="1" applyFill="1" applyBorder="1" applyAlignment="1" applyProtection="1">
      <alignment horizontal="center" vertical="center"/>
    </xf>
    <xf numFmtId="0" fontId="18" fillId="10" borderId="0" xfId="2"/>
    <xf numFmtId="0" fontId="18" fillId="10" borderId="0" xfId="2" applyBorder="1" applyProtection="1"/>
    <xf numFmtId="20" fontId="18" fillId="11" borderId="116" xfId="2" applyNumberFormat="1" applyFill="1" applyBorder="1" applyAlignment="1" applyProtection="1">
      <alignment horizontal="center"/>
    </xf>
    <xf numFmtId="1" fontId="22" fillId="0" borderId="0" xfId="0" applyNumberFormat="1" applyFont="1" applyProtection="1">
      <protection locked="0" hidden="1"/>
    </xf>
    <xf numFmtId="0" fontId="3" fillId="12" borderId="4" xfId="0" applyFont="1" applyFill="1" applyBorder="1" applyProtection="1"/>
    <xf numFmtId="1" fontId="3" fillId="12" borderId="1" xfId="0" applyNumberFormat="1" applyFont="1" applyFill="1" applyBorder="1" applyAlignment="1" applyProtection="1">
      <alignment horizontal="center"/>
    </xf>
    <xf numFmtId="1" fontId="3" fillId="12" borderId="2" xfId="0" applyNumberFormat="1" applyFont="1" applyFill="1" applyBorder="1" applyAlignment="1" applyProtection="1">
      <alignment horizontal="center"/>
    </xf>
    <xf numFmtId="0" fontId="3" fillId="12" borderId="6" xfId="0" applyFont="1" applyFill="1" applyBorder="1" applyProtection="1"/>
    <xf numFmtId="1" fontId="3" fillId="12" borderId="0" xfId="0" applyNumberFormat="1" applyFont="1" applyFill="1" applyBorder="1" applyAlignment="1" applyProtection="1">
      <alignment horizontal="center"/>
    </xf>
    <xf numFmtId="0" fontId="3" fillId="12" borderId="0" xfId="0" applyFont="1" applyFill="1" applyBorder="1" applyProtection="1"/>
    <xf numFmtId="0" fontId="3" fillId="12" borderId="7" xfId="0" applyFont="1" applyFill="1" applyBorder="1" applyProtection="1"/>
    <xf numFmtId="0" fontId="3" fillId="12" borderId="52" xfId="0" applyFont="1" applyFill="1" applyBorder="1" applyProtection="1"/>
    <xf numFmtId="0" fontId="3" fillId="12" borderId="3" xfId="0" applyFont="1" applyFill="1" applyBorder="1" applyProtection="1"/>
    <xf numFmtId="0" fontId="3" fillId="12" borderId="53" xfId="0" applyFont="1" applyFill="1" applyBorder="1" applyProtection="1"/>
    <xf numFmtId="20" fontId="3" fillId="8" borderId="51" xfId="0" applyNumberFormat="1" applyFont="1" applyFill="1" applyBorder="1" applyAlignment="1" applyProtection="1">
      <alignment horizontal="center" vertical="center"/>
      <protection locked="0"/>
    </xf>
    <xf numFmtId="1" fontId="3" fillId="0" borderId="0" xfId="0" quotePrefix="1" applyNumberFormat="1" applyFont="1" applyProtection="1"/>
    <xf numFmtId="168" fontId="3" fillId="2" borderId="31" xfId="0" applyNumberFormat="1" applyFont="1" applyFill="1" applyBorder="1" applyAlignment="1" applyProtection="1">
      <alignment horizontal="center"/>
    </xf>
    <xf numFmtId="20" fontId="18" fillId="11" borderId="120" xfId="2" applyNumberFormat="1" applyFill="1" applyBorder="1" applyAlignment="1" applyProtection="1">
      <alignment horizontal="center"/>
    </xf>
    <xf numFmtId="20" fontId="18" fillId="11" borderId="121" xfId="2" applyNumberFormat="1" applyFill="1" applyBorder="1" applyAlignment="1" applyProtection="1">
      <alignment horizontal="center"/>
    </xf>
    <xf numFmtId="20" fontId="18" fillId="11" borderId="122" xfId="2" applyNumberFormat="1" applyFill="1" applyBorder="1" applyAlignment="1" applyProtection="1">
      <alignment horizontal="center"/>
    </xf>
    <xf numFmtId="1" fontId="3" fillId="8" borderId="15" xfId="0" applyNumberFormat="1" applyFont="1" applyFill="1" applyBorder="1" applyAlignment="1" applyProtection="1">
      <alignment horizontal="center" vertical="center"/>
      <protection locked="0"/>
    </xf>
    <xf numFmtId="1" fontId="3" fillId="8" borderId="10" xfId="0" applyNumberFormat="1" applyFont="1" applyFill="1" applyBorder="1" applyAlignment="1" applyProtection="1">
      <alignment horizontal="center" vertical="center"/>
      <protection locked="0"/>
    </xf>
    <xf numFmtId="1" fontId="3" fillId="0" borderId="124" xfId="0" applyNumberFormat="1" applyFont="1" applyFill="1" applyBorder="1" applyAlignment="1" applyProtection="1">
      <alignment horizontal="center"/>
    </xf>
    <xf numFmtId="1" fontId="3" fillId="8" borderId="124" xfId="0" applyNumberFormat="1" applyFont="1" applyFill="1" applyBorder="1" applyAlignment="1" applyProtection="1">
      <alignment horizontal="center" vertical="center"/>
      <protection locked="0"/>
    </xf>
    <xf numFmtId="20" fontId="3" fillId="8" borderId="82" xfId="0" applyNumberFormat="1" applyFont="1" applyFill="1" applyBorder="1" applyAlignment="1" applyProtection="1">
      <alignment horizontal="center" vertical="center"/>
      <protection locked="0"/>
    </xf>
    <xf numFmtId="20" fontId="3" fillId="8" borderId="45" xfId="0" applyNumberFormat="1" applyFont="1" applyFill="1" applyBorder="1" applyAlignment="1" applyProtection="1">
      <alignment horizontal="center" vertical="center"/>
      <protection locked="0"/>
    </xf>
    <xf numFmtId="1" fontId="3" fillId="0" borderId="126" xfId="0" applyNumberFormat="1" applyFont="1" applyFill="1" applyBorder="1" applyAlignment="1" applyProtection="1">
      <alignment horizontal="center"/>
    </xf>
    <xf numFmtId="0" fontId="10" fillId="0" borderId="96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 vertical="top"/>
    </xf>
    <xf numFmtId="0" fontId="27" fillId="11" borderId="69" xfId="0" applyFont="1" applyFill="1" applyBorder="1" applyAlignment="1" applyProtection="1">
      <alignment horizontal="center"/>
      <protection hidden="1"/>
    </xf>
    <xf numFmtId="0" fontId="27" fillId="11" borderId="24" xfId="0" applyFont="1" applyFill="1" applyBorder="1" applyAlignment="1" applyProtection="1">
      <alignment horizontal="center"/>
      <protection hidden="1"/>
    </xf>
    <xf numFmtId="0" fontId="27" fillId="11" borderId="123" xfId="0" applyFont="1" applyFill="1" applyBorder="1" applyAlignment="1" applyProtection="1">
      <alignment horizontal="center"/>
      <protection hidden="1"/>
    </xf>
    <xf numFmtId="0" fontId="24" fillId="11" borderId="4" xfId="0" applyFont="1" applyFill="1" applyBorder="1"/>
    <xf numFmtId="0" fontId="26" fillId="0" borderId="4" xfId="0" applyFont="1" applyBorder="1"/>
    <xf numFmtId="0" fontId="24" fillId="0" borderId="69" xfId="0" applyFont="1" applyBorder="1" applyAlignment="1">
      <alignment wrapText="1"/>
    </xf>
    <xf numFmtId="0" fontId="28" fillId="11" borderId="130" xfId="0" applyFont="1" applyFill="1" applyBorder="1" applyAlignment="1">
      <alignment horizontal="left"/>
    </xf>
    <xf numFmtId="0" fontId="25" fillId="13" borderId="4" xfId="0" applyFont="1" applyFill="1" applyBorder="1"/>
    <xf numFmtId="0" fontId="28" fillId="11" borderId="6" xfId="0" applyFont="1" applyFill="1" applyBorder="1" applyAlignment="1">
      <alignment horizontal="left"/>
    </xf>
    <xf numFmtId="0" fontId="25" fillId="0" borderId="6" xfId="0" applyFont="1" applyBorder="1"/>
    <xf numFmtId="0" fontId="25" fillId="13" borderId="6" xfId="0" applyFont="1" applyFill="1" applyBorder="1"/>
    <xf numFmtId="0" fontId="28" fillId="11" borderId="52" xfId="0" applyFont="1" applyFill="1" applyBorder="1" applyAlignment="1">
      <alignment horizontal="left"/>
    </xf>
    <xf numFmtId="0" fontId="25" fillId="13" borderId="52" xfId="0" applyFont="1" applyFill="1" applyBorder="1"/>
    <xf numFmtId="0" fontId="25" fillId="12" borderId="69" xfId="0" applyFont="1" applyFill="1" applyBorder="1" applyProtection="1">
      <protection locked="0"/>
    </xf>
    <xf numFmtId="0" fontId="25" fillId="12" borderId="24" xfId="0" applyFont="1" applyFill="1" applyBorder="1" applyProtection="1">
      <protection locked="0"/>
    </xf>
    <xf numFmtId="0" fontId="25" fillId="12" borderId="123" xfId="0" applyFont="1" applyFill="1" applyBorder="1" applyProtection="1">
      <protection locked="0"/>
    </xf>
    <xf numFmtId="0" fontId="29" fillId="0" borderId="0" xfId="0" applyFont="1" applyFill="1" applyAlignment="1">
      <alignment horizontal="left"/>
    </xf>
    <xf numFmtId="1" fontId="3" fillId="14" borderId="39" xfId="0" applyNumberFormat="1" applyFont="1" applyFill="1" applyBorder="1" applyAlignment="1" applyProtection="1">
      <alignment horizontal="center"/>
    </xf>
    <xf numFmtId="0" fontId="3" fillId="14" borderId="46" xfId="0" applyFont="1" applyFill="1" applyBorder="1" applyAlignment="1" applyProtection="1">
      <alignment horizontal="center"/>
    </xf>
    <xf numFmtId="20" fontId="3" fillId="14" borderId="46" xfId="0" applyNumberFormat="1" applyFont="1" applyFill="1" applyBorder="1" applyAlignment="1" applyProtection="1">
      <alignment horizontal="center"/>
    </xf>
    <xf numFmtId="20" fontId="3" fillId="14" borderId="45" xfId="0" applyNumberFormat="1" applyFont="1" applyFill="1" applyBorder="1" applyAlignment="1" applyProtection="1">
      <alignment horizontal="center"/>
    </xf>
    <xf numFmtId="1" fontId="3" fillId="8" borderId="1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25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9" xfId="0" applyNumberFormat="1" applyFont="1" applyFill="1" applyBorder="1" applyAlignment="1" applyProtection="1">
      <alignment horizontal="center" vertical="center"/>
      <protection locked="0" hidden="1"/>
    </xf>
    <xf numFmtId="1" fontId="3" fillId="8" borderId="10" xfId="0" applyNumberFormat="1" applyFont="1" applyFill="1" applyBorder="1" applyAlignment="1" applyProtection="1">
      <alignment horizontal="center" vertical="center"/>
      <protection locked="0" hidden="1"/>
    </xf>
    <xf numFmtId="20" fontId="3" fillId="0" borderId="108" xfId="0" applyNumberFormat="1" applyFont="1" applyFill="1" applyBorder="1" applyAlignment="1" applyProtection="1">
      <alignment horizontal="center" vertical="center"/>
      <protection hidden="1"/>
    </xf>
    <xf numFmtId="20" fontId="12" fillId="0" borderId="104" xfId="0" applyNumberFormat="1" applyFont="1" applyFill="1" applyBorder="1" applyAlignment="1" applyProtection="1">
      <alignment horizontal="center" vertical="center"/>
      <protection hidden="1"/>
    </xf>
    <xf numFmtId="20" fontId="3" fillId="0" borderId="105" xfId="0" applyNumberFormat="1" applyFont="1" applyFill="1" applyBorder="1" applyAlignment="1" applyProtection="1">
      <alignment horizontal="center" vertical="center"/>
      <protection hidden="1"/>
    </xf>
    <xf numFmtId="171" fontId="3" fillId="0" borderId="107" xfId="0" applyNumberFormat="1" applyFont="1" applyFill="1" applyBorder="1" applyAlignment="1" applyProtection="1">
      <alignment horizontal="center" vertical="center"/>
      <protection hidden="1"/>
    </xf>
    <xf numFmtId="20" fontId="3" fillId="0" borderId="72" xfId="0" applyNumberFormat="1" applyFont="1" applyFill="1" applyBorder="1" applyAlignment="1" applyProtection="1">
      <alignment horizontal="center" vertical="center"/>
      <protection hidden="1"/>
    </xf>
    <xf numFmtId="20" fontId="12" fillId="0" borderId="45" xfId="0" applyNumberFormat="1" applyFont="1" applyFill="1" applyBorder="1" applyAlignment="1" applyProtection="1">
      <alignment horizontal="center" vertical="center"/>
      <protection hidden="1"/>
    </xf>
    <xf numFmtId="20" fontId="3" fillId="0" borderId="101" xfId="0" applyNumberFormat="1" applyFont="1" applyFill="1" applyBorder="1" applyAlignment="1" applyProtection="1">
      <alignment horizontal="center" vertical="center"/>
      <protection hidden="1"/>
    </xf>
    <xf numFmtId="171" fontId="3" fillId="0" borderId="47" xfId="0" applyNumberFormat="1" applyFont="1" applyFill="1" applyBorder="1" applyAlignment="1" applyProtection="1">
      <alignment horizontal="center" vertical="center"/>
      <protection hidden="1"/>
    </xf>
    <xf numFmtId="20" fontId="3" fillId="0" borderId="119" xfId="0" applyNumberFormat="1" applyFont="1" applyFill="1" applyBorder="1" applyAlignment="1" applyProtection="1">
      <alignment horizontal="center" vertical="center"/>
      <protection hidden="1"/>
    </xf>
    <xf numFmtId="20" fontId="12" fillId="0" borderId="51" xfId="0" applyNumberFormat="1" applyFont="1" applyFill="1" applyBorder="1" applyAlignment="1" applyProtection="1">
      <alignment horizontal="center" vertical="center"/>
      <protection hidden="1"/>
    </xf>
    <xf numFmtId="20" fontId="3" fillId="0" borderId="103" xfId="0" applyNumberFormat="1" applyFont="1" applyFill="1" applyBorder="1" applyAlignment="1" applyProtection="1">
      <alignment horizontal="center" vertical="center"/>
      <protection hidden="1"/>
    </xf>
    <xf numFmtId="171" fontId="3" fillId="0" borderId="65" xfId="0" applyNumberFormat="1" applyFont="1" applyFill="1" applyBorder="1" applyAlignment="1" applyProtection="1">
      <alignment horizontal="center" vertical="center"/>
      <protection hidden="1"/>
    </xf>
    <xf numFmtId="168" fontId="3" fillId="0" borderId="90" xfId="0" applyNumberFormat="1" applyFont="1" applyFill="1" applyBorder="1" applyAlignment="1" applyProtection="1">
      <alignment horizontal="center" vertical="center"/>
      <protection hidden="1"/>
    </xf>
    <xf numFmtId="170" fontId="3" fillId="0" borderId="91" xfId="0" applyNumberFormat="1" applyFont="1" applyFill="1" applyBorder="1" applyAlignment="1" applyProtection="1">
      <alignment horizontal="center" vertical="center"/>
      <protection hidden="1"/>
    </xf>
    <xf numFmtId="168" fontId="3" fillId="0" borderId="43" xfId="0" applyNumberFormat="1" applyFont="1" applyFill="1" applyBorder="1" applyAlignment="1" applyProtection="1">
      <alignment horizontal="center" vertical="center"/>
      <protection hidden="1"/>
    </xf>
    <xf numFmtId="170" fontId="3" fillId="0" borderId="44" xfId="0" applyNumberFormat="1" applyFont="1" applyFill="1" applyBorder="1" applyAlignment="1" applyProtection="1">
      <alignment horizontal="center" vertical="center"/>
      <protection hidden="1"/>
    </xf>
    <xf numFmtId="168" fontId="3" fillId="0" borderId="48" xfId="0" applyNumberFormat="1" applyFont="1" applyFill="1" applyBorder="1" applyAlignment="1" applyProtection="1">
      <alignment horizontal="center" vertical="center"/>
      <protection hidden="1"/>
    </xf>
    <xf numFmtId="170" fontId="3" fillId="0" borderId="49" xfId="0" applyNumberFormat="1" applyFont="1" applyFill="1" applyBorder="1" applyAlignment="1" applyProtection="1">
      <alignment horizontal="center" vertical="center"/>
      <protection hidden="1"/>
    </xf>
    <xf numFmtId="20" fontId="3" fillId="3" borderId="30" xfId="0" applyNumberFormat="1" applyFont="1" applyFill="1" applyBorder="1" applyAlignment="1" applyProtection="1">
      <alignment horizontal="center"/>
    </xf>
    <xf numFmtId="1" fontId="3" fillId="15" borderId="17" xfId="0" applyNumberFormat="1" applyFont="1" applyFill="1" applyBorder="1" applyAlignment="1" applyProtection="1">
      <alignment horizontal="center"/>
    </xf>
    <xf numFmtId="0" fontId="3" fillId="3" borderId="33" xfId="0" applyFont="1" applyFill="1" applyBorder="1" applyAlignment="1">
      <alignment horizontal="center"/>
    </xf>
    <xf numFmtId="0" fontId="18" fillId="10" borderId="0" xfId="2" applyNumberFormat="1"/>
    <xf numFmtId="0" fontId="3" fillId="3" borderId="33" xfId="0" applyNumberFormat="1" applyFont="1" applyFill="1" applyBorder="1" applyAlignment="1">
      <alignment horizontal="center"/>
    </xf>
    <xf numFmtId="0" fontId="25" fillId="12" borderId="5" xfId="0" applyFont="1" applyFill="1" applyBorder="1" applyProtection="1">
      <protection locked="0"/>
    </xf>
    <xf numFmtId="49" fontId="3" fillId="0" borderId="0" xfId="0" applyNumberFormat="1" applyFont="1" applyFill="1" applyBorder="1" applyProtection="1"/>
    <xf numFmtId="1" fontId="3" fillId="15" borderId="19" xfId="0" applyNumberFormat="1" applyFont="1" applyFill="1" applyBorder="1" applyAlignment="1" applyProtection="1">
      <alignment horizontal="center"/>
    </xf>
    <xf numFmtId="0" fontId="7" fillId="0" borderId="4" xfId="0" applyFont="1" applyBorder="1"/>
    <xf numFmtId="0" fontId="3" fillId="0" borderId="1" xfId="0" applyFont="1" applyBorder="1"/>
    <xf numFmtId="0" fontId="3" fillId="0" borderId="2" xfId="0" applyFont="1" applyBorder="1"/>
    <xf numFmtId="0" fontId="3" fillId="0" borderId="6" xfId="0" applyFont="1" applyBorder="1"/>
    <xf numFmtId="0" fontId="3" fillId="0" borderId="0" xfId="0" applyFont="1"/>
    <xf numFmtId="0" fontId="3" fillId="0" borderId="7" xfId="0" applyFont="1" applyBorder="1"/>
    <xf numFmtId="0" fontId="3" fillId="0" borderId="6" xfId="0" applyFont="1" applyBorder="1" applyAlignment="1">
      <alignment horizontal="left"/>
    </xf>
    <xf numFmtId="0" fontId="11" fillId="3" borderId="0" xfId="0" applyFont="1" applyFill="1"/>
    <xf numFmtId="0" fontId="11" fillId="3" borderId="7" xfId="0" applyFont="1" applyFill="1" applyBorder="1"/>
    <xf numFmtId="0" fontId="3" fillId="2" borderId="0" xfId="0" applyFont="1" applyFill="1"/>
    <xf numFmtId="0" fontId="3" fillId="2" borderId="7" xfId="0" applyFont="1" applyFill="1" applyBorder="1"/>
    <xf numFmtId="2" fontId="3" fillId="0" borderId="0" xfId="0" applyNumberFormat="1" applyFont="1"/>
    <xf numFmtId="1" fontId="9" fillId="5" borderId="60" xfId="0" applyNumberFormat="1" applyFont="1" applyFill="1" applyBorder="1" applyAlignment="1">
      <alignment horizontal="center"/>
    </xf>
    <xf numFmtId="0" fontId="3" fillId="3" borderId="0" xfId="0" applyFont="1" applyFill="1"/>
    <xf numFmtId="0" fontId="3" fillId="0" borderId="52" xfId="0" applyFont="1" applyBorder="1"/>
    <xf numFmtId="0" fontId="3" fillId="0" borderId="3" xfId="0" applyFont="1" applyBorder="1"/>
    <xf numFmtId="0" fontId="3" fillId="0" borderId="53" xfId="0" applyFont="1" applyBorder="1"/>
    <xf numFmtId="0" fontId="3" fillId="0" borderId="4" xfId="0" applyFont="1" applyBorder="1"/>
    <xf numFmtId="0" fontId="3" fillId="3" borderId="1" xfId="0" applyFont="1" applyFill="1" applyBorder="1"/>
    <xf numFmtId="9" fontId="3" fillId="3" borderId="0" xfId="0" applyNumberFormat="1" applyFont="1" applyFill="1"/>
    <xf numFmtId="9" fontId="3" fillId="2" borderId="0" xfId="0" applyNumberFormat="1" applyFont="1" applyFill="1"/>
    <xf numFmtId="165" fontId="3" fillId="3" borderId="3" xfId="0" applyNumberFormat="1" applyFont="1" applyFill="1" applyBorder="1"/>
    <xf numFmtId="1" fontId="10" fillId="0" borderId="74" xfId="0" applyNumberFormat="1" applyFont="1" applyFill="1" applyBorder="1" applyAlignment="1" applyProtection="1">
      <alignment horizontal="center"/>
      <protection hidden="1"/>
    </xf>
    <xf numFmtId="1" fontId="10" fillId="0" borderId="11" xfId="0" applyNumberFormat="1" applyFont="1" applyFill="1" applyBorder="1" applyAlignment="1" applyProtection="1">
      <alignment horizontal="center"/>
      <protection hidden="1"/>
    </xf>
    <xf numFmtId="1" fontId="10" fillId="0" borderId="26" xfId="0" applyNumberFormat="1" applyFont="1" applyFill="1" applyBorder="1" applyAlignment="1" applyProtection="1">
      <alignment horizontal="center"/>
      <protection hidden="1"/>
    </xf>
    <xf numFmtId="0" fontId="3" fillId="0" borderId="38" xfId="0" applyFont="1" applyFill="1" applyBorder="1" applyAlignment="1" applyProtection="1">
      <alignment horizontal="center"/>
      <protection hidden="1"/>
    </xf>
    <xf numFmtId="1" fontId="2" fillId="6" borderId="85" xfId="0" applyNumberFormat="1" applyFont="1" applyFill="1" applyBorder="1" applyAlignment="1" applyProtection="1">
      <alignment horizontal="center"/>
      <protection hidden="1"/>
    </xf>
    <xf numFmtId="2" fontId="3" fillId="0" borderId="0" xfId="0" applyNumberFormat="1" applyFont="1" applyFill="1" applyBorder="1" applyProtection="1"/>
    <xf numFmtId="172" fontId="3" fillId="3" borderId="30" xfId="0" applyNumberFormat="1" applyFont="1" applyFill="1" applyBorder="1" applyAlignment="1" applyProtection="1">
      <alignment horizontal="center"/>
    </xf>
    <xf numFmtId="173" fontId="3" fillId="2" borderId="35" xfId="0" applyNumberFormat="1" applyFont="1" applyFill="1" applyBorder="1" applyAlignment="1" applyProtection="1">
      <alignment horizontal="center"/>
    </xf>
    <xf numFmtId="173" fontId="3" fillId="2" borderId="59" xfId="0" applyNumberFormat="1" applyFont="1" applyFill="1" applyBorder="1" applyAlignment="1" applyProtection="1">
      <alignment horizontal="center"/>
    </xf>
    <xf numFmtId="0" fontId="2" fillId="12" borderId="24" xfId="0" applyFont="1" applyFill="1" applyBorder="1" applyAlignment="1" applyProtection="1">
      <alignment horizontal="center"/>
      <protection locked="0" hidden="1"/>
    </xf>
    <xf numFmtId="0" fontId="2" fillId="12" borderId="83" xfId="0" applyFont="1" applyFill="1" applyBorder="1" applyAlignment="1" applyProtection="1">
      <alignment horizontal="center"/>
      <protection locked="0" hidden="1"/>
    </xf>
    <xf numFmtId="0" fontId="3" fillId="0" borderId="0" xfId="0" applyFont="1" applyProtection="1">
      <protection hidden="1"/>
    </xf>
    <xf numFmtId="0" fontId="23" fillId="12" borderId="69" xfId="0" applyFont="1" applyFill="1" applyBorder="1" applyAlignment="1" applyProtection="1">
      <alignment horizontal="center" vertical="center"/>
      <protection locked="0" hidden="1"/>
    </xf>
    <xf numFmtId="0" fontId="23" fillId="12" borderId="24" xfId="0" applyFont="1" applyFill="1" applyBorder="1" applyAlignment="1" applyProtection="1">
      <alignment horizontal="center" vertical="center"/>
      <protection locked="0" hidden="1"/>
    </xf>
    <xf numFmtId="0" fontId="23" fillId="12" borderId="117" xfId="0" applyFont="1" applyFill="1" applyBorder="1" applyAlignment="1" applyProtection="1">
      <alignment horizontal="center" vertical="center"/>
      <protection locked="0" hidden="1"/>
    </xf>
    <xf numFmtId="1" fontId="3" fillId="0" borderId="0" xfId="0" applyNumberFormat="1" applyFont="1" applyProtection="1">
      <protection hidden="1"/>
    </xf>
    <xf numFmtId="49" fontId="3" fillId="0" borderId="0" xfId="0" applyNumberFormat="1" applyFont="1" applyFill="1" applyProtection="1">
      <protection hidden="1"/>
    </xf>
    <xf numFmtId="1" fontId="3" fillId="0" borderId="66" xfId="0" applyNumberFormat="1" applyFont="1" applyFill="1" applyBorder="1" applyAlignment="1" applyProtection="1">
      <alignment horizontal="center"/>
      <protection hidden="1"/>
    </xf>
    <xf numFmtId="1" fontId="3" fillId="0" borderId="67" xfId="0" applyNumberFormat="1" applyFont="1" applyFill="1" applyBorder="1" applyAlignment="1" applyProtection="1">
      <alignment horizontal="center"/>
      <protection hidden="1"/>
    </xf>
    <xf numFmtId="1" fontId="3" fillId="0" borderId="68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165" fontId="3" fillId="0" borderId="39" xfId="0" applyNumberFormat="1" applyFont="1" applyFill="1" applyBorder="1" applyAlignment="1" applyProtection="1">
      <alignment horizontal="center"/>
      <protection hidden="1"/>
    </xf>
    <xf numFmtId="9" fontId="3" fillId="0" borderId="79" xfId="1" applyFont="1" applyFill="1" applyBorder="1" applyAlignment="1" applyProtection="1">
      <alignment horizontal="center"/>
      <protection hidden="1"/>
    </xf>
    <xf numFmtId="165" fontId="3" fillId="0" borderId="80" xfId="0" applyNumberFormat="1" applyFont="1" applyFill="1" applyBorder="1" applyAlignment="1" applyProtection="1">
      <alignment horizontal="center"/>
      <protection hidden="1"/>
    </xf>
    <xf numFmtId="9" fontId="3" fillId="0" borderId="81" xfId="1" applyFont="1" applyFill="1" applyBorder="1" applyAlignment="1" applyProtection="1">
      <alignment horizontal="center"/>
      <protection hidden="1"/>
    </xf>
    <xf numFmtId="165" fontId="2" fillId="6" borderId="85" xfId="0" applyNumberFormat="1" applyFont="1" applyFill="1" applyBorder="1" applyAlignment="1" applyProtection="1">
      <alignment horizontal="center"/>
      <protection hidden="1"/>
    </xf>
    <xf numFmtId="9" fontId="2" fillId="6" borderId="86" xfId="1" applyFont="1" applyFill="1" applyBorder="1" applyAlignment="1" applyProtection="1">
      <alignment horizontal="center"/>
      <protection hidden="1"/>
    </xf>
    <xf numFmtId="0" fontId="13" fillId="0" borderId="14" xfId="0" applyFont="1" applyFill="1" applyBorder="1" applyAlignment="1" applyProtection="1">
      <alignment horizontal="left"/>
      <protection hidden="1"/>
    </xf>
    <xf numFmtId="0" fontId="13" fillId="0" borderId="99" xfId="0" applyFont="1" applyFill="1" applyBorder="1" applyAlignment="1" applyProtection="1">
      <alignment horizontal="left"/>
      <protection hidden="1"/>
    </xf>
    <xf numFmtId="171" fontId="5" fillId="8" borderId="111" xfId="0" applyNumberFormat="1" applyFont="1" applyFill="1" applyBorder="1" applyAlignment="1" applyProtection="1">
      <alignment horizontal="center"/>
      <protection locked="0" hidden="1"/>
    </xf>
    <xf numFmtId="171" fontId="0" fillId="0" borderId="110" xfId="0" applyNumberFormat="1" applyBorder="1" applyAlignment="1" applyProtection="1">
      <alignment horizontal="center"/>
      <protection locked="0" hidden="1"/>
    </xf>
    <xf numFmtId="1" fontId="9" fillId="0" borderId="0" xfId="0" applyNumberFormat="1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10" fillId="0" borderId="96" xfId="0" applyFont="1" applyFill="1" applyBorder="1" applyAlignment="1" applyProtection="1">
      <alignment horizontal="center"/>
    </xf>
    <xf numFmtId="0" fontId="10" fillId="0" borderId="127" xfId="0" applyFont="1" applyFill="1" applyBorder="1" applyAlignment="1" applyProtection="1">
      <alignment horizontal="center"/>
    </xf>
    <xf numFmtId="0" fontId="10" fillId="0" borderId="63" xfId="0" applyFont="1" applyFill="1" applyBorder="1" applyAlignment="1" applyProtection="1">
      <alignment horizontal="center"/>
    </xf>
    <xf numFmtId="0" fontId="10" fillId="0" borderId="98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2" xfId="0" applyFont="1" applyFill="1" applyBorder="1" applyAlignment="1" applyProtection="1">
      <alignment horizontal="center"/>
    </xf>
    <xf numFmtId="0" fontId="10" fillId="0" borderId="113" xfId="0" applyFont="1" applyFill="1" applyBorder="1" applyAlignment="1" applyProtection="1">
      <alignment horizontal="center"/>
    </xf>
    <xf numFmtId="0" fontId="10" fillId="0" borderId="114" xfId="0" applyFont="1" applyFill="1" applyBorder="1" applyAlignment="1" applyProtection="1">
      <alignment horizontal="center"/>
    </xf>
    <xf numFmtId="1" fontId="10" fillId="0" borderId="115" xfId="0" applyNumberFormat="1" applyFont="1" applyFill="1" applyBorder="1" applyAlignment="1" applyProtection="1">
      <alignment horizontal="center"/>
      <protection hidden="1"/>
    </xf>
    <xf numFmtId="1" fontId="10" fillId="0" borderId="97" xfId="0" applyNumberFormat="1" applyFont="1" applyFill="1" applyBorder="1" applyAlignment="1" applyProtection="1">
      <alignment horizontal="center"/>
      <protection hidden="1"/>
    </xf>
    <xf numFmtId="1" fontId="10" fillId="0" borderId="63" xfId="0" applyNumberFormat="1" applyFont="1" applyFill="1" applyBorder="1" applyAlignment="1" applyProtection="1">
      <alignment horizontal="center"/>
      <protection hidden="1"/>
    </xf>
    <xf numFmtId="1" fontId="10" fillId="0" borderId="98" xfId="0" applyNumberFormat="1" applyFont="1" applyFill="1" applyBorder="1" applyAlignment="1" applyProtection="1">
      <alignment horizontal="center"/>
      <protection hidden="1"/>
    </xf>
    <xf numFmtId="169" fontId="2" fillId="8" borderId="95" xfId="0" applyNumberFormat="1" applyFont="1" applyFill="1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protection locked="0"/>
    </xf>
    <xf numFmtId="0" fontId="0" fillId="0" borderId="110" xfId="0" applyBorder="1" applyAlignment="1" applyProtection="1">
      <protection locked="0"/>
    </xf>
    <xf numFmtId="0" fontId="3" fillId="0" borderId="119" xfId="0" applyNumberFormat="1" applyFont="1" applyBorder="1" applyAlignment="1" applyProtection="1">
      <alignment horizontal="center"/>
      <protection hidden="1"/>
    </xf>
    <xf numFmtId="0" fontId="0" fillId="0" borderId="103" xfId="0" applyBorder="1" applyAlignment="1" applyProtection="1">
      <protection hidden="1"/>
    </xf>
    <xf numFmtId="0" fontId="3" fillId="0" borderId="51" xfId="0" applyNumberFormat="1" applyFont="1" applyFill="1" applyBorder="1" applyAlignment="1" applyProtection="1">
      <alignment horizontal="center"/>
      <protection hidden="1"/>
    </xf>
    <xf numFmtId="0" fontId="3" fillId="0" borderId="103" xfId="0" applyNumberFormat="1" applyFont="1" applyFill="1" applyBorder="1" applyAlignment="1" applyProtection="1">
      <alignment horizontal="center"/>
      <protection hidden="1"/>
    </xf>
    <xf numFmtId="0" fontId="0" fillId="0" borderId="49" xfId="0" applyBorder="1" applyAlignment="1" applyProtection="1">
      <alignment horizontal="center"/>
      <protection hidden="1"/>
    </xf>
    <xf numFmtId="1" fontId="3" fillId="0" borderId="118" xfId="0" applyNumberFormat="1" applyFont="1" applyBorder="1" applyAlignment="1" applyProtection="1">
      <alignment horizontal="center"/>
      <protection hidden="1"/>
    </xf>
    <xf numFmtId="0" fontId="0" fillId="0" borderId="112" xfId="0" applyBorder="1" applyAlignment="1" applyProtection="1">
      <protection hidden="1"/>
    </xf>
    <xf numFmtId="1" fontId="3" fillId="0" borderId="82" xfId="0" applyNumberFormat="1" applyFont="1" applyFill="1" applyBorder="1" applyAlignment="1" applyProtection="1">
      <alignment horizontal="center"/>
      <protection hidden="1"/>
    </xf>
    <xf numFmtId="1" fontId="3" fillId="0" borderId="112" xfId="0" applyNumberFormat="1" applyFont="1" applyFill="1" applyBorder="1" applyAlignment="1" applyProtection="1">
      <alignment horizontal="center"/>
      <protection hidden="1"/>
    </xf>
    <xf numFmtId="0" fontId="3" fillId="0" borderId="82" xfId="0" applyNumberFormat="1" applyFont="1" applyFill="1" applyBorder="1" applyAlignment="1" applyProtection="1">
      <alignment horizontal="center"/>
      <protection hidden="1"/>
    </xf>
    <xf numFmtId="0" fontId="0" fillId="0" borderId="91" xfId="0" applyBorder="1" applyAlignment="1" applyProtection="1">
      <alignment horizontal="center"/>
      <protection hidden="1"/>
    </xf>
    <xf numFmtId="0" fontId="3" fillId="0" borderId="72" xfId="0" applyNumberFormat="1" applyFont="1" applyBorder="1" applyAlignment="1" applyProtection="1">
      <alignment horizontal="center"/>
      <protection hidden="1"/>
    </xf>
    <xf numFmtId="0" fontId="0" fillId="0" borderId="101" xfId="0" applyBorder="1" applyAlignment="1" applyProtection="1">
      <protection hidden="1"/>
    </xf>
    <xf numFmtId="0" fontId="0" fillId="0" borderId="101" xfId="0" applyBorder="1" applyAlignment="1" applyProtection="1">
      <alignment horizontal="center"/>
      <protection hidden="1"/>
    </xf>
    <xf numFmtId="0" fontId="3" fillId="0" borderId="45" xfId="0" applyNumberFormat="1" applyFont="1" applyFill="1" applyBorder="1" applyAlignment="1" applyProtection="1">
      <alignment horizontal="center"/>
      <protection hidden="1"/>
    </xf>
    <xf numFmtId="0" fontId="3" fillId="0" borderId="101" xfId="0" applyNumberFormat="1" applyFont="1" applyFill="1" applyBorder="1" applyAlignment="1" applyProtection="1">
      <alignment horizontal="center"/>
      <protection hidden="1"/>
    </xf>
    <xf numFmtId="0" fontId="0" fillId="0" borderId="44" xfId="0" applyBorder="1" applyAlignment="1" applyProtection="1">
      <alignment horizontal="center"/>
      <protection hidden="1"/>
    </xf>
    <xf numFmtId="0" fontId="4" fillId="8" borderId="95" xfId="0" applyFont="1" applyFill="1" applyBorder="1" applyAlignment="1" applyProtection="1">
      <alignment horizontal="left" vertical="center"/>
      <protection locked="0"/>
    </xf>
    <xf numFmtId="0" fontId="0" fillId="8" borderId="110" xfId="0" applyFill="1" applyBorder="1" applyAlignment="1" applyProtection="1">
      <alignment horizontal="left" vertical="center"/>
      <protection locked="0"/>
    </xf>
    <xf numFmtId="1" fontId="3" fillId="0" borderId="14" xfId="0" applyNumberFormat="1" applyFont="1" applyFill="1" applyBorder="1" applyAlignment="1" applyProtection="1">
      <alignment horizontal="center"/>
      <protection hidden="1"/>
    </xf>
    <xf numFmtId="1" fontId="3" fillId="0" borderId="99" xfId="0" applyNumberFormat="1" applyFont="1" applyFill="1" applyBorder="1" applyAlignment="1" applyProtection="1">
      <alignment horizontal="center"/>
      <protection hidden="1"/>
    </xf>
    <xf numFmtId="168" fontId="17" fillId="0" borderId="3" xfId="0" applyNumberFormat="1" applyFont="1" applyFill="1" applyBorder="1" applyAlignment="1" applyProtection="1">
      <alignment horizontal="center"/>
    </xf>
    <xf numFmtId="0" fontId="13" fillId="0" borderId="128" xfId="0" applyFont="1" applyFill="1" applyBorder="1" applyAlignment="1" applyProtection="1">
      <alignment horizontal="left"/>
      <protection hidden="1"/>
    </xf>
    <xf numFmtId="0" fontId="13" fillId="0" borderId="129" xfId="0" applyFont="1" applyFill="1" applyBorder="1" applyAlignment="1" applyProtection="1">
      <alignment horizontal="left"/>
      <protection hidden="1"/>
    </xf>
    <xf numFmtId="1" fontId="2" fillId="6" borderId="87" xfId="0" applyNumberFormat="1" applyFont="1" applyFill="1" applyBorder="1" applyAlignment="1" applyProtection="1">
      <alignment horizontal="right"/>
      <protection hidden="1"/>
    </xf>
    <xf numFmtId="1" fontId="2" fillId="6" borderId="88" xfId="0" applyNumberFormat="1" applyFont="1" applyFill="1" applyBorder="1" applyAlignment="1" applyProtection="1">
      <alignment horizontal="right"/>
      <protection hidden="1"/>
    </xf>
    <xf numFmtId="0" fontId="3" fillId="0" borderId="95" xfId="0" applyFont="1" applyBorder="1" applyAlignment="1" applyProtection="1">
      <alignment horizontal="center"/>
      <protection hidden="1"/>
    </xf>
    <xf numFmtId="0" fontId="3" fillId="0" borderId="110" xfId="0" applyFont="1" applyBorder="1" applyAlignment="1" applyProtection="1">
      <alignment horizontal="center"/>
      <protection hidden="1"/>
    </xf>
    <xf numFmtId="0" fontId="14" fillId="0" borderId="52" xfId="0" applyFont="1" applyBorder="1" applyAlignment="1" applyProtection="1">
      <alignment horizontal="left"/>
    </xf>
    <xf numFmtId="0" fontId="14" fillId="0" borderId="3" xfId="0" applyFont="1" applyBorder="1" applyAlignment="1" applyProtection="1">
      <alignment horizontal="left"/>
    </xf>
    <xf numFmtId="0" fontId="14" fillId="0" borderId="53" xfId="0" applyFont="1" applyBorder="1" applyAlignment="1" applyProtection="1">
      <alignment horizontal="left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70" xfId="0" applyFont="1" applyBorder="1" applyAlignment="1" applyProtection="1">
      <alignment horizontal="center" vertical="center"/>
      <protection hidden="1"/>
    </xf>
    <xf numFmtId="0" fontId="2" fillId="0" borderId="71" xfId="0" applyFont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left"/>
    </xf>
    <xf numFmtId="0" fontId="14" fillId="0" borderId="0" xfId="0" applyFont="1" applyBorder="1" applyAlignment="1" applyProtection="1">
      <alignment horizontal="left"/>
    </xf>
    <xf numFmtId="0" fontId="14" fillId="0" borderId="7" xfId="0" applyFont="1" applyBorder="1" applyAlignment="1" applyProtection="1">
      <alignment horizontal="left"/>
    </xf>
    <xf numFmtId="0" fontId="14" fillId="0" borderId="6" xfId="0" applyFont="1" applyBorder="1" applyAlignment="1" applyProtection="1">
      <alignment horizontal="center"/>
    </xf>
    <xf numFmtId="0" fontId="14" fillId="0" borderId="0" xfId="0" applyFont="1" applyBorder="1" applyAlignment="1" applyProtection="1">
      <alignment horizontal="center"/>
    </xf>
    <xf numFmtId="0" fontId="14" fillId="0" borderId="4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/>
    </xf>
    <xf numFmtId="0" fontId="3" fillId="0" borderId="45" xfId="0" applyFont="1" applyBorder="1" applyAlignment="1" applyProtection="1">
      <alignment horizontal="center"/>
      <protection hidden="1"/>
    </xf>
    <xf numFmtId="0" fontId="4" fillId="0" borderId="95" xfId="0" applyFont="1" applyFill="1" applyBorder="1" applyAlignment="1" applyProtection="1"/>
    <xf numFmtId="0" fontId="0" fillId="0" borderId="110" xfId="0" applyFill="1" applyBorder="1" applyAlignment="1" applyProtection="1"/>
    <xf numFmtId="169" fontId="2" fillId="0" borderId="95" xfId="0" applyNumberFormat="1" applyFont="1" applyFill="1" applyBorder="1" applyAlignment="1" applyProtection="1">
      <alignment horizontal="center" vertical="center"/>
    </xf>
    <xf numFmtId="0" fontId="0" fillId="0" borderId="111" xfId="0" applyFill="1" applyBorder="1" applyAlignment="1" applyProtection="1"/>
    <xf numFmtId="0" fontId="3" fillId="0" borderId="48" xfId="0" applyFont="1" applyBorder="1" applyAlignment="1" applyProtection="1">
      <alignment horizontal="center"/>
      <protection hidden="1"/>
    </xf>
    <xf numFmtId="0" fontId="0" fillId="0" borderId="103" xfId="0" applyBorder="1" applyProtection="1">
      <protection hidden="1"/>
    </xf>
    <xf numFmtId="0" fontId="3" fillId="0" borderId="51" xfId="0" applyFont="1" applyBorder="1" applyAlignment="1" applyProtection="1">
      <alignment horizontal="center"/>
      <protection hidden="1"/>
    </xf>
    <xf numFmtId="0" fontId="3" fillId="0" borderId="103" xfId="0" applyFont="1" applyBorder="1" applyAlignment="1" applyProtection="1">
      <alignment horizontal="center"/>
      <protection hidden="1"/>
    </xf>
    <xf numFmtId="1" fontId="3" fillId="0" borderId="90" xfId="0" applyNumberFormat="1" applyFont="1" applyBorder="1" applyAlignment="1" applyProtection="1">
      <alignment horizontal="center"/>
    </xf>
    <xf numFmtId="0" fontId="0" fillId="0" borderId="112" xfId="0" applyBorder="1" applyAlignment="1"/>
    <xf numFmtId="1" fontId="3" fillId="0" borderId="82" xfId="0" applyNumberFormat="1" applyFont="1" applyFill="1" applyBorder="1" applyAlignment="1" applyProtection="1">
      <alignment horizontal="center"/>
    </xf>
    <xf numFmtId="1" fontId="3" fillId="0" borderId="112" xfId="0" applyNumberFormat="1" applyFont="1" applyFill="1" applyBorder="1" applyAlignment="1" applyProtection="1">
      <alignment horizontal="center"/>
    </xf>
    <xf numFmtId="0" fontId="3" fillId="0" borderId="82" xfId="0" applyNumberFormat="1" applyFont="1" applyFill="1" applyBorder="1" applyAlignment="1" applyProtection="1">
      <alignment horizontal="center"/>
    </xf>
    <xf numFmtId="0" fontId="0" fillId="0" borderId="91" xfId="0" applyBorder="1" applyAlignment="1">
      <alignment horizontal="center"/>
    </xf>
    <xf numFmtId="0" fontId="3" fillId="0" borderId="43" xfId="0" applyFont="1" applyBorder="1" applyAlignment="1" applyProtection="1">
      <alignment horizontal="center"/>
      <protection hidden="1"/>
    </xf>
    <xf numFmtId="0" fontId="0" fillId="0" borderId="101" xfId="0" applyBorder="1" applyProtection="1">
      <protection hidden="1"/>
    </xf>
    <xf numFmtId="0" fontId="3" fillId="0" borderId="101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22" fillId="0" borderId="0" xfId="0" quotePrefix="1" applyFont="1" applyProtection="1">
      <protection hidden="1"/>
    </xf>
  </cellXfs>
  <cellStyles count="3">
    <cellStyle name="Goed" xfId="2" builtinId="26"/>
    <cellStyle name="Procent" xfId="1" builtinId="5"/>
    <cellStyle name="Standaard" xfId="0" builtinId="0"/>
  </cellStyles>
  <dxfs count="111"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theme="2" tint="-9.9948118533890809E-2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V$41" fmlaRange="$BW$26:$BW$29" noThreeD="1" sel="1" val="0"/>
</file>

<file path=xl/ctrlProps/ctrlProp3.xml><?xml version="1.0" encoding="utf-8"?>
<formControlPr xmlns="http://schemas.microsoft.com/office/spreadsheetml/2009/9/main" objectType="Drop" dropStyle="combo" dx="22" fmlaLink="$V$44" fmlaRange="$BX$31:$BX$32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171450</xdr:rowOff>
        </xdr:from>
        <xdr:to>
          <xdr:col>12</xdr:col>
          <xdr:colOff>628650</xdr:colOff>
          <xdr:row>2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BE" sz="1000" b="0" i="0" u="none" strike="noStrike" baseline="0">
                  <a:solidFill>
                    <a:srgbClr val="000000"/>
                  </a:solidFill>
                  <a:latin typeface="MS Sans Serif"/>
                </a:rPr>
                <a:t>Bescherming AAN/UIT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40</xdr:row>
          <xdr:rowOff>47625</xdr:rowOff>
        </xdr:from>
        <xdr:to>
          <xdr:col>12</xdr:col>
          <xdr:colOff>38100</xdr:colOff>
          <xdr:row>41</xdr:row>
          <xdr:rowOff>133350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43</xdr:row>
          <xdr:rowOff>85725</xdr:rowOff>
        </xdr:from>
        <xdr:to>
          <xdr:col>12</xdr:col>
          <xdr:colOff>38100</xdr:colOff>
          <xdr:row>44</xdr:row>
          <xdr:rowOff>161925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1285875</xdr:colOff>
          <xdr:row>38</xdr:row>
          <xdr:rowOff>28575</xdr:rowOff>
        </xdr:from>
        <xdr:to>
          <xdr:col>24</xdr:col>
          <xdr:colOff>571500</xdr:colOff>
          <xdr:row>42</xdr:row>
          <xdr:rowOff>161925</xdr:rowOff>
        </xdr:to>
        <xdr:sp macro="" textlink="">
          <xdr:nvSpPr>
            <xdr:cNvPr id="1146" name="Button 122" descr="De huidige maand afsluiten(berekeningen blokeren)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24</xdr:col>
          <xdr:colOff>533400</xdr:colOff>
          <xdr:row>42</xdr:row>
          <xdr:rowOff>123825</xdr:rowOff>
        </xdr:to>
        <xdr:sp macro="" textlink="">
          <xdr:nvSpPr>
            <xdr:cNvPr id="2065" name="Button 17" descr="De huidige maand afsluiten(berekeningen blokeren)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1000125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3082" name="Button 10" descr="De huidige maand afsluiten(berekeningen blokeren)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4132" name="Button 36" descr="De huidige maand afsluiten(berekeningen blokeren)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0</xdr:colOff>
          <xdr:row>42</xdr:row>
          <xdr:rowOff>133350</xdr:rowOff>
        </xdr:to>
        <xdr:sp macro="" textlink="">
          <xdr:nvSpPr>
            <xdr:cNvPr id="5130" name="Button 10" descr="De huidige maand afsluiten(berekeningen blokeren)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25</xdr:col>
          <xdr:colOff>9525</xdr:colOff>
          <xdr:row>42</xdr:row>
          <xdr:rowOff>133350</xdr:rowOff>
        </xdr:to>
        <xdr:sp macro="" textlink="">
          <xdr:nvSpPr>
            <xdr:cNvPr id="6154" name="Button 10" descr="De huidige maand afsluiten(berekeningen blokeren)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5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7178" name="Button 10" descr="De huidige maand afsluiten(berekeningen blokeren)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8202" name="Button 10" descr="De huidige maand afsluiten(berekeningen blokeren)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9225" name="Button 9" descr="De huidige maand afsluiten(berekeningen blokeren)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8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0249" name="Button 9" descr="De huidige maand afsluiten(berekeningen blokeren)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9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1273" name="Button 9" descr="De huidige maand afsluiten(berekeningen blokeren)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A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1009650</xdr:colOff>
          <xdr:row>38</xdr:row>
          <xdr:rowOff>28575</xdr:rowOff>
        </xdr:from>
        <xdr:to>
          <xdr:col>108</xdr:col>
          <xdr:colOff>19050</xdr:colOff>
          <xdr:row>42</xdr:row>
          <xdr:rowOff>133350</xdr:rowOff>
        </xdr:to>
        <xdr:sp macro="" textlink="">
          <xdr:nvSpPr>
            <xdr:cNvPr id="12297" name="Button 9" descr="De huidige maand afsluiten(berekeningen blokeren)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BE" sz="1400" b="0" i="0" u="none" strike="noStrike" baseline="0">
                  <a:solidFill>
                    <a:srgbClr val="000000"/>
                  </a:solidFill>
                  <a:latin typeface="MS Sans Serif"/>
                </a:rPr>
                <a:t>Berekening van deze maand blokeren.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net.railb.be\ifs1\IAM\I-AM.A3\8.DRAWING_OFFICE\8.1.Common\Werktijdregistratie\00%20I.NW.06\Werklijst%20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rklijst"/>
      <sheetName val="Archief"/>
      <sheetName val="Archief (tem 2013)"/>
      <sheetName val="SSP"/>
      <sheetName val="SSP Archief"/>
      <sheetName val="Print map"/>
      <sheetName val="Print map SSP"/>
    </sheetNames>
    <sheetDataSet>
      <sheetData sheetId="0">
        <row r="16">
          <cell r="A16" t="str">
            <v>19/44</v>
          </cell>
          <cell r="D16" t="str">
            <v>L69 Anzegem Seinonderstation Anzegem</v>
          </cell>
          <cell r="K16" t="str">
            <v>IP-010200.01.01.M01</v>
          </cell>
        </row>
        <row r="17">
          <cell r="A17" t="str">
            <v>98/0116</v>
          </cell>
          <cell r="D17" t="str">
            <v>Klassement/plotten</v>
          </cell>
          <cell r="K17" t="str">
            <v>klassement</v>
          </cell>
        </row>
        <row r="18">
          <cell r="A18" t="str">
            <v>98/0117</v>
          </cell>
          <cell r="D18" t="str">
            <v>Opvolging bureau</v>
          </cell>
          <cell r="K18" t="str">
            <v>90000000</v>
          </cell>
        </row>
        <row r="19">
          <cell r="A19" t="str">
            <v>07/44</v>
          </cell>
          <cell r="D19" t="str">
            <v>Gronden-Afbakening-Afpaling</v>
          </cell>
          <cell r="K19" t="str">
            <v>6401/11300</v>
          </cell>
        </row>
        <row r="20">
          <cell r="A20" t="str">
            <v>18/454</v>
          </cell>
          <cell r="D20" t="str">
            <v>Gent-Zeehaven Plannen Area-gebouw te Gent-Zeehaven (schets/voorontwerp/bouwaanvraag)</v>
          </cell>
          <cell r="K20" t="str">
            <v>6401/11300</v>
          </cell>
        </row>
        <row r="21">
          <cell r="A21" t="str">
            <v>18/455</v>
          </cell>
          <cell r="D21" t="str">
            <v>Gent Plans verbouwen seinzaal Blok 6</v>
          </cell>
          <cell r="K21" t="str">
            <v>IP-004318.01.01.M01</v>
          </cell>
        </row>
        <row r="22">
          <cell r="A22" t="str">
            <v>06/70</v>
          </cell>
          <cell r="D22" t="str">
            <v>Kabels &amp; Leidingen</v>
          </cell>
          <cell r="K22" t="str">
            <v>6402/11300</v>
          </cell>
        </row>
        <row r="23">
          <cell r="A23" t="str">
            <v>14/407</v>
          </cell>
          <cell r="D23" t="str">
            <v>Denderleeuw Opmaak plannen 1-FDD 002/2, 002/3 en 002/4</v>
          </cell>
          <cell r="K23" t="str">
            <v>IP-002287.01.02.003 slecht</v>
          </cell>
        </row>
        <row r="24">
          <cell r="A24" t="str">
            <v>14/408</v>
          </cell>
          <cell r="D24" t="str">
            <v>Denderleeuw Opmaak plan 11-FDD….. (FLS)</v>
          </cell>
          <cell r="K24" t="str">
            <v>IP-002283.01.01.003 slecht</v>
          </cell>
        </row>
        <row r="25">
          <cell r="A25" t="str">
            <v>14/454</v>
          </cell>
          <cell r="D25" t="str">
            <v>L50A 13-50A-27/3 tem 27/8 en 27/10</v>
          </cell>
          <cell r="K25" t="str">
            <v>IP-004655.03.01.M01</v>
          </cell>
        </row>
        <row r="26">
          <cell r="A26" t="str">
            <v>14/634</v>
          </cell>
          <cell r="D26" t="str">
            <v>Gent-Sint-Pieters 11-FGSP-FGSP-002/1 OF2</v>
          </cell>
          <cell r="K26" t="str">
            <v>BT1368460.01/H010</v>
          </cell>
        </row>
        <row r="27">
          <cell r="A27" t="str">
            <v>15/41</v>
          </cell>
          <cell r="D27" t="str">
            <v>Opmaken BTS</v>
          </cell>
          <cell r="K27" t="str">
            <v>BTS</v>
          </cell>
        </row>
        <row r="28">
          <cell r="A28" t="str">
            <v>15/81</v>
          </cell>
          <cell r="D28" t="str">
            <v>Puurs Kabelliggingsplan 1kV+VCAW-zones</v>
          </cell>
          <cell r="K28" t="str">
            <v>IP-005190.10.01.M01</v>
          </cell>
        </row>
        <row r="29">
          <cell r="A29" t="str">
            <v>15/82</v>
          </cell>
          <cell r="D29" t="str">
            <v>Willebroek Kabelliggingsplan 1kV+VCAW-zones</v>
          </cell>
          <cell r="K29" t="str">
            <v>IP-005190.04.01.M01</v>
          </cell>
        </row>
        <row r="30">
          <cell r="A30" t="str">
            <v>15/113</v>
          </cell>
          <cell r="D30" t="str">
            <v>Brugge 1-FR-R2.08/1020-01 , .19/1020-01, .08/1023-02, .08/1019-02</v>
          </cell>
          <cell r="K30" t="str">
            <v>IP-007174.01.01.M01</v>
          </cell>
        </row>
        <row r="31">
          <cell r="A31" t="str">
            <v>15/158</v>
          </cell>
          <cell r="D31" t="str">
            <v>L75 Digitaliseren pikketeringsplans lijn 75</v>
          </cell>
          <cell r="K31" t="str">
            <v>AIP009157.01/H010</v>
          </cell>
        </row>
        <row r="32">
          <cell r="A32" t="str">
            <v>15/255</v>
          </cell>
          <cell r="D32" t="str">
            <v>Brugge 11-FR-S2.17_808-1, 11-FR-S2.17_808-2, 11-FR-S2.18_808-1</v>
          </cell>
          <cell r="K32" t="str">
            <v>IP-007174.01.01.M01</v>
          </cell>
        </row>
        <row r="33">
          <cell r="A33" t="str">
            <v>15/257</v>
          </cell>
          <cell r="D33" t="str">
            <v>Zeebrugge 11-LZR-77/3</v>
          </cell>
          <cell r="K33" t="str">
            <v>IP-003171.01.05.00M</v>
          </cell>
        </row>
        <row r="34">
          <cell r="A34" t="str">
            <v>15/301</v>
          </cell>
          <cell r="D34" t="str">
            <v>Digitaliseren en opmeten vd bezetting door derden</v>
          </cell>
          <cell r="K34" t="str">
            <v>6110/11338</v>
          </cell>
        </row>
        <row r="35">
          <cell r="A35" t="str">
            <v>15/316</v>
          </cell>
          <cell r="D35" t="str">
            <v>Gent-Zeehaven Ontwerpplans 1008/4, 1008/5, 1008/6</v>
          </cell>
          <cell r="K35" t="str">
            <v>BT1207463.01/H010</v>
          </cell>
        </row>
        <row r="36">
          <cell r="A36" t="str">
            <v>15/322</v>
          </cell>
          <cell r="D36" t="str">
            <v>Denderleeuw 1-FDD-002/1 en 1-FDD-002/EBP-PLP bl 6-7</v>
          </cell>
          <cell r="K36" t="str">
            <v>IP-002287.01.03.003 slecht</v>
          </cell>
        </row>
        <row r="37">
          <cell r="A37" t="str">
            <v>15/341</v>
          </cell>
          <cell r="D37" t="str">
            <v>L53 Aansluiting 3 veldwegen te Kapelle-op-den-Bos</v>
          </cell>
          <cell r="K37" t="str">
            <v>IP-001734.01.03.M01</v>
          </cell>
        </row>
        <row r="38">
          <cell r="A38" t="str">
            <v>15/377</v>
          </cell>
          <cell r="D38" t="str">
            <v>L57 Lokeren Afschaffen OW 34, afsch buurtweg, opbreken OW</v>
          </cell>
          <cell r="K38" t="str">
            <v>IP-009107.01.01.M01</v>
          </cell>
        </row>
        <row r="39">
          <cell r="A39" t="str">
            <v>15/378</v>
          </cell>
          <cell r="D39" t="str">
            <v>L73 De Panne Opmaak tabelplan voor onteigeningen tss OW 116 tem OW117</v>
          </cell>
          <cell r="K39" t="str">
            <v>IP-009105.01.01.M01</v>
          </cell>
        </row>
        <row r="40">
          <cell r="A40" t="str">
            <v>15/407</v>
          </cell>
          <cell r="D40" t="str">
            <v>L51 Blankenberge Aanpassen plan malaga 8-FBK 9/10</v>
          </cell>
          <cell r="K40" t="str">
            <v>4220/527112</v>
          </cell>
        </row>
        <row r="41">
          <cell r="A41" t="str">
            <v>15/409</v>
          </cell>
          <cell r="D41" t="str">
            <v>L50 Schellebelle Project FCB4 integreren in lijn 50 + bijkomende At-kabel</v>
          </cell>
          <cell r="K41" t="str">
            <v>4001900/0010</v>
          </cell>
        </row>
        <row r="42">
          <cell r="A42" t="str">
            <v>15/410</v>
          </cell>
          <cell r="D42" t="str">
            <v>L50 Aalst-Kerrebroek Project FLSK integreren in lijn 50 + bijkomende At-kabel</v>
          </cell>
          <cell r="K42" t="str">
            <v>4001900/0010</v>
          </cell>
        </row>
        <row r="43">
          <cell r="A43" t="str">
            <v>15/442</v>
          </cell>
          <cell r="D43" t="str">
            <v>Lokeren Herinplanting wisselverbinding</v>
          </cell>
          <cell r="K43" t="str">
            <v>AIP007260.01/H010</v>
          </cell>
        </row>
        <row r="44">
          <cell r="A44" t="str">
            <v>15/486</v>
          </cell>
          <cell r="D44" t="str">
            <v>Wondelgem Aanpassen plans 1kV-post B en 1kV-post dubbelzijdig lijn 58</v>
          </cell>
          <cell r="K44" t="str">
            <v>IP-002275.01.04.004</v>
          </cell>
        </row>
        <row r="45">
          <cell r="A45" t="str">
            <v>15/505</v>
          </cell>
          <cell r="D45" t="str">
            <v>L122 Afbakeningsplan tussen km 46 en 47</v>
          </cell>
          <cell r="K45" t="str">
            <v>6401/11300</v>
          </cell>
        </row>
        <row r="46">
          <cell r="A46" t="str">
            <v>15/518</v>
          </cell>
          <cell r="D46" t="str">
            <v>Lokeren Aanpassen VCAW 3-L18-24/4</v>
          </cell>
          <cell r="K46" t="str">
            <v>IP-005190.13.01.M01</v>
          </cell>
        </row>
        <row r="47">
          <cell r="A47" t="str">
            <v>15/521</v>
          </cell>
          <cell r="D47" t="str">
            <v>L122 Zottegem Pre-kadastratie km 38.400</v>
          </cell>
          <cell r="K47" t="str">
            <v>BTO143436.01/H010</v>
          </cell>
        </row>
        <row r="48">
          <cell r="A48" t="str">
            <v>15/532</v>
          </cell>
          <cell r="D48" t="str">
            <v>L75 Afbakeningsplan tussen km 16 en 18</v>
          </cell>
          <cell r="K48" t="str">
            <v>6401/11300</v>
          </cell>
        </row>
        <row r="49">
          <cell r="A49" t="str">
            <v>15/533</v>
          </cell>
          <cell r="D49" t="str">
            <v>L75 Afbakeningsplan tussen km 23 en 25</v>
          </cell>
          <cell r="K49" t="str">
            <v>6401/11300</v>
          </cell>
        </row>
        <row r="50">
          <cell r="A50" t="str">
            <v>15/547</v>
          </cell>
          <cell r="D50" t="str">
            <v>L50A Beernem-Oostkamp LPI km 81000 tot 87025</v>
          </cell>
          <cell r="K50" t="str">
            <v>IP-005275.01.01.M01</v>
          </cell>
        </row>
        <row r="51">
          <cell r="A51" t="str">
            <v>15/571</v>
          </cell>
          <cell r="D51" t="str">
            <v>L50A/C 3de en 4de spoor L50A Onderhoudsgrens-Y Lombeek</v>
          </cell>
          <cell r="K51" t="str">
            <v>BT0106330.01/H020</v>
          </cell>
        </row>
        <row r="52">
          <cell r="A52" t="str">
            <v>15/576</v>
          </cell>
          <cell r="D52" t="str">
            <v>L66 Aanpassen piketteringsplannen 6-66-1/24,27,28,35</v>
          </cell>
          <cell r="K52" t="str">
            <v>4001900/0010</v>
          </cell>
        </row>
        <row r="53">
          <cell r="A53" t="str">
            <v>15/584</v>
          </cell>
          <cell r="D53" t="str">
            <v>L55 Keet N1 en N2 bijplaatsen</v>
          </cell>
          <cell r="K53" t="str">
            <v>IP-002275.01.06.002</v>
          </cell>
        </row>
        <row r="54">
          <cell r="A54" t="str">
            <v>15/614</v>
          </cell>
          <cell r="D54" t="str">
            <v>Brugge Brugge Seinhuis</v>
          </cell>
          <cell r="K54" t="str">
            <v>IP-004383.01.01.M01</v>
          </cell>
        </row>
        <row r="55">
          <cell r="A55" t="str">
            <v>15/634</v>
          </cell>
          <cell r="D55" t="str">
            <v>Oostende Bundelverlichting zone A</v>
          </cell>
          <cell r="K55" t="str">
            <v>IP-000299.04.01.M01</v>
          </cell>
        </row>
        <row r="56">
          <cell r="A56" t="str">
            <v>15/635</v>
          </cell>
          <cell r="D56" t="str">
            <v>Oostende Bundelverlichting zone B</v>
          </cell>
          <cell r="K56" t="str">
            <v>IP-000299.04.01.M01</v>
          </cell>
        </row>
        <row r="57">
          <cell r="A57" t="str">
            <v>15/636</v>
          </cell>
          <cell r="D57" t="str">
            <v>Oostende Bundelverlichting zone C</v>
          </cell>
          <cell r="K57" t="str">
            <v>IP-000299.04.01.M01</v>
          </cell>
        </row>
        <row r="58">
          <cell r="A58" t="str">
            <v>15/638</v>
          </cell>
          <cell r="D58" t="str">
            <v>L90 Vernieuwing OW 79</v>
          </cell>
          <cell r="K58" t="str">
            <v>4002605/H022</v>
          </cell>
        </row>
        <row r="59">
          <cell r="A59" t="str">
            <v>15/666</v>
          </cell>
          <cell r="D59" t="str">
            <v>L69 Poperinge Vernieuwing OW 109</v>
          </cell>
          <cell r="K59" t="str">
            <v>5231/502691</v>
          </cell>
        </row>
        <row r="60">
          <cell r="A60" t="str">
            <v>15/667</v>
          </cell>
          <cell r="D60" t="str">
            <v>Opladen, verwerken plans van de gebouwen in VAULT</v>
          </cell>
          <cell r="K60" t="str">
            <v>6401/11300</v>
          </cell>
        </row>
        <row r="61">
          <cell r="A61" t="str">
            <v>15/672</v>
          </cell>
          <cell r="D61" t="str">
            <v>Lokeren Langsweg tussen OW57 en OW58</v>
          </cell>
          <cell r="K61" t="str">
            <v>IP-009107.01.01.M01</v>
          </cell>
        </row>
        <row r="62">
          <cell r="A62" t="str">
            <v>15/673</v>
          </cell>
          <cell r="D62" t="str">
            <v>De Panne Langsweg tussen OW117 en OW116</v>
          </cell>
          <cell r="K62" t="str">
            <v>IP-009107.01.01.M01</v>
          </cell>
        </row>
        <row r="63">
          <cell r="A63" t="str">
            <v>16/09</v>
          </cell>
          <cell r="D63" t="str">
            <v>Basisschets Wondelgem</v>
          </cell>
          <cell r="K63" t="str">
            <v>IP-005279.01.02.M01</v>
          </cell>
        </row>
        <row r="64">
          <cell r="A64" t="str">
            <v>16/16</v>
          </cell>
          <cell r="D64" t="str">
            <v>L50A Drongen PV van afbakening Drongen</v>
          </cell>
          <cell r="K64" t="str">
            <v>BT1206402.01/H020</v>
          </cell>
        </row>
        <row r="65">
          <cell r="A65" t="str">
            <v>16/38</v>
          </cell>
          <cell r="D65" t="str">
            <v>6-0-4/7 Controle van km-aanduidingen sectiescheidingen</v>
          </cell>
          <cell r="K65" t="str">
            <v>AIP009157.01/H010</v>
          </cell>
        </row>
        <row r="66">
          <cell r="A66" t="str">
            <v>16/132</v>
          </cell>
          <cell r="D66" t="str">
            <v>L122 Vernieuwen OW 90</v>
          </cell>
          <cell r="K66" t="str">
            <v>4002541/H020</v>
          </cell>
        </row>
        <row r="67">
          <cell r="A67" t="str">
            <v>16/150</v>
          </cell>
          <cell r="D67" t="str">
            <v>L50A Melle Plans omzetten van nummer 17-FML naar 7-FML</v>
          </cell>
          <cell r="K67" t="str">
            <v>4001304/0070</v>
          </cell>
        </row>
        <row r="68">
          <cell r="A68" t="str">
            <v>16/164</v>
          </cell>
          <cell r="D68" t="str">
            <v>L75 Pikettering bijkomende aarding spoor B</v>
          </cell>
          <cell r="K68" t="str">
            <v>40019000010</v>
          </cell>
        </row>
        <row r="69">
          <cell r="A69" t="str">
            <v>16/165</v>
          </cell>
          <cell r="D69" t="str">
            <v>Rodenhuize Aanpassen 3 plans VCAW</v>
          </cell>
          <cell r="K69" t="str">
            <v>IP-002275.01.04.004</v>
          </cell>
        </row>
        <row r="70">
          <cell r="A70" t="str">
            <v>16/176</v>
          </cell>
          <cell r="D70" t="str">
            <v>50A6 Aanpassen grafiek samenstelling spoor</v>
          </cell>
          <cell r="K70" t="str">
            <v>AIP008761.01/H020</v>
          </cell>
        </row>
        <row r="71">
          <cell r="A71" t="str">
            <v>16/187</v>
          </cell>
          <cell r="D71" t="str">
            <v>L75 Kortrijk Station Kortrijk aanpassen piketteringsplans</v>
          </cell>
          <cell r="K71" t="str">
            <v>AIP009157.01/H010</v>
          </cell>
        </row>
        <row r="72">
          <cell r="A72" t="str">
            <v>16/193</v>
          </cell>
          <cell r="D72" t="str">
            <v>Kortrijk Trace en montageplans - wissels aan de Leiebrug</v>
          </cell>
          <cell r="K72" t="str">
            <v>IP-010133.01.01.M01</v>
          </cell>
        </row>
        <row r="73">
          <cell r="A73" t="str">
            <v>16/200</v>
          </cell>
          <cell r="D73" t="str">
            <v>Gent-Sint-Pieters Bundel- en dienstwegverlichting bundel CD</v>
          </cell>
        </row>
        <row r="74">
          <cell r="A74" t="str">
            <v>16/201</v>
          </cell>
          <cell r="D74" t="str">
            <v>Zandvoorde HS-transformatiepost "TRP-FSDM-Zandvoorde" aanpassen (3 plans)</v>
          </cell>
          <cell r="K74" t="str">
            <v>IP-003498.13.01.M01</v>
          </cell>
        </row>
        <row r="75">
          <cell r="A75" t="str">
            <v>16/271</v>
          </cell>
          <cell r="D75" t="str">
            <v>L73 De Panne Pre-kadastratie tss OW117 en OW116</v>
          </cell>
          <cell r="K75" t="str">
            <v>IP-009107.01.01.M01</v>
          </cell>
        </row>
        <row r="76">
          <cell r="A76" t="str">
            <v>16/281</v>
          </cell>
          <cell r="D76" t="str">
            <v>Gent-Zeehaven Inrichtingsplan Bundel D</v>
          </cell>
          <cell r="K76" t="str">
            <v>IP-010597.01.05.M01</v>
          </cell>
        </row>
        <row r="77">
          <cell r="A77" t="str">
            <v>16/285</v>
          </cell>
          <cell r="D77" t="str">
            <v>L75 Moeskroen 6-0-4/8 (Aanpassingen in Ramses: fouten WORKCAT)</v>
          </cell>
          <cell r="K77" t="str">
            <v>AIP009157.01/H010</v>
          </cell>
        </row>
        <row r="78">
          <cell r="A78" t="str">
            <v>16/289</v>
          </cell>
          <cell r="D78" t="str">
            <v>Geraardsbergen Aanpassen VCAW zone 1 (plan 3-G16-11/3) 2 bladen</v>
          </cell>
          <cell r="K78" t="str">
            <v>2244/510020</v>
          </cell>
        </row>
        <row r="79">
          <cell r="A79" t="str">
            <v>16/311</v>
          </cell>
          <cell r="D79" t="str">
            <v>Gent-Sint-Pieters VCAW, verdeelkasten 1.2 en 1.3</v>
          </cell>
          <cell r="K79" t="str">
            <v>BT1368471.01/H010</v>
          </cell>
        </row>
        <row r="80">
          <cell r="A80" t="str">
            <v>16/312</v>
          </cell>
          <cell r="D80" t="str">
            <v>L50 Bijvoegen keet 50_551 in sectie Ottergem-Merelbeke</v>
          </cell>
          <cell r="K80" t="str">
            <v>BT1368471.01/H010</v>
          </cell>
        </row>
        <row r="81">
          <cell r="A81" t="str">
            <v>16/318</v>
          </cell>
          <cell r="D81" t="str">
            <v>Opleiding e-plan</v>
          </cell>
          <cell r="K81" t="str">
            <v>0082800161</v>
          </cell>
        </row>
        <row r="82">
          <cell r="A82" t="str">
            <v>16/326</v>
          </cell>
          <cell r="D82" t="str">
            <v>L122 Plans kp 31445(Geraardsbergen), kp 32251 en kp 35942(Lierde)</v>
          </cell>
          <cell r="K82" t="str">
            <v>IP-001247.01.01.M01</v>
          </cell>
        </row>
        <row r="83">
          <cell r="A83" t="str">
            <v>16/341</v>
          </cell>
          <cell r="D83" t="str">
            <v>L54 Puurs Nieuw project : vernieuwing wissels Puurs (pikettering met CES)</v>
          </cell>
          <cell r="K83" t="str">
            <v>4002621/H010</v>
          </cell>
        </row>
        <row r="84">
          <cell r="A84" t="str">
            <v>16/361</v>
          </cell>
          <cell r="D84" t="str">
            <v>Blankenberge Inrichting,LP,tracee,montage -Omvorming station Blankenberge (incl OW 58)</v>
          </cell>
          <cell r="K84" t="str">
            <v>IP-010530.01.01.M01</v>
          </cell>
        </row>
        <row r="85">
          <cell r="A85" t="str">
            <v>16/362</v>
          </cell>
          <cell r="D85" t="str">
            <v>Zottegem Inrichting,LP,tracee,montage -Omvorming station Zottegem</v>
          </cell>
          <cell r="K85" t="str">
            <v xml:space="preserve">IP-010904.01.01.M01 </v>
          </cell>
        </row>
        <row r="86">
          <cell r="A86" t="str">
            <v>16/366</v>
          </cell>
          <cell r="D86" t="str">
            <v>Beervelde 13-B8-1/1 tem 1/5 , van 13 naar 3</v>
          </cell>
          <cell r="K86" t="str">
            <v>2231.502581</v>
          </cell>
        </row>
        <row r="87">
          <cell r="A87" t="str">
            <v>16/367</v>
          </cell>
          <cell r="D87" t="str">
            <v>Gent-Zeehaven Aanpassen plans LCI, overname van NMBS-stations</v>
          </cell>
          <cell r="K87" t="str">
            <v>2241.531799</v>
          </cell>
        </row>
        <row r="88">
          <cell r="A88" t="str">
            <v>16/371</v>
          </cell>
          <cell r="D88" t="str">
            <v>Optisch kontrolebord 9-0-0/1</v>
          </cell>
          <cell r="K88" t="str">
            <v>AIP009157.01/H010</v>
          </cell>
        </row>
        <row r="89">
          <cell r="A89" t="str">
            <v>16/375</v>
          </cell>
          <cell r="D89" t="str">
            <v>L57 Zele Vernieuwing wissels</v>
          </cell>
          <cell r="K89" t="str">
            <v>IP-010146.01.01.M01</v>
          </cell>
        </row>
        <row r="90">
          <cell r="A90" t="str">
            <v>16/434</v>
          </cell>
          <cell r="D90" t="str">
            <v>L 50 Merelbeke 36kV-Post VVDK 7-FKR-20/05</v>
          </cell>
          <cell r="K90" t="str">
            <v>4001304/0070</v>
          </cell>
        </row>
        <row r="91">
          <cell r="A91" t="str">
            <v>16/479</v>
          </cell>
          <cell r="D91" t="str">
            <v>L54 Vernieuwing OW 9 STRAIL</v>
          </cell>
          <cell r="K91" t="str">
            <v>IP-005060.01.02.M01</v>
          </cell>
        </row>
        <row r="92">
          <cell r="A92" t="str">
            <v>16/480</v>
          </cell>
          <cell r="D92" t="str">
            <v>L54 Vernieuwing OW 32 STRAIL</v>
          </cell>
          <cell r="K92" t="str">
            <v>IP-005060.01.04.M01</v>
          </cell>
        </row>
        <row r="93">
          <cell r="A93" t="str">
            <v>16/481</v>
          </cell>
          <cell r="D93" t="str">
            <v>L54 Vernieuwing OW 39 STRAIL</v>
          </cell>
          <cell r="K93" t="str">
            <v>4002548/H020</v>
          </cell>
        </row>
        <row r="94">
          <cell r="A94" t="str">
            <v>16/497</v>
          </cell>
          <cell r="D94" t="str">
            <v>L59 Integreren plans TUC bij 3-59-3/1</v>
          </cell>
          <cell r="K94" t="str">
            <v>2222/525346</v>
          </cell>
        </row>
        <row r="95">
          <cell r="A95" t="str">
            <v>16/521</v>
          </cell>
          <cell r="D95" t="str">
            <v>Denderleeuw MASTERPLAN-Opmaak INR 1 stap1-2-3-3b</v>
          </cell>
          <cell r="K95" t="str">
            <v>IP-010893.01.01.M01</v>
          </cell>
        </row>
        <row r="96">
          <cell r="A96" t="str">
            <v>16/522</v>
          </cell>
          <cell r="D96" t="str">
            <v>Denderleeuw MASTERPLAN-Opmaak INR 2 stap 4-4b</v>
          </cell>
          <cell r="K96" t="str">
            <v>IP-010893.01.01.M01</v>
          </cell>
        </row>
        <row r="97">
          <cell r="A97" t="str">
            <v>16/523</v>
          </cell>
          <cell r="D97" t="str">
            <v>Denderleeuw MASTERPLAN-Opmaak INR 3 stap 5</v>
          </cell>
          <cell r="K97" t="str">
            <v>IP-010893.01.01.M01</v>
          </cell>
        </row>
        <row r="98">
          <cell r="A98" t="str">
            <v>16/524</v>
          </cell>
          <cell r="D98" t="str">
            <v>Denderleeuw MASTERPLAN-Opmaak INR 4 stap 6-6b</v>
          </cell>
          <cell r="K98" t="str">
            <v>IP-010893.01.01.M01</v>
          </cell>
        </row>
        <row r="99">
          <cell r="A99" t="str">
            <v>16/534</v>
          </cell>
          <cell r="D99" t="str">
            <v>Brugge INR_0503_092.313_002_410_001</v>
          </cell>
          <cell r="K99" t="str">
            <v>IP-005281.01.03;m01</v>
          </cell>
        </row>
        <row r="100">
          <cell r="A100" t="str">
            <v>16/543</v>
          </cell>
          <cell r="D100" t="str">
            <v>L59 Lochristi Aanleg langsweg OW67-68 + verlengen duiker</v>
          </cell>
          <cell r="K100" t="str">
            <v>1208/502581</v>
          </cell>
        </row>
        <row r="101">
          <cell r="A101" t="str">
            <v>16/547</v>
          </cell>
          <cell r="D101" t="str">
            <v>L204 opmaak tracé van het spoor voor verschillende scenario’s(mercatordok)</v>
          </cell>
          <cell r="K101" t="str">
            <v xml:space="preserve">IP-009344.01.01.M01 </v>
          </cell>
        </row>
        <row r="102">
          <cell r="A102" t="str">
            <v>16/564</v>
          </cell>
          <cell r="D102" t="str">
            <v>L51A,L51A/1,L202 Plan 13-0511-35/LZR-000000</v>
          </cell>
          <cell r="K102" t="str">
            <v>2122/525292</v>
          </cell>
        </row>
        <row r="103">
          <cell r="A103" t="str">
            <v>16/586</v>
          </cell>
          <cell r="D103" t="str">
            <v>L50 Project LDBG Y-West-Driehoek-Ledeberg</v>
          </cell>
          <cell r="K103" t="str">
            <v>AIP009157.01/H010</v>
          </cell>
        </row>
        <row r="104">
          <cell r="A104" t="str">
            <v>16/593</v>
          </cell>
          <cell r="D104" t="str">
            <v>Gent-Zeehaven Kabelligging</v>
          </cell>
          <cell r="K104" t="str">
            <v>IP-005190.01.01.M01</v>
          </cell>
        </row>
        <row r="105">
          <cell r="A105" t="str">
            <v>16/602</v>
          </cell>
          <cell r="D105" t="str">
            <v>L52 Puurs-Boom Aanpassen piketteringsplannen</v>
          </cell>
          <cell r="K105" t="str">
            <v>AIP009157.01/H010</v>
          </cell>
        </row>
        <row r="106">
          <cell r="A106" t="str">
            <v>16/603</v>
          </cell>
          <cell r="D106" t="str">
            <v>L52/2 Boom-Willebroek Aanpassen piketteringsplannen</v>
          </cell>
          <cell r="K106" t="str">
            <v>AIP009157.01/H010</v>
          </cell>
        </row>
        <row r="107">
          <cell r="A107" t="str">
            <v>16/609</v>
          </cell>
          <cell r="D107" t="str">
            <v>Dendermonde LCI-overname</v>
          </cell>
          <cell r="K107" t="str">
            <v>2141/531724</v>
          </cell>
        </row>
        <row r="108">
          <cell r="A108" t="str">
            <v>16/610</v>
          </cell>
          <cell r="D108" t="str">
            <v>Denderleeuw LCI-overname</v>
          </cell>
          <cell r="K108" t="str">
            <v>2141/531375</v>
          </cell>
        </row>
        <row r="109">
          <cell r="A109" t="str">
            <v>16/627</v>
          </cell>
          <cell r="D109" t="str">
            <v>L89 Aaigem Afschaffen OW23, nieuwe langsweg</v>
          </cell>
          <cell r="K109" t="str">
            <v>1208/502891</v>
          </cell>
        </row>
        <row r="110">
          <cell r="A110" t="str">
            <v>16/660</v>
          </cell>
          <cell r="D110" t="str">
            <v>Temse L54 Km 24976-Vervangen bestrating op OBG Scheldebrug</v>
          </cell>
          <cell r="K110" t="str">
            <v>1202/502391</v>
          </cell>
        </row>
        <row r="111">
          <cell r="A111" t="str">
            <v>16/687</v>
          </cell>
          <cell r="D111" t="str">
            <v>Zeebrugge Aanpassen plan 13-LZR-33/05-01 (verlichting bundel A)</v>
          </cell>
          <cell r="K111" t="str">
            <v>IP-010497.01.01.M01</v>
          </cell>
        </row>
        <row r="112">
          <cell r="A112" t="str">
            <v>16/700</v>
          </cell>
          <cell r="D112" t="str">
            <v>L50A St-Lievens-Houtem Prekadastratie thv OVB Strijmeers, km 34,300</v>
          </cell>
          <cell r="K112" t="str">
            <v>IP-003494.01.06.M01</v>
          </cell>
        </row>
        <row r="113">
          <cell r="A113" t="str">
            <v>17/03</v>
          </cell>
          <cell r="D113" t="str">
            <v>Brugge Maken nieuwe HS-post B in Blok 7</v>
          </cell>
          <cell r="K113" t="str">
            <v>IP-010463.01.01.M01</v>
          </cell>
        </row>
        <row r="114">
          <cell r="A114" t="str">
            <v>17/04</v>
          </cell>
          <cell r="D114" t="str">
            <v>Brugge Maken EBP/PLP binneninstallaties in Blok 7</v>
          </cell>
          <cell r="K114" t="str">
            <v>IP-010463.01.01.M01</v>
          </cell>
        </row>
        <row r="115">
          <cell r="A115" t="str">
            <v>17/10</v>
          </cell>
          <cell r="D115" t="str">
            <v>L54 Temse Plannen Bouwaanvraag nieuwe toegang tot perrons</v>
          </cell>
          <cell r="K115" t="str">
            <v>IP-007307.01.02.M01</v>
          </cell>
        </row>
        <row r="116">
          <cell r="A116" t="str">
            <v>17/16</v>
          </cell>
          <cell r="D116" t="str">
            <v>L50A Oordegem Renoveren brug + vernieuwen WDR</v>
          </cell>
        </row>
        <row r="117">
          <cell r="A117" t="str">
            <v>17/40</v>
          </cell>
          <cell r="D117" t="str">
            <v>Gent-Zeehaven VCAW van 13 naar 3</v>
          </cell>
          <cell r="K117" t="str">
            <v>IP-005190.01.01.M01</v>
          </cell>
        </row>
        <row r="118">
          <cell r="A118" t="str">
            <v>17/44</v>
          </cell>
          <cell r="D118" t="str">
            <v>L75 LPI op Ringvaartbrug</v>
          </cell>
          <cell r="K118" t="str">
            <v>IP-009458.01.01.M01</v>
          </cell>
        </row>
        <row r="119">
          <cell r="A119" t="str">
            <v>17/48</v>
          </cell>
          <cell r="D119" t="str">
            <v>Liedekerke Aanpassen plan HS-post</v>
          </cell>
          <cell r="K119" t="str">
            <v>IP-003534.04.02.FA1</v>
          </cell>
        </row>
        <row r="120">
          <cell r="A120" t="str">
            <v>17/66</v>
          </cell>
          <cell r="D120" t="str">
            <v>Oostende VCAW rooster Oostende</v>
          </cell>
          <cell r="K120" t="str">
            <v>IP-005190.15.01.M01</v>
          </cell>
        </row>
        <row r="121">
          <cell r="A121" t="str">
            <v>17/70</v>
          </cell>
          <cell r="D121" t="str">
            <v>BAS-3212-001</v>
          </cell>
          <cell r="K121" t="str">
            <v>90000000</v>
          </cell>
        </row>
        <row r="122">
          <cell r="A122" t="str">
            <v>17/75</v>
          </cell>
          <cell r="D122" t="str">
            <v>L50A 1kV-verdeelnet Landegem -Gent-Snepkaai</v>
          </cell>
          <cell r="K122" t="str">
            <v>BT1206464.01/H010</v>
          </cell>
        </row>
        <row r="123">
          <cell r="A123" t="str">
            <v>17/86</v>
          </cell>
          <cell r="D123" t="str">
            <v>Dendermonde Opmaak LGS en UT's</v>
          </cell>
          <cell r="K123" t="str">
            <v>IP-010117.01.01.M01</v>
          </cell>
        </row>
        <row r="124">
          <cell r="A124" t="str">
            <v>17/87</v>
          </cell>
          <cell r="D124" t="str">
            <v>L53 Vernieuwing OW type Gent in type Strail OW34 (moet nog worden opgemeten)</v>
          </cell>
          <cell r="K124" t="str">
            <v>IP-010103.01.01.M01</v>
          </cell>
        </row>
        <row r="125">
          <cell r="A125" t="str">
            <v>17/101</v>
          </cell>
          <cell r="D125" t="str">
            <v>Puurs Overname installaties TUC</v>
          </cell>
          <cell r="K125" t="str">
            <v>IP-003169.01.05.003</v>
          </cell>
        </row>
        <row r="126">
          <cell r="A126" t="str">
            <v>17/103</v>
          </cell>
          <cell r="D126" t="str">
            <v>L54 Willebroek Aanpassen plans 1kV</v>
          </cell>
          <cell r="K126" t="str">
            <v>IP-003169.01.05.003</v>
          </cell>
        </row>
        <row r="127">
          <cell r="A127" t="str">
            <v>17/104</v>
          </cell>
          <cell r="D127" t="str">
            <v>Gent-Sint-Pieters VCAW Zone CD-3</v>
          </cell>
          <cell r="K127" t="str">
            <v>BT1368471.01/H010</v>
          </cell>
        </row>
        <row r="128">
          <cell r="A128" t="str">
            <v>17/116</v>
          </cell>
          <cell r="D128" t="str">
            <v>L86 Maken plan 1kV-kabels</v>
          </cell>
          <cell r="K128" t="str">
            <v>2124/526146</v>
          </cell>
        </row>
        <row r="129">
          <cell r="A129" t="str">
            <v>17/136</v>
          </cell>
          <cell r="D129" t="str">
            <v>L50A Keet 50A-608B</v>
          </cell>
          <cell r="K129" t="str">
            <v>IP-004279.01.02.M01</v>
          </cell>
        </row>
        <row r="130">
          <cell r="A130" t="str">
            <v>17/140</v>
          </cell>
          <cell r="D130" t="str">
            <v>Tielt Sectioneerpost-plans afsluiting, fietspad</v>
          </cell>
          <cell r="K130" t="str">
            <v>IP-004379.01.25.M01</v>
          </cell>
        </row>
        <row r="131">
          <cell r="A131" t="str">
            <v>17/153</v>
          </cell>
          <cell r="D131" t="str">
            <v>Brugge Vernieuwing wissels 15-16-17-18-19-25-27-29-41</v>
          </cell>
          <cell r="K131" t="str">
            <v>IP-005281.01.03.M01</v>
          </cell>
        </row>
        <row r="132">
          <cell r="A132" t="str">
            <v>17/177</v>
          </cell>
          <cell r="D132" t="str">
            <v>Lokeren Aanpassen plans keet I1-I2-J1-K2-K3 (1-FDR-)</v>
          </cell>
          <cell r="K132" t="str">
            <v>IP-007260.01.02.M01</v>
          </cell>
        </row>
        <row r="133">
          <cell r="A133" t="str">
            <v>17/179</v>
          </cell>
          <cell r="D133" t="str">
            <v>Dendermonde Vernieuwing wissels</v>
          </cell>
          <cell r="K133" t="str">
            <v>IP-010856.01.02.M01</v>
          </cell>
        </row>
        <row r="134">
          <cell r="A134" t="str">
            <v>17/189</v>
          </cell>
          <cell r="D134" t="str">
            <v>L59 Sint-Niklaas Vernieuwing borstwering OBG E. Prissestraat</v>
          </cell>
          <cell r="K134" t="str">
            <v>IP-010283.01.01.M01</v>
          </cell>
        </row>
        <row r="135">
          <cell r="A135" t="str">
            <v>17/220</v>
          </cell>
          <cell r="D135" t="str">
            <v>L50A Gent-Sint-Pieters Digitaliseren plannen 7-FGSP-*/* (wordt 8 reeks)</v>
          </cell>
          <cell r="K135" t="str">
            <v>4217/527087</v>
          </cell>
        </row>
        <row r="136">
          <cell r="A136" t="str">
            <v>17/241</v>
          </cell>
          <cell r="D136" t="str">
            <v>Brugge Aanpassingen LCI Brugge</v>
          </cell>
          <cell r="K136" t="str">
            <v>IP-005911.01.02.M01</v>
          </cell>
        </row>
        <row r="137">
          <cell r="A137" t="str">
            <v>17/246</v>
          </cell>
          <cell r="D137" t="str">
            <v>L66 nieuw 1kV-verdeelnet Roeselare-Izegem</v>
          </cell>
          <cell r="K137" t="str">
            <v>IP-010450.01.02.M01</v>
          </cell>
        </row>
        <row r="138">
          <cell r="A138" t="str">
            <v>17/247</v>
          </cell>
          <cell r="D138" t="str">
            <v>L66 nieuw 1kV-verdeelnet Izegem-Kortrijk diehoek</v>
          </cell>
          <cell r="K138" t="str">
            <v>IP-010450.01.02.M01</v>
          </cell>
        </row>
        <row r="139">
          <cell r="A139" t="str">
            <v>17/252</v>
          </cell>
          <cell r="D139" t="str">
            <v>L122 nieuw 1kV-verdeelnet Melle-Zottegem</v>
          </cell>
          <cell r="K139" t="str">
            <v>IP-010624.01.01.M01</v>
          </cell>
        </row>
        <row r="140">
          <cell r="A140" t="str">
            <v>17/253</v>
          </cell>
          <cell r="D140" t="str">
            <v>L122 nieuw 1kV-verdeelnet Zottegem- Geraardsbergen</v>
          </cell>
          <cell r="K140" t="str">
            <v>IP-010624.01.01.M01</v>
          </cell>
        </row>
        <row r="141">
          <cell r="A141" t="str">
            <v>17/258</v>
          </cell>
          <cell r="D141" t="str">
            <v>L50 Aalst-Oost Vernieuwing wissels 20H-21AH-21BH</v>
          </cell>
          <cell r="K141" t="str">
            <v>IP-005290.01.02.M01</v>
          </cell>
        </row>
        <row r="142">
          <cell r="A142" t="str">
            <v>17/259</v>
          </cell>
          <cell r="D142" t="str">
            <v>L53 Vernieuwing OW 34</v>
          </cell>
          <cell r="K142" t="str">
            <v>IP-010867.01.01.M01</v>
          </cell>
        </row>
        <row r="143">
          <cell r="A143" t="str">
            <v>17/260</v>
          </cell>
          <cell r="D143" t="str">
            <v>L52 Vernieuwing OW 30-31-34 idealiseren trace L52 kp28,505 tot kp32,520</v>
          </cell>
          <cell r="K143" t="str">
            <v>IP-010868.01.01.M01</v>
          </cell>
        </row>
        <row r="144">
          <cell r="A144" t="str">
            <v>17/275</v>
          </cell>
          <cell r="D144" t="str">
            <v>L202B Zeebrugge Aanpassen plans VCAW en naar 3</v>
          </cell>
          <cell r="K144" t="str">
            <v>2144/502221</v>
          </cell>
        </row>
        <row r="145">
          <cell r="A145" t="str">
            <v>17/295</v>
          </cell>
          <cell r="D145" t="str">
            <v>Denderleeuw Afsch OW5, L89; verlengen wegenis</v>
          </cell>
          <cell r="K145" t="str">
            <v>1208/502871</v>
          </cell>
        </row>
        <row r="146">
          <cell r="A146" t="str">
            <v>17/298</v>
          </cell>
          <cell r="D146" t="str">
            <v>Zeebrugge NID LEG-plan LGS: LZE bundel NID sp. 4 en 5</v>
          </cell>
          <cell r="K146" t="str">
            <v>IP-010125.01.01.M01</v>
          </cell>
        </row>
        <row r="147">
          <cell r="A147" t="str">
            <v>17/304</v>
          </cell>
          <cell r="D147" t="str">
            <v>L73 Vernieuwing OW 108(type Harmelen)</v>
          </cell>
          <cell r="K147" t="str">
            <v>IP-010154.01.01.M01</v>
          </cell>
        </row>
        <row r="148">
          <cell r="A148" t="str">
            <v>17/305</v>
          </cell>
          <cell r="D148" t="str">
            <v>Roeselare HS-post betonwerf in autocad ipv e-plan</v>
          </cell>
          <cell r="K148" t="str">
            <v>IP-003498.19.01.M01</v>
          </cell>
        </row>
        <row r="149">
          <cell r="A149" t="str">
            <v>17/317</v>
          </cell>
          <cell r="D149" t="str">
            <v>BIP nr 050/103/17-01 vn 28/07/17</v>
          </cell>
        </row>
        <row r="150">
          <cell r="A150" t="str">
            <v>17/331</v>
          </cell>
          <cell r="D150" t="str">
            <v>Roeselare Bijvoegen ALSB bij HS-post station</v>
          </cell>
          <cell r="K150" t="str">
            <v>IP-003498.19.01.M01</v>
          </cell>
        </row>
        <row r="151">
          <cell r="A151" t="str">
            <v>17/345</v>
          </cell>
          <cell r="D151" t="str">
            <v>Studie havensporen L204 -L55 -L216</v>
          </cell>
          <cell r="K151" t="str">
            <v>90000000</v>
          </cell>
        </row>
        <row r="152">
          <cell r="A152" t="str">
            <v>17/370</v>
          </cell>
          <cell r="D152" t="str">
            <v>L54 Maken plans Voetpadkasten OW23 en OW23A</v>
          </cell>
          <cell r="K152" t="str">
            <v>IP-005190.01.02.M01</v>
          </cell>
        </row>
        <row r="153">
          <cell r="A153" t="str">
            <v>17/381</v>
          </cell>
          <cell r="D153" t="str">
            <v>Veurne Aanpassen plan 13-FVU-31/03-01</v>
          </cell>
          <cell r="K153" t="str">
            <v>IP-010342.01.01.M01</v>
          </cell>
        </row>
        <row r="154">
          <cell r="A154" t="str">
            <v>17/383</v>
          </cell>
          <cell r="D154" t="str">
            <v>L66 1kV - sectie Roeselare - Izegem</v>
          </cell>
          <cell r="K154" t="str">
            <v>IP-006713.01.05.M01</v>
          </cell>
        </row>
        <row r="155">
          <cell r="A155" t="str">
            <v>17/406</v>
          </cell>
          <cell r="D155" t="str">
            <v>Invoeren in ACAD: reeks 1-90-100 zonder de LKB gestellen</v>
          </cell>
          <cell r="K155" t="str">
            <v>BT0152335.01/H020</v>
          </cell>
        </row>
        <row r="156">
          <cell r="A156" t="str">
            <v>17/410</v>
          </cell>
          <cell r="D156" t="str">
            <v>Ronse Prekadastratieplan ivm overdracht brug</v>
          </cell>
          <cell r="K156" t="str">
            <v>IP-006617.01.01.M01</v>
          </cell>
        </row>
        <row r="157">
          <cell r="A157" t="str">
            <v>17/412</v>
          </cell>
          <cell r="D157" t="str">
            <v>L122 Lierde Afschaffen OW</v>
          </cell>
        </row>
        <row r="158">
          <cell r="A158" t="str">
            <v>17/418</v>
          </cell>
          <cell r="D158" t="str">
            <v>Nieuwe keten 1kV Oostende tractie - Oostende station</v>
          </cell>
          <cell r="K158" t="str">
            <v>IP-004655.03.01.M01</v>
          </cell>
        </row>
        <row r="159">
          <cell r="A159" t="str">
            <v>17/419</v>
          </cell>
          <cell r="D159" t="str">
            <v>Nieuwe keten 1kV Oostende tractie - Jabbeke</v>
          </cell>
          <cell r="K159" t="str">
            <v>IP-004655.03.01.M01</v>
          </cell>
        </row>
        <row r="160">
          <cell r="A160" t="str">
            <v>17/422</v>
          </cell>
          <cell r="D160" t="str">
            <v>L50 Km 022,805 en 023,477 Vernieuwen WDR</v>
          </cell>
          <cell r="K160" t="str">
            <v>IP-011378.01.04.M01</v>
          </cell>
        </row>
        <row r="161">
          <cell r="A161" t="str">
            <v>17/456</v>
          </cell>
          <cell r="D161" t="str">
            <v>Denderleeuw Overname Oudenaarde in EBP Denderleeuw Plans 54-tot 77</v>
          </cell>
          <cell r="K161" t="str">
            <v>BT1212362.01/H020</v>
          </cell>
        </row>
        <row r="162">
          <cell r="A162" t="str">
            <v>17/462</v>
          </cell>
          <cell r="D162" t="str">
            <v>Denderleeuw Overname Oudenaarde in EBP Denderleeuw Plans 9300</v>
          </cell>
          <cell r="K162" t="str">
            <v>BT1212362.01/H020</v>
          </cell>
        </row>
        <row r="163">
          <cell r="A163" t="str">
            <v>17/465</v>
          </cell>
          <cell r="D163" t="str">
            <v>Zottegem Maken plans VCAW</v>
          </cell>
          <cell r="K163" t="str">
            <v>IP-007844.01.01.M01</v>
          </cell>
        </row>
        <row r="164">
          <cell r="A164" t="str">
            <v>17/467</v>
          </cell>
          <cell r="D164" t="str">
            <v>L73 Diksmuide voorbereidende tekening voor 8-FIK-?/?</v>
          </cell>
          <cell r="K164" t="str">
            <v>4216/527126</v>
          </cell>
        </row>
        <row r="165">
          <cell r="A165" t="str">
            <v>17/473</v>
          </cell>
          <cell r="D165" t="str">
            <v>Oostende Evacuatieplan Oostende gelijkvloers</v>
          </cell>
          <cell r="K165" t="str">
            <v>IP-005911.01.08.M01</v>
          </cell>
        </row>
        <row r="166">
          <cell r="A166" t="str">
            <v>17/479</v>
          </cell>
          <cell r="D166" t="str">
            <v>Gent-Sint-Pieters Maken borden A1 en A2 (bvl) in tramkoker</v>
          </cell>
          <cell r="K166" t="str">
            <v>BT1368470.01/H010</v>
          </cell>
        </row>
        <row r="167">
          <cell r="A167" t="str">
            <v>17/480</v>
          </cell>
          <cell r="D167" t="str">
            <v>Gent-Sint-Pieters Maken bedieningskast brugge blok 6</v>
          </cell>
          <cell r="K167" t="str">
            <v>IP-008467.02.01.M01</v>
          </cell>
        </row>
        <row r="168">
          <cell r="A168" t="str">
            <v>17/488</v>
          </cell>
          <cell r="D168" t="str">
            <v>Gent-Noord Inplantingsplan</v>
          </cell>
          <cell r="K168" t="str">
            <v>4002611/H020</v>
          </cell>
        </row>
        <row r="169">
          <cell r="A169" t="str">
            <v>17/492</v>
          </cell>
          <cell r="D169" t="str">
            <v>Brugge 002/2, 002/3, 002/4</v>
          </cell>
          <cell r="K169" t="str">
            <v>IP-008591.01.02.M01</v>
          </cell>
        </row>
        <row r="170">
          <cell r="A170" t="str">
            <v>17/496</v>
          </cell>
          <cell r="D170" t="str">
            <v>L59 Lokeren Integreren TUC- plans 1kV-verdeelnet Sectie Lokeren- Beervelde</v>
          </cell>
          <cell r="K170" t="str">
            <v>IP-006724.01.01.M01</v>
          </cell>
        </row>
        <row r="171">
          <cell r="A171" t="str">
            <v>17/502</v>
          </cell>
          <cell r="D171" t="str">
            <v>Waregem Maken 1kV-post (T41 tem T44) - eplan</v>
          </cell>
          <cell r="K171" t="str">
            <v>IP-008697.02.01.M01</v>
          </cell>
        </row>
        <row r="172">
          <cell r="A172" t="str">
            <v>17/503</v>
          </cell>
          <cell r="D172" t="str">
            <v>Menen Maken 1kV-post (T41 tem T44) - eplan</v>
          </cell>
          <cell r="K172" t="str">
            <v>IP-006713.01.06.M01</v>
          </cell>
        </row>
        <row r="173">
          <cell r="A173" t="str">
            <v>17/514</v>
          </cell>
          <cell r="D173" t="str">
            <v>L60 Vernieuwen OW21 in Harmelen</v>
          </cell>
          <cell r="K173" t="str">
            <v>IP-010907.01.01.M01</v>
          </cell>
        </row>
        <row r="174">
          <cell r="A174" t="str">
            <v>17/516</v>
          </cell>
          <cell r="D174" t="str">
            <v>Gent-Noord Aanpassen INR-2040-012.000-P01-410</v>
          </cell>
          <cell r="K174" t="str">
            <v>4002611/H020</v>
          </cell>
        </row>
        <row r="175">
          <cell r="A175" t="str">
            <v>17/526</v>
          </cell>
          <cell r="D175" t="str">
            <v>Gent Zeehaven Aanpassen plan Overzicht verdeling energie</v>
          </cell>
          <cell r="K175" t="str">
            <v>IP-003498.02.01.M01</v>
          </cell>
        </row>
        <row r="176">
          <cell r="A176" t="str">
            <v>17/532</v>
          </cell>
          <cell r="D176" t="str">
            <v>Invoeren plans kunstwerken in Draw-In</v>
          </cell>
          <cell r="K176" t="str">
            <v>90000000</v>
          </cell>
        </row>
        <row r="177">
          <cell r="A177" t="str">
            <v>17/534</v>
          </cell>
          <cell r="D177" t="str">
            <v>Poperinge Kastje VCAW-sturing 110V</v>
          </cell>
          <cell r="K177" t="str">
            <v>IP-008697.02.01.M01</v>
          </cell>
        </row>
        <row r="178">
          <cell r="A178" t="str">
            <v>17/548</v>
          </cell>
          <cell r="D178" t="str">
            <v>L50A Nieuw 1kV-verdeelnet + keten sectie Oostende tractie-Jabbeke</v>
          </cell>
          <cell r="K178" t="str">
            <v>IP-004655.03.01.M01</v>
          </cell>
        </row>
        <row r="179">
          <cell r="A179" t="str">
            <v>17/549</v>
          </cell>
          <cell r="D179" t="str">
            <v>Zottegem Nieuw s/ost van e-plan naar acad</v>
          </cell>
          <cell r="K179" t="str">
            <v>IP-010624.01.01.M01</v>
          </cell>
        </row>
        <row r="180">
          <cell r="A180" t="str">
            <v>17/572</v>
          </cell>
          <cell r="D180" t="str">
            <v>L122 Melle Afschaffen ow 107, km 56</v>
          </cell>
          <cell r="K180" t="str">
            <v>1108/503491</v>
          </cell>
        </row>
        <row r="181">
          <cell r="A181" t="str">
            <v>17/581</v>
          </cell>
          <cell r="D181" t="str">
            <v>Merelbeke OBG Hundelgemse stw -Maken van dienstpadconsoles</v>
          </cell>
          <cell r="K181" t="str">
            <v>IP-006647.01.01.M01</v>
          </cell>
        </row>
        <row r="182">
          <cell r="A182" t="str">
            <v>17/584</v>
          </cell>
          <cell r="D182" t="str">
            <v>L51 KP 98.000-107.000 Geidealiseerd LP sporen + OW vernieuwen</v>
          </cell>
          <cell r="K182" t="str">
            <v>IP-009210.01.01.M01</v>
          </cell>
        </row>
        <row r="183">
          <cell r="A183" t="str">
            <v>17/588</v>
          </cell>
          <cell r="D183" t="str">
            <v>L69 kastje in OW 114</v>
          </cell>
          <cell r="K183" t="str">
            <v>IP-010200.01.01.M01</v>
          </cell>
        </row>
        <row r="184">
          <cell r="A184" t="str">
            <v>17/620</v>
          </cell>
          <cell r="D184" t="str">
            <v>Gent-Sint-Pieters Aanpassen plans keet W2</v>
          </cell>
          <cell r="K184" t="str">
            <v>BT1368460.01.L002</v>
          </cell>
        </row>
        <row r="185">
          <cell r="A185" t="str">
            <v>17/624</v>
          </cell>
          <cell r="D185" t="str">
            <v>Bezettingsplannen zone NW</v>
          </cell>
          <cell r="K185" t="str">
            <v>6401/11338</v>
          </cell>
        </row>
        <row r="186">
          <cell r="A186" t="str">
            <v>18/17</v>
          </cell>
          <cell r="D186" t="str">
            <v>L75 Deinze Vernieuwen wissels 28AF-28BF+22AF-22BF+21AF-21BF+17F</v>
          </cell>
          <cell r="K186" t="str">
            <v>IP-003627.01.01.M01</v>
          </cell>
        </row>
        <row r="187">
          <cell r="A187" t="str">
            <v>18/18</v>
          </cell>
          <cell r="D187" t="str">
            <v>L75 Kortrijk (kant Gent) Vernieuwen wissels 11AC-11BC+15AC/16C+15BC+12C+20BC</v>
          </cell>
          <cell r="K187" t="str">
            <v>IP-004906.01.01.M01</v>
          </cell>
        </row>
        <row r="188">
          <cell r="A188" t="str">
            <v>18/21</v>
          </cell>
          <cell r="D188" t="str">
            <v>L58 Gent (Wondelgem) Afsluiten OW17b voor gemotoriseerd verkeer</v>
          </cell>
          <cell r="K188" t="str">
            <v>502491/1208</v>
          </cell>
        </row>
        <row r="189">
          <cell r="A189" t="str">
            <v>18/24</v>
          </cell>
          <cell r="D189" t="str">
            <v>Gebouwen divers- kleine aanpassingen</v>
          </cell>
          <cell r="K189" t="str">
            <v>6401/11338</v>
          </cell>
        </row>
        <row r="190">
          <cell r="A190" t="str">
            <v>18/28</v>
          </cell>
          <cell r="D190" t="str">
            <v>Drongen Nieuwe HS-post Car Wash</v>
          </cell>
          <cell r="K190" t="str">
            <v>in aanvraag Jil</v>
          </cell>
        </row>
        <row r="191">
          <cell r="A191" t="str">
            <v>18/38</v>
          </cell>
          <cell r="D191" t="str">
            <v>L66 1kV-keten Lichtervelde-Roeselare</v>
          </cell>
          <cell r="K191" t="str">
            <v>IP-010450.01.02.M01</v>
          </cell>
        </row>
        <row r="192">
          <cell r="A192" t="str">
            <v>18/68</v>
          </cell>
          <cell r="D192" t="str">
            <v>Y-Oost Ledeberg Inrichtingsplan Y-Oost Ledeberg, station Merelbeke</v>
          </cell>
          <cell r="K192" t="str">
            <v>IP-010896.01.01.M01</v>
          </cell>
        </row>
        <row r="193">
          <cell r="A193" t="str">
            <v>18/52</v>
          </cell>
          <cell r="D193" t="str">
            <v>L50A Maken 1kV-verdeelnet Gent-Landegem</v>
          </cell>
          <cell r="K193" t="str">
            <v>BT1206464.01/H010</v>
          </cell>
        </row>
        <row r="194">
          <cell r="A194" t="str">
            <v>18/53</v>
          </cell>
          <cell r="D194" t="str">
            <v>L50A Maken keten 1kV Gent-Landegem</v>
          </cell>
          <cell r="K194" t="str">
            <v>BT1206464.01/H010</v>
          </cell>
        </row>
        <row r="195">
          <cell r="A195" t="str">
            <v>18/65</v>
          </cell>
          <cell r="D195" t="str">
            <v>Onkruidverdelging arr Brugge</v>
          </cell>
          <cell r="K195" t="str">
            <v>9000010000</v>
          </cell>
        </row>
        <row r="196">
          <cell r="A196" t="str">
            <v>18/67</v>
          </cell>
          <cell r="D196" t="str">
            <v>Torhout LPI en tracee perrronsporen A en B</v>
          </cell>
          <cell r="K196" t="str">
            <v>BT0783405.01/H010</v>
          </cell>
        </row>
        <row r="197">
          <cell r="A197" t="str">
            <v>18/69</v>
          </cell>
          <cell r="D197" t="str">
            <v>Eeklo Inplanting verschuiving perronsporen te Eeklo</v>
          </cell>
          <cell r="K197" t="str">
            <v>IP-012133.01.01.M01</v>
          </cell>
        </row>
        <row r="198">
          <cell r="A198" t="str">
            <v>18/72</v>
          </cell>
          <cell r="D198" t="str">
            <v>Gent-Sint-Pieters Aanpassen 3-G10-49/11 , 12 , 13 en 14 + hernummeren</v>
          </cell>
          <cell r="K198" t="str">
            <v>2123/526143</v>
          </cell>
        </row>
        <row r="199">
          <cell r="A199" t="str">
            <v>18/96</v>
          </cell>
          <cell r="D199" t="str">
            <v>Nieuwe plannen 7-FDU-11/16(reeds verdeeld), 7-FLC-11/19, 7-FI-11/12, 7-FSD-11/17 en 7-FWB-11/13 (Afscherming in Polycarbonaatplaten)</v>
          </cell>
          <cell r="K199" t="str">
            <v>IP-010447.01.01.M01</v>
          </cell>
        </row>
        <row r="200">
          <cell r="A200" t="str">
            <v>18/102</v>
          </cell>
          <cell r="D200" t="str">
            <v>L66 1kV-keten sectie Roeselare - Izegem</v>
          </cell>
          <cell r="K200" t="str">
            <v>IP-010450.01.02.M01</v>
          </cell>
        </row>
        <row r="201">
          <cell r="A201" t="str">
            <v>18/103</v>
          </cell>
          <cell r="D201" t="str">
            <v>Basisschetsen 3211-002</v>
          </cell>
          <cell r="K201" t="str">
            <v>67003846</v>
          </cell>
        </row>
        <row r="202">
          <cell r="A202" t="str">
            <v>18/105</v>
          </cell>
          <cell r="D202" t="str">
            <v>L204 Opbraak OW1-OW1bis,vernieuwen sp.ts kp0.640-1.132</v>
          </cell>
          <cell r="K202" t="str">
            <v>5231 504301</v>
          </cell>
        </row>
        <row r="203">
          <cell r="A203" t="str">
            <v>18/106</v>
          </cell>
          <cell r="D203" t="str">
            <v>L58 Waarschoot Vernieuwing OW83 Strail</v>
          </cell>
          <cell r="K203" t="str">
            <v>IP-010847.01.03.M01</v>
          </cell>
        </row>
        <row r="204">
          <cell r="A204" t="str">
            <v>18/107</v>
          </cell>
          <cell r="D204" t="str">
            <v>L58 Waarschoot Vernieuwing OW72 Strail</v>
          </cell>
          <cell r="K204" t="str">
            <v>IP-010847.01.01.M01</v>
          </cell>
        </row>
        <row r="205">
          <cell r="A205" t="str">
            <v>18/108</v>
          </cell>
          <cell r="D205" t="str">
            <v>L58 Eeklo Vernieuwing OW95</v>
          </cell>
          <cell r="K205" t="str">
            <v>IP-010847.01.04.M01</v>
          </cell>
        </row>
        <row r="206">
          <cell r="A206" t="str">
            <v>18/109</v>
          </cell>
          <cell r="D206" t="str">
            <v>L58 Eeklo Vervanging Engelse Wissel AW020/1B, plaatsen ontspoortong</v>
          </cell>
          <cell r="K206" t="str">
            <v>IP-012133.01.01.M01</v>
          </cell>
        </row>
        <row r="207">
          <cell r="A207" t="str">
            <v>18/121</v>
          </cell>
          <cell r="D207" t="str">
            <v>L54 Willebroek Langsweg voor OW 7</v>
          </cell>
        </row>
        <row r="208">
          <cell r="A208" t="str">
            <v>18/129</v>
          </cell>
          <cell r="D208" t="str">
            <v>Destelbergen Afschaffen OW72 en 73 mits aanleg langsweg en fietspad</v>
          </cell>
          <cell r="K208" t="str">
            <v>IP-012197.01.01.M01</v>
          </cell>
        </row>
        <row r="209">
          <cell r="A209" t="str">
            <v>18/143</v>
          </cell>
          <cell r="D209" t="str">
            <v>Indienststelling TBL1+ L66</v>
          </cell>
          <cell r="K209" t="str">
            <v>IP-009692.01.05.M01</v>
          </cell>
        </row>
        <row r="210">
          <cell r="A210" t="str">
            <v>18/155</v>
          </cell>
          <cell r="D210" t="str">
            <v>Gent-Zeehaven Maken 1kV-post voor Rooster</v>
          </cell>
          <cell r="K210" t="str">
            <v>IP-003498.02.01.M01</v>
          </cell>
        </row>
        <row r="211">
          <cell r="A211" t="str">
            <v>18/157</v>
          </cell>
          <cell r="D211" t="str">
            <v>Aanvragen afbakening per email -opzoeking</v>
          </cell>
          <cell r="K211" t="str">
            <v>6402/11300</v>
          </cell>
        </row>
        <row r="212">
          <cell r="A212" t="str">
            <v>18/158</v>
          </cell>
          <cell r="D212" t="str">
            <v>Prekadastraties</v>
          </cell>
          <cell r="K212" t="str">
            <v>6402/11300</v>
          </cell>
        </row>
        <row r="213">
          <cell r="A213" t="str">
            <v>18/159</v>
          </cell>
          <cell r="D213" t="str">
            <v>Onteigening -opzoeking</v>
          </cell>
          <cell r="K213" t="str">
            <v>6402/11300</v>
          </cell>
        </row>
        <row r="214">
          <cell r="A214" t="str">
            <v>18/161</v>
          </cell>
          <cell r="D214" t="str">
            <v>Varia kleine bijwerkingen plans ost</v>
          </cell>
        </row>
        <row r="215">
          <cell r="A215" t="str">
            <v>18/162</v>
          </cell>
          <cell r="D215" t="str">
            <v>Varia aanpassingen sectonering</v>
          </cell>
        </row>
        <row r="216">
          <cell r="A216" t="str">
            <v>18/163</v>
          </cell>
          <cell r="D216" t="str">
            <v>Varia kleine aanpassingen werken VVDK</v>
          </cell>
        </row>
        <row r="217">
          <cell r="A217" t="str">
            <v>18/172</v>
          </cell>
          <cell r="D217" t="str">
            <v>L89 Zwalm Vernieuwen OW52 in Strail</v>
          </cell>
          <cell r="K217" t="str">
            <v>IP-010096.01.01.M01</v>
          </cell>
        </row>
        <row r="218">
          <cell r="A218" t="str">
            <v>18/173</v>
          </cell>
          <cell r="D218" t="str">
            <v>L89 Zwalm Vernieuwen OW54 in Strail</v>
          </cell>
          <cell r="K218" t="str">
            <v>IP-010161.01.01.M01</v>
          </cell>
        </row>
        <row r="219">
          <cell r="A219" t="str">
            <v>18/174</v>
          </cell>
          <cell r="D219" t="str">
            <v>L89 Zwalm Vernieuwen OW55 in Strail</v>
          </cell>
          <cell r="K219" t="str">
            <v>IP-010161.01.03.M01</v>
          </cell>
        </row>
        <row r="220">
          <cell r="A220" t="str">
            <v>18/177</v>
          </cell>
          <cell r="D220" t="str">
            <v>L54 Temse Inplanten 2 nieuwe wissels (020 en 050)</v>
          </cell>
          <cell r="K220" t="str">
            <v>IP-010902.01.01.M01</v>
          </cell>
        </row>
        <row r="221">
          <cell r="A221" t="str">
            <v>18/209</v>
          </cell>
          <cell r="D221" t="str">
            <v>Lokeren-Oost HS-post van 13 naar 3 + hernummeren</v>
          </cell>
          <cell r="K221" t="str">
            <v>2211/52422</v>
          </cell>
        </row>
        <row r="222">
          <cell r="A222" t="str">
            <v>18/210</v>
          </cell>
          <cell r="D222" t="str">
            <v>Lokeren-Oost VCAW , zones K2 en K3 van 13 naar 3 + hernummeren</v>
          </cell>
          <cell r="K222" t="str">
            <v>2211/52422</v>
          </cell>
        </row>
        <row r="223">
          <cell r="A223" t="str">
            <v>18/225</v>
          </cell>
          <cell r="D223" t="str">
            <v>L123 Aanpassen serie plans 3-1230-35/FGRA03-…….</v>
          </cell>
          <cell r="K223" t="str">
            <v>IP-011418.01.01.M01</v>
          </cell>
        </row>
        <row r="224">
          <cell r="A224" t="str">
            <v>18/231</v>
          </cell>
          <cell r="D224" t="str">
            <v>L50 LGS spA&amp;B tussen Y-Ledeberg en FGSP</v>
          </cell>
          <cell r="K224" t="str">
            <v>IP-011397.01.01.M01</v>
          </cell>
        </row>
        <row r="225">
          <cell r="A225" t="str">
            <v>18/233</v>
          </cell>
          <cell r="D225" t="str">
            <v>Gent-Zeehaven Aanpassen BAS-3211-001 FGZH</v>
          </cell>
          <cell r="K225" t="str">
            <v>5224 510189</v>
          </cell>
        </row>
        <row r="226">
          <cell r="A226" t="str">
            <v>18/236</v>
          </cell>
          <cell r="D226" t="str">
            <v>Aalter Maken nieuwe 1kV-post</v>
          </cell>
          <cell r="K226" t="str">
            <v>IP-011126.01.01.M01</v>
          </cell>
        </row>
        <row r="227">
          <cell r="A227" t="str">
            <v>18/240</v>
          </cell>
          <cell r="D227" t="str">
            <v>L51B Zeebrugge(Ypelikaan) Onderzoek spooraansl. WWL. Zeebrugge</v>
          </cell>
        </row>
        <row r="228">
          <cell r="A228" t="str">
            <v>18/254</v>
          </cell>
          <cell r="D228" t="str">
            <v>Komen LS-bord</v>
          </cell>
          <cell r="K228" t="str">
            <v>IP-010200.01.01.M01</v>
          </cell>
        </row>
        <row r="229">
          <cell r="A229" t="str">
            <v>18/267</v>
          </cell>
          <cell r="D229" t="str">
            <v>Denderleeuw Studie LP thv voetgangerstunnel + Vernieuwing wissels kant Gent</v>
          </cell>
          <cell r="K229" t="str">
            <v>IP-010893.01.01.M01</v>
          </cell>
        </row>
        <row r="230">
          <cell r="A230" t="str">
            <v>18/273</v>
          </cell>
          <cell r="D230" t="str">
            <v>L50A Oudenburg-Jabbeke Vernieuwen sp A&amp;B kp107.5-109.9 en saneren kp 102.3-103.3</v>
          </cell>
          <cell r="K230" t="str">
            <v>IP-010784.01.01.M01</v>
          </cell>
        </row>
        <row r="231">
          <cell r="A231" t="str">
            <v>18/290</v>
          </cell>
          <cell r="D231" t="str">
            <v>Kortrijk VCAW van 13 naar 3 + hernummeren (Kortrijk Seinhuis 3)</v>
          </cell>
          <cell r="K231" t="str">
            <v>2244/510029</v>
          </cell>
        </row>
        <row r="232">
          <cell r="A232" t="str">
            <v>18/291</v>
          </cell>
          <cell r="D232" t="str">
            <v>Kortrijk VCAW van 13 naar 3 + hernummeren (Kortrijk driehoek)</v>
          </cell>
          <cell r="K232" t="str">
            <v>2244/510029</v>
          </cell>
        </row>
        <row r="233">
          <cell r="A233" t="str">
            <v>18/292</v>
          </cell>
          <cell r="D233" t="str">
            <v>Kortrijk VCAW van 13 naar 3 + hernummeren (Kortrijk tractie)</v>
          </cell>
          <cell r="K233" t="str">
            <v>2244/510029</v>
          </cell>
        </row>
        <row r="234">
          <cell r="A234" t="str">
            <v>18/293</v>
          </cell>
          <cell r="D234" t="str">
            <v/>
          </cell>
        </row>
        <row r="235">
          <cell r="A235" t="str">
            <v>18/294</v>
          </cell>
          <cell r="D235" t="str">
            <v>Opleiding Civil3D 5-6-12-13juni</v>
          </cell>
          <cell r="K235" t="str">
            <v>800660/11300</v>
          </cell>
        </row>
        <row r="236">
          <cell r="A236" t="str">
            <v>18/299</v>
          </cell>
          <cell r="D236" t="str">
            <v>Brugge Bord electrische laadpalen - schema en situatie</v>
          </cell>
          <cell r="K236" t="str">
            <v>2141/531567</v>
          </cell>
        </row>
        <row r="237">
          <cell r="A237" t="str">
            <v>18/307</v>
          </cell>
          <cell r="D237" t="str">
            <v>Zottegem VCAW-kasten vernieuwen station Zottegem</v>
          </cell>
          <cell r="K237" t="str">
            <v>IP-007844.01.01.M01</v>
          </cell>
        </row>
        <row r="238">
          <cell r="A238" t="str">
            <v>18/316</v>
          </cell>
          <cell r="D238" t="str">
            <v>L51 Blankenberge Verpl. Wisselverb. 13BW-13AW en 11AW Ontd E W 15AW/11BW</v>
          </cell>
          <cell r="K238" t="str">
            <v>IP-010530.01.01.M01</v>
          </cell>
        </row>
        <row r="239">
          <cell r="A239" t="str">
            <v>18/318</v>
          </cell>
          <cell r="D239" t="str">
            <v>L59 Verdeelnet L59 sectie Y st Bernadettestraat-Beervelde</v>
          </cell>
          <cell r="K239" t="str">
            <v>IP-011150,01,01,M01</v>
          </cell>
        </row>
        <row r="240">
          <cell r="A240" t="str">
            <v>18/319</v>
          </cell>
          <cell r="D240" t="str">
            <v>L59 Verdeelnet L59 sectie Beervelde-Lokeren</v>
          </cell>
          <cell r="K240" t="str">
            <v>IP-011151,01,01,M01</v>
          </cell>
        </row>
        <row r="241">
          <cell r="A241" t="str">
            <v>18/320</v>
          </cell>
          <cell r="D241" t="str">
            <v>L59 Verdeelnet L59 sectie Lokeren-St Niklaas</v>
          </cell>
          <cell r="K241" t="str">
            <v>IP-011152,01,01,M01</v>
          </cell>
        </row>
        <row r="242">
          <cell r="A242" t="str">
            <v>18/321</v>
          </cell>
          <cell r="D242" t="str">
            <v>L59 Verdeelnet L59 sectie St Niklaas-Beveren</v>
          </cell>
          <cell r="K242" t="str">
            <v>IP-011153,01,01,M01</v>
          </cell>
        </row>
        <row r="243">
          <cell r="A243" t="str">
            <v>18/329</v>
          </cell>
          <cell r="D243" t="str">
            <v>L50D 11-L50A&amp;D-3&amp;4SP- 002/1F1</v>
          </cell>
          <cell r="K243" t="str">
            <v>BT1368460.01/H020</v>
          </cell>
        </row>
        <row r="244">
          <cell r="A244" t="str">
            <v>18/341</v>
          </cell>
          <cell r="D244" t="str">
            <v>L50a Gent Prekadastratie + ruiling grond Snepkaai</v>
          </cell>
          <cell r="K244" t="str">
            <v>1110/502051</v>
          </cell>
        </row>
        <row r="245">
          <cell r="A245" t="str">
            <v>18/348</v>
          </cell>
          <cell r="D245" t="str">
            <v>Brugge Plan 11-FR-202B/1_OW6.24/291</v>
          </cell>
          <cell r="K245" t="str">
            <v>IP-006740.01.02.M01</v>
          </cell>
        </row>
        <row r="246">
          <cell r="A246" t="str">
            <v>18/354</v>
          </cell>
          <cell r="D246" t="str">
            <v>Wondelgem Basisschets BAS-3212-002 Wonelgem (2)</v>
          </cell>
          <cell r="K246" t="str">
            <v>67003542</v>
          </cell>
        </row>
        <row r="247">
          <cell r="A247" t="str">
            <v>18/355</v>
          </cell>
          <cell r="D247" t="str">
            <v>L50A Y-Welle - Y-Meulewijk LP aanpassen sp A&amp;B</v>
          </cell>
          <cell r="K247" t="str">
            <v>IP-009657.01.02.M01</v>
          </cell>
        </row>
        <row r="248">
          <cell r="A248" t="str">
            <v>18/358</v>
          </cell>
          <cell r="D248" t="str">
            <v>L60 Dendermonde Preparatie keten L60 voor publicatie</v>
          </cell>
          <cell r="K248" t="str">
            <v>BT0152306.04/H020 slecht</v>
          </cell>
        </row>
        <row r="249">
          <cell r="A249" t="str">
            <v>18/306</v>
          </cell>
          <cell r="D249" t="str">
            <v>Kortrijk As built schema Kortrijk tractie</v>
          </cell>
          <cell r="K249" t="str">
            <v>IP-011418.01.05.M01</v>
          </cell>
        </row>
        <row r="250">
          <cell r="A250" t="str">
            <v>18/361</v>
          </cell>
          <cell r="D250" t="str">
            <v>Oosterzele Aanleg nieuwe langsweg</v>
          </cell>
          <cell r="K250" t="str">
            <v>IP-012197.01.04.M01</v>
          </cell>
        </row>
        <row r="251">
          <cell r="A251" t="str">
            <v>18/364</v>
          </cell>
          <cell r="D251" t="str">
            <v>L51B Idealiseren tracé van station Duinbergen tot einde sporen</v>
          </cell>
          <cell r="K251" t="str">
            <v>IP 010892 01 01 M01</v>
          </cell>
        </row>
        <row r="252">
          <cell r="A252" t="str">
            <v>18/365</v>
          </cell>
          <cell r="D252" t="str">
            <v>L54 Vernieuwing OW7</v>
          </cell>
          <cell r="K252" t="str">
            <v>IP-010112.01.01.M01</v>
          </cell>
        </row>
        <row r="253">
          <cell r="A253" t="str">
            <v>18/375</v>
          </cell>
          <cell r="D253" t="str">
            <v>L59 Lokeren Sint Niklaas 3de spoor ts. Lokeren en Sint Niklaas</v>
          </cell>
          <cell r="K253" t="str">
            <v>BT0226881.01/H010</v>
          </cell>
        </row>
        <row r="254">
          <cell r="A254" t="str">
            <v>18/379</v>
          </cell>
          <cell r="D254" t="str">
            <v>Zottegem Aanpassen edx in plan 3-FZT-33/03-01 tot 09</v>
          </cell>
          <cell r="K254" t="str">
            <v>2241/532106</v>
          </cell>
        </row>
        <row r="255">
          <cell r="A255" t="str">
            <v>18/384</v>
          </cell>
          <cell r="D255" t="str">
            <v>L50 Aalst-Schellebelle Overname plans Tuc (Autocad mailbox Nico - E-plan Moens)</v>
          </cell>
          <cell r="K255" t="str">
            <v>BT0152315,04,H021</v>
          </cell>
        </row>
        <row r="256">
          <cell r="A256" t="str">
            <v>18/386</v>
          </cell>
          <cell r="D256" t="str">
            <v>L59 Waarschoot Langswegenis OW90-km 024,988</v>
          </cell>
          <cell r="K256" t="str">
            <v>IP-012197.01.05.M01</v>
          </cell>
        </row>
        <row r="257">
          <cell r="A257" t="str">
            <v>18/400</v>
          </cell>
          <cell r="D257" t="str">
            <v>L53 Dendermonde Vernieuwen OW61 in Strail</v>
          </cell>
          <cell r="K257" t="str">
            <v>IP-012023.01.01.M01</v>
          </cell>
        </row>
        <row r="258">
          <cell r="A258" t="str">
            <v>18/401</v>
          </cell>
          <cell r="D258" t="str">
            <v>L53 Wichelen Vernieuwen OW73 in Strail</v>
          </cell>
          <cell r="K258" t="str">
            <v>IP-010929.01.01.M01</v>
          </cell>
        </row>
        <row r="259">
          <cell r="A259" t="str">
            <v>18/404</v>
          </cell>
          <cell r="D259" t="str">
            <v>Opleiding Integratie Bruno en Erlend</v>
          </cell>
          <cell r="K259" t="str">
            <v>800660 595</v>
          </cell>
        </row>
        <row r="260">
          <cell r="A260" t="str">
            <v>18/405</v>
          </cell>
          <cell r="D260" t="str">
            <v>L50 LGS sp B ts KP8 - Assene-Lombeek en KP21 tot KP28</v>
          </cell>
          <cell r="K260" t="str">
            <v>IP-010849.01.02.M01</v>
          </cell>
        </row>
        <row r="261">
          <cell r="A261" t="str">
            <v>18/410</v>
          </cell>
          <cell r="D261" t="str">
            <v>L69 Ieper 3-FI-34/03-01</v>
          </cell>
          <cell r="K261" t="str">
            <v>2222,525091</v>
          </cell>
        </row>
        <row r="262">
          <cell r="A262" t="str">
            <v>18/412</v>
          </cell>
          <cell r="D262" t="str">
            <v>L50 13-0500-35/FCB-FML-000000 opmaken nieuw verdeelnet</v>
          </cell>
          <cell r="K262" t="str">
            <v>IP-011147.01.01.M01</v>
          </cell>
        </row>
        <row r="263">
          <cell r="A263" t="str">
            <v>18/413</v>
          </cell>
          <cell r="D263" t="str">
            <v/>
          </cell>
          <cell r="K263" t="str">
            <v>595</v>
          </cell>
        </row>
        <row r="264">
          <cell r="A264" t="str">
            <v>18/420</v>
          </cell>
          <cell r="D264" t="str">
            <v>L66 Aanpassen piketteringsplannen 6-66-1/35, 36 en 37</v>
          </cell>
          <cell r="K264" t="str">
            <v>AIP009157.01/H010</v>
          </cell>
        </row>
        <row r="265">
          <cell r="A265" t="str">
            <v>18/425</v>
          </cell>
          <cell r="D265" t="str">
            <v>L59 Destelbergen afsch OW71, tunnel + fietsersbrug</v>
          </cell>
          <cell r="K265" t="str">
            <v>IP-011139.01.02.M01</v>
          </cell>
        </row>
        <row r="266">
          <cell r="A266" t="str">
            <v>18/426</v>
          </cell>
          <cell r="D266" t="str">
            <v>L69 Ieper afsch OW79, langsweg</v>
          </cell>
          <cell r="K266" t="str">
            <v>IP-012197.01.06.M01</v>
          </cell>
        </row>
        <row r="267">
          <cell r="A267" t="str">
            <v>18/427</v>
          </cell>
          <cell r="D267" t="str">
            <v>L122 Lierde afsch OW57,59,60, langsweg</v>
          </cell>
          <cell r="K267" t="str">
            <v>IP-013159.01.01.M01</v>
          </cell>
        </row>
        <row r="268">
          <cell r="A268" t="str">
            <v>18/428</v>
          </cell>
          <cell r="D268" t="str">
            <v>L50A Lede omgevingsvergunning Lede Hoging</v>
          </cell>
          <cell r="K268" t="str">
            <v>IP-001268.01.01.M01</v>
          </cell>
        </row>
        <row r="269">
          <cell r="A269" t="str">
            <v>18/431</v>
          </cell>
          <cell r="D269" t="str">
            <v>BAS 3412-001</v>
          </cell>
          <cell r="K269" t="str">
            <v>5213/510027</v>
          </cell>
        </row>
        <row r="270">
          <cell r="A270" t="str">
            <v>18/432</v>
          </cell>
          <cell r="D270" t="str">
            <v>BAS 3421-001</v>
          </cell>
          <cell r="K270" t="str">
            <v>5213/510218</v>
          </cell>
        </row>
        <row r="271">
          <cell r="A271" t="str">
            <v>18/433</v>
          </cell>
          <cell r="D271" t="str">
            <v>BAS 3422-001</v>
          </cell>
          <cell r="K271" t="str">
            <v>5213/502241</v>
          </cell>
        </row>
        <row r="272">
          <cell r="A272" t="str">
            <v>18/434</v>
          </cell>
          <cell r="D272" t="str">
            <v>BAS 3412-001</v>
          </cell>
          <cell r="K272" t="str">
            <v>5225/510544</v>
          </cell>
        </row>
        <row r="273">
          <cell r="A273" t="str">
            <v>18/435</v>
          </cell>
          <cell r="D273" t="str">
            <v>BAS 3421-001</v>
          </cell>
          <cell r="K273" t="str">
            <v>5225/510814</v>
          </cell>
        </row>
        <row r="274">
          <cell r="A274" t="str">
            <v>18/436</v>
          </cell>
          <cell r="D274" t="str">
            <v>BAS 3422-001</v>
          </cell>
          <cell r="K274" t="str">
            <v>5225/510692</v>
          </cell>
        </row>
        <row r="275">
          <cell r="A275" t="str">
            <v>18/441</v>
          </cell>
          <cell r="D275" t="str">
            <v>L204 Upgrate L204 Gent-Zelzate (io TUC)</v>
          </cell>
          <cell r="K275" t="str">
            <v>BT0226881.01/H010</v>
          </cell>
        </row>
        <row r="276">
          <cell r="A276" t="str">
            <v>18/443</v>
          </cell>
          <cell r="D276" t="str">
            <v>L50A Gent-Sint-Pieters 3-G10-24/3 &amp; 4 Aanpassen aan werkelijke toestand</v>
          </cell>
          <cell r="K276" t="str">
            <v>BT1368471,01/10</v>
          </cell>
        </row>
        <row r="277">
          <cell r="A277" t="str">
            <v>18/449</v>
          </cell>
          <cell r="D277" t="str">
            <v>L51 Lissewege Bordje A1 Lissewege</v>
          </cell>
          <cell r="K277" t="str">
            <v>IP-011418.01.04.M01</v>
          </cell>
        </row>
        <row r="278">
          <cell r="A278" t="str">
            <v>18/451</v>
          </cell>
          <cell r="D278" t="str">
            <v>Gent-Sint-Pieters Masterplan faseringen tot 2025</v>
          </cell>
          <cell r="K278" t="str">
            <v>BT1368450.01/H010</v>
          </cell>
        </row>
        <row r="279">
          <cell r="A279" t="str">
            <v>18/456</v>
          </cell>
          <cell r="D279" t="str">
            <v>Zeebrugge Seinhuis, aanpassen bestaande riolering</v>
          </cell>
        </row>
        <row r="280">
          <cell r="A280" t="str">
            <v>18/489(2)</v>
          </cell>
          <cell r="D280" t="str">
            <v>Denderleeuw Aanpassing plan 002/3 en 00/4</v>
          </cell>
          <cell r="K280" t="str">
            <v>BT1212362.01.01.M01</v>
          </cell>
        </row>
        <row r="281">
          <cell r="A281" t="str">
            <v>18/569</v>
          </cell>
          <cell r="D281" t="str">
            <v>L60 Vernieuwen OW29</v>
          </cell>
          <cell r="K281" t="str">
            <v>IP-010114.01.01.M01</v>
          </cell>
        </row>
        <row r="282">
          <cell r="A282" t="str">
            <v>18/506</v>
          </cell>
          <cell r="D282" t="str">
            <v>L51A Zeebrugge-Vorming Bijwerken 13-Z5-63/1</v>
          </cell>
          <cell r="K282" t="str">
            <v>2233/525292</v>
          </cell>
        </row>
        <row r="283">
          <cell r="A283" t="str">
            <v>18/507</v>
          </cell>
          <cell r="D283" t="str">
            <v>L51A Bundel Zwakendamme Nieuw plan westelijke dienswegverlichting</v>
          </cell>
          <cell r="K283" t="str">
            <v>2233/510227</v>
          </cell>
        </row>
        <row r="284">
          <cell r="A284" t="str">
            <v>18/508</v>
          </cell>
          <cell r="D284" t="str">
            <v>L51A Zeebrugge-SH4 Nieuw plan LS-bord bundelverlichting blok 4</v>
          </cell>
          <cell r="K284" t="str">
            <v>2233/510227</v>
          </cell>
        </row>
        <row r="285">
          <cell r="A285" t="str">
            <v>18/509</v>
          </cell>
          <cell r="D285" t="str">
            <v>L51A Brugge Aanpassen plan 3-B27-35/4</v>
          </cell>
          <cell r="K285" t="str">
            <v>2244/510212</v>
          </cell>
        </row>
        <row r="286">
          <cell r="A286" t="str">
            <v>18/510</v>
          </cell>
          <cell r="D286" t="str">
            <v>L51A Bundel Zwakendamme Nieuw plan VCAW zonekast F1.1</v>
          </cell>
          <cell r="K286" t="str">
            <v>2244/502171</v>
          </cell>
        </row>
        <row r="287">
          <cell r="A287" t="str">
            <v>18/511</v>
          </cell>
          <cell r="D287" t="str">
            <v>L51A Bundel Zwakendamme Nieuw plan VCAW zonekast F4.1</v>
          </cell>
          <cell r="K287" t="str">
            <v>2244/502171</v>
          </cell>
        </row>
        <row r="288">
          <cell r="A288" t="str">
            <v>18/513</v>
          </cell>
          <cell r="D288" t="str">
            <v>L51A Bundel Zwakendamme Nieuw plan kabelligingingsplan</v>
          </cell>
          <cell r="K288" t="str">
            <v>2211/524737</v>
          </cell>
        </row>
        <row r="289">
          <cell r="A289" t="str">
            <v>18/514</v>
          </cell>
          <cell r="D289" t="str">
            <v>L51A Bundel Zwakendamme Nieuw plan "Trp.-LZR-Zwakendamme</v>
          </cell>
          <cell r="K289" t="str">
            <v>2211-524737</v>
          </cell>
        </row>
        <row r="290">
          <cell r="A290" t="str">
            <v>18/515</v>
          </cell>
          <cell r="D290" t="str">
            <v>L51A Lissewege Aanpassingen 3-L16-2/2</v>
          </cell>
          <cell r="K290" t="str">
            <v>2223/526187</v>
          </cell>
        </row>
        <row r="291">
          <cell r="A291" t="str">
            <v>18/521</v>
          </cell>
          <cell r="D291" t="str">
            <v>L75 Aanpassen plans 3-75-12/8-9-10</v>
          </cell>
          <cell r="K291" t="str">
            <v>2224/526202</v>
          </cell>
        </row>
        <row r="292">
          <cell r="A292" t="str">
            <v>18/525</v>
          </cell>
          <cell r="D292" t="str">
            <v>EHBO Initiatie</v>
          </cell>
          <cell r="K292" t="str">
            <v>800205</v>
          </cell>
        </row>
        <row r="293">
          <cell r="A293" t="str">
            <v>18/527</v>
          </cell>
          <cell r="D293" t="str">
            <v>L89 Zottegem 7-FZT-17/02 (nieuw eplan) - Andy is in 't bezit van de dwg</v>
          </cell>
          <cell r="K293" t="str">
            <v>IP-010442.01.01.M01</v>
          </cell>
        </row>
        <row r="294">
          <cell r="A294" t="str">
            <v>18/532</v>
          </cell>
          <cell r="D294" t="str">
            <v>L60 Aanpassen en overname TUC verdeelnet Asse-Jette + keten</v>
          </cell>
          <cell r="K294" t="str">
            <v>2123/526416</v>
          </cell>
        </row>
        <row r="295">
          <cell r="A295" t="str">
            <v>18/533</v>
          </cell>
          <cell r="D295" t="str">
            <v>L60 Aanpassen en overname TUC verdeelnet Asse-Opwijk + keten</v>
          </cell>
          <cell r="K295" t="str">
            <v>2123/526417</v>
          </cell>
        </row>
        <row r="296">
          <cell r="A296" t="str">
            <v>18/534</v>
          </cell>
          <cell r="D296" t="str">
            <v>Brugge Bundelverlichting bundel D, E, G station Brugge</v>
          </cell>
          <cell r="K296" t="str">
            <v>IP-010490.01.01.M01</v>
          </cell>
        </row>
        <row r="297">
          <cell r="A297" t="str">
            <v>18/546</v>
          </cell>
          <cell r="D297" t="str">
            <v>Brugge Plans opleidingscentrum (002-03-05-09-10-11-12-18-19-31-36-54-</v>
          </cell>
          <cell r="K297" t="str">
            <v>IP-008467.02.01.M01</v>
          </cell>
        </row>
        <row r="298">
          <cell r="A298" t="str">
            <v>18/547</v>
          </cell>
          <cell r="D298" t="str">
            <v>Denderleeuw Tracestudie P-werf L50C</v>
          </cell>
          <cell r="K298" t="str">
            <v>IP-012906.01.01.M01</v>
          </cell>
        </row>
        <row r="299">
          <cell r="A299" t="str">
            <v>18/554</v>
          </cell>
          <cell r="D299" t="str">
            <v>L73 Nieuwe plans ketens sectie Diksmuide-Lichtervelde (e-plan)</v>
          </cell>
          <cell r="K299" t="str">
            <v>IP-009795.02.01.M01</v>
          </cell>
        </row>
        <row r="300">
          <cell r="A300" t="str">
            <v>18/555</v>
          </cell>
          <cell r="D300" t="str">
            <v>Sint-Niklaas Aanpassen LCI St-Niklaas</v>
          </cell>
          <cell r="K300" t="str">
            <v>2241/531856</v>
          </cell>
        </row>
        <row r="301">
          <cell r="A301" t="str">
            <v>18/566</v>
          </cell>
          <cell r="D301" t="str">
            <v>Basisschets 3321</v>
          </cell>
          <cell r="K301" t="str">
            <v>BT0106335.01-H020</v>
          </cell>
        </row>
        <row r="302">
          <cell r="A302" t="str">
            <v>18/570</v>
          </cell>
          <cell r="D302" t="str">
            <v>Flandriagebouw -Ex-Lokaal verdeler ES</v>
          </cell>
          <cell r="K302" t="str">
            <v>IP-007149.01.14.M01</v>
          </cell>
        </row>
        <row r="303">
          <cell r="A303" t="str">
            <v>18/571</v>
          </cell>
          <cell r="D303" t="str">
            <v>Plaatsbezoeken Intregatie</v>
          </cell>
          <cell r="K303" t="str">
            <v>800660/11300</v>
          </cell>
        </row>
        <row r="304">
          <cell r="A304" t="str">
            <v>18/576</v>
          </cell>
          <cell r="D304" t="str">
            <v>L69 Komen LSB in betonkeet Komen</v>
          </cell>
        </row>
        <row r="305">
          <cell r="A305" t="str">
            <v>18/577</v>
          </cell>
          <cell r="D305" t="str">
            <v>L51B Y-Pelikaan Aanpassen VCAW, plan 3-51B-9/1-2-3</v>
          </cell>
          <cell r="K305" t="str">
            <v>IP-012468.01.01.M01</v>
          </cell>
        </row>
        <row r="306">
          <cell r="A306" t="str">
            <v>18/578</v>
          </cell>
          <cell r="D306" t="str">
            <v>Sociale verkiezing</v>
          </cell>
          <cell r="K306" t="str">
            <v>Z900  90000222</v>
          </cell>
        </row>
        <row r="307">
          <cell r="A307" t="str">
            <v>18/582</v>
          </cell>
          <cell r="D307" t="str">
            <v>L89 Zottegem 7-FZT-7/8 vervangen door nieuw EPLAN naar 7-FZT-07/08</v>
          </cell>
          <cell r="K307" t="str">
            <v>IP-010447.01.01.M01</v>
          </cell>
        </row>
        <row r="308">
          <cell r="A308" t="str">
            <v>18/585</v>
          </cell>
          <cell r="D308" t="str">
            <v>L53 L53 opsplitsen per Km + Aanpassingen</v>
          </cell>
          <cell r="K308" t="str">
            <v>AIP009157.01/H010</v>
          </cell>
        </row>
        <row r="309">
          <cell r="A309" t="str">
            <v>18/587</v>
          </cell>
          <cell r="D309" t="str">
            <v>L50 Melle Omzetten plans 13-50-15/1 tot en met 15/4 naar 3</v>
          </cell>
          <cell r="K309" t="str">
            <v>2144501951</v>
          </cell>
        </row>
        <row r="310">
          <cell r="A310" t="str">
            <v>18/588</v>
          </cell>
          <cell r="D310" t="str">
            <v>L50 Merelbeke Omzetten plans 13-M12-67/1 tot en met 67/5 naar 3</v>
          </cell>
          <cell r="K310" t="str">
            <v>2144510541</v>
          </cell>
        </row>
        <row r="311">
          <cell r="A311" t="str">
            <v>18/589</v>
          </cell>
          <cell r="D311" t="str">
            <v>L69 1kV kast OW34</v>
          </cell>
          <cell r="K311" t="str">
            <v>IP-010200.01.01.M01</v>
          </cell>
        </row>
        <row r="312">
          <cell r="A312" t="str">
            <v>18/595</v>
          </cell>
          <cell r="D312" t="str">
            <v>L89 Oudenaarde Project Aanpassen Eplans 17-FDN-07/01 en 07/02</v>
          </cell>
          <cell r="K312" t="str">
            <v>4002300/0070</v>
          </cell>
        </row>
        <row r="313">
          <cell r="A313" t="str">
            <v>18/603</v>
          </cell>
          <cell r="D313" t="str">
            <v>Sint-Niklaas LCI (in functie vn Legionella)</v>
          </cell>
          <cell r="K313" t="str">
            <v xml:space="preserve">IP-005911.01.21.M01 </v>
          </cell>
        </row>
        <row r="314">
          <cell r="A314" t="str">
            <v>18/604</v>
          </cell>
          <cell r="D314" t="str">
            <v>Upgrade Autocad</v>
          </cell>
          <cell r="K314" t="str">
            <v>800660/11300</v>
          </cell>
        </row>
        <row r="315">
          <cell r="A315" t="str">
            <v>18/611</v>
          </cell>
          <cell r="D315" t="str">
            <v>L50A Opmaken LGS L50A van KP 18.000 tot 24.000 sp A&amp;B</v>
          </cell>
          <cell r="K315" t="str">
            <v>IP-012879.01.01.M01</v>
          </cell>
        </row>
        <row r="316">
          <cell r="A316" t="str">
            <v>18/612</v>
          </cell>
          <cell r="D316" t="str">
            <v>L50 Denderleeuw Vernieuwen waterdichte rok</v>
          </cell>
          <cell r="K316" t="str">
            <v>IP-011378.01.04.M01</v>
          </cell>
        </row>
        <row r="317">
          <cell r="A317" t="str">
            <v>18/614</v>
          </cell>
          <cell r="D317" t="str">
            <v>L122 Fietspad Scheldewindeke-Moortsele</v>
          </cell>
          <cell r="K317" t="str">
            <v>IP-008679.01.01.M01</v>
          </cell>
        </row>
        <row r="318">
          <cell r="A318" t="str">
            <v>18/616</v>
          </cell>
          <cell r="D318" t="str">
            <v>Gent-Zeehaven 11-FGZH-L58_FWO_FKLO-002/1 V</v>
          </cell>
        </row>
        <row r="319">
          <cell r="A319" t="str">
            <v>18/624</v>
          </cell>
          <cell r="D319" t="str">
            <v>Brugge 1-FR-75/01</v>
          </cell>
          <cell r="K319" t="str">
            <v>522 510 218</v>
          </cell>
        </row>
        <row r="320">
          <cell r="A320" t="str">
            <v>18/626</v>
          </cell>
          <cell r="D320" t="str">
            <v>L89 Zottegem Nieuw EPLAN 7-FZT-07/10 (vervangt oud plan 7-FZT-7/10)</v>
          </cell>
          <cell r="K320" t="str">
            <v>IP-010447.01.01.M01</v>
          </cell>
        </row>
        <row r="321">
          <cell r="A321" t="str">
            <v>18/631</v>
          </cell>
          <cell r="D321" t="str">
            <v>Brugge 1-FR-M1.77/1022-00</v>
          </cell>
          <cell r="K321" t="str">
            <v>11326</v>
          </cell>
        </row>
        <row r="322">
          <cell r="A322" t="str">
            <v>18/634</v>
          </cell>
          <cell r="D322" t="str">
            <v>LCI Brugge ALSB B brugge (bundelverlichting)</v>
          </cell>
          <cell r="K322" t="str">
            <v>IP-010493.01.01.M01</v>
          </cell>
        </row>
        <row r="323">
          <cell r="A323" t="str">
            <v>18/635</v>
          </cell>
          <cell r="D323" t="str">
            <v>L122 Vernieuwen OW72 door STRAIL</v>
          </cell>
          <cell r="K323" t="str">
            <v>IP-011394.01.01.M01</v>
          </cell>
        </row>
        <row r="324">
          <cell r="A324" t="str">
            <v>18/636</v>
          </cell>
          <cell r="D324" t="str">
            <v>L122 Vernieuwen OW86 en OW90 door STRAIL</v>
          </cell>
          <cell r="K324" t="str">
            <v>IP-012022.01.01.M01</v>
          </cell>
        </row>
        <row r="325">
          <cell r="A325" t="str">
            <v>18/640</v>
          </cell>
          <cell r="D325" t="str">
            <v>L50 Dilbeek Groot Bijgaarden fietserstunnel thv OW17</v>
          </cell>
          <cell r="K325" t="str">
            <v>IP-008104.01.01.M01</v>
          </cell>
        </row>
        <row r="326">
          <cell r="A326" t="str">
            <v>18/644</v>
          </cell>
          <cell r="D326" t="str">
            <v>Oudenaarde Aanpassen 3-FDN-34/03-01, 35/04-01, 3-O11-12/6</v>
          </cell>
          <cell r="K326" t="str">
            <v>2162/524195</v>
          </cell>
        </row>
        <row r="327">
          <cell r="A327" t="str">
            <v>19/05</v>
          </cell>
          <cell r="D327" t="str">
            <v>L86 Vernieuwen OW29</v>
          </cell>
          <cell r="K327" t="str">
            <v>IP-010928.01.01.M01</v>
          </cell>
        </row>
        <row r="328">
          <cell r="A328" t="str">
            <v>19/12</v>
          </cell>
          <cell r="D328" t="str">
            <v>Plaatsing van airco en ventilatie in LCI Antenne Lichtervelde, Oostende, …</v>
          </cell>
          <cell r="K328" t="str">
            <v>IP-005911.01.09.M01</v>
          </cell>
        </row>
        <row r="329">
          <cell r="A329" t="str">
            <v>19/14</v>
          </cell>
          <cell r="D329" t="str">
            <v>L54 Puurs Vernieuwen OW24 in Strail</v>
          </cell>
          <cell r="K329" t="str">
            <v>IP-010837.01.01.M01</v>
          </cell>
        </row>
        <row r="330">
          <cell r="A330" t="str">
            <v>19/15</v>
          </cell>
          <cell r="D330" t="str">
            <v>L54 Bornem Vernieuwen OW31 in Strail</v>
          </cell>
          <cell r="K330" t="str">
            <v>IP-010163.01.01.M01</v>
          </cell>
        </row>
        <row r="331">
          <cell r="A331" t="str">
            <v>19/25</v>
          </cell>
          <cell r="D331" t="str">
            <v>L60 Dendermonde Vernieuwen OW38 in Harmelen</v>
          </cell>
          <cell r="K331" t="str">
            <v>IP-010823.01.01.M01</v>
          </cell>
        </row>
        <row r="332">
          <cell r="A332" t="str">
            <v>19/28</v>
          </cell>
          <cell r="D332" t="str">
            <v>L50A Oostende Aanpassen Trp-FSD-Blokpost 8</v>
          </cell>
          <cell r="K332" t="str">
            <v>IP-012005.01.01.M01</v>
          </cell>
        </row>
        <row r="333">
          <cell r="A333" t="str">
            <v>19/29</v>
          </cell>
          <cell r="D333" t="str">
            <v>L50A Oostende Aanpassen plans 13-04-73/1,2,3 en omzetten naar 3</v>
          </cell>
          <cell r="K333" t="str">
            <v>2144/502091</v>
          </cell>
        </row>
        <row r="334">
          <cell r="A334" t="str">
            <v>19/31</v>
          </cell>
          <cell r="D334" t="str">
            <v>L89 1-89-.08/03-31</v>
          </cell>
          <cell r="K334" t="str">
            <v>IP-010528.01.03.M01</v>
          </cell>
        </row>
        <row r="335">
          <cell r="A335" t="str">
            <v>19/36</v>
          </cell>
          <cell r="D335" t="str">
            <v>L86 Aanpassingen 3-0860-35/FDN-02-…..</v>
          </cell>
          <cell r="K335" t="str">
            <v>2124/526146</v>
          </cell>
        </row>
        <row r="336">
          <cell r="A336" t="str">
            <v>19/37</v>
          </cell>
          <cell r="D336" t="str">
            <v>L50 Schellebelle-Aalst overdracht TUC</v>
          </cell>
          <cell r="K336" t="str">
            <v>BT0152315.04H021</v>
          </cell>
        </row>
        <row r="337">
          <cell r="A337" t="str">
            <v>19/43</v>
          </cell>
          <cell r="D337" t="str">
            <v>L69 Poperinge Seinonderstation Poperinge</v>
          </cell>
          <cell r="K337" t="str">
            <v>IP-010200.01.01.M01</v>
          </cell>
        </row>
        <row r="338">
          <cell r="A338" t="str">
            <v>19/45</v>
          </cell>
          <cell r="D338" t="str">
            <v>L69 Komen Seinonderstation Komen</v>
          </cell>
          <cell r="K338" t="str">
            <v>IP-010200.01.01.M01</v>
          </cell>
        </row>
        <row r="339">
          <cell r="A339" t="str">
            <v>19/46</v>
          </cell>
          <cell r="D339" t="str">
            <v>L69 Poperinge Ligingsplan buitenverlichting</v>
          </cell>
          <cell r="K339" t="str">
            <v>IP-0113100.01.01.m01</v>
          </cell>
        </row>
        <row r="340">
          <cell r="A340" t="str">
            <v>19/47</v>
          </cell>
          <cell r="D340" t="str">
            <v>L69 Kortrijk Ligingsplan buitenverlichting</v>
          </cell>
          <cell r="K340" t="str">
            <v>IP-0113098.01.01.M01</v>
          </cell>
        </row>
        <row r="341">
          <cell r="A341" t="str">
            <v>19/48</v>
          </cell>
          <cell r="D341" t="str">
            <v>Dudzele Overname plans Hydraulica Boudewijnbrug (schema inbox Nico)</v>
          </cell>
        </row>
        <row r="342">
          <cell r="A342" t="str">
            <v>19/58</v>
          </cell>
          <cell r="D342" t="str">
            <v>L50 Dilbeek Afschaffen OW21</v>
          </cell>
          <cell r="K342" t="str">
            <v>BT0143342.01/H010</v>
          </cell>
        </row>
        <row r="343">
          <cell r="A343" t="str">
            <v>19/59</v>
          </cell>
          <cell r="D343" t="str">
            <v>Gent-Zeehaven Kast elektrische wagens,</v>
          </cell>
          <cell r="K343" t="str">
            <v>IP-012661.01.04.M01</v>
          </cell>
        </row>
        <row r="344">
          <cell r="A344" t="str">
            <v>19/60</v>
          </cell>
          <cell r="D344" t="str">
            <v>Zottegem Dienstgebouw Zottegem</v>
          </cell>
          <cell r="K344" t="str">
            <v>IP-007149.01.06.M01</v>
          </cell>
        </row>
        <row r="345">
          <cell r="A345" t="str">
            <v>19/62</v>
          </cell>
          <cell r="D345" t="str">
            <v>L75 LGS L75 sp A&amp;B van Kp 0.000 tot 2.000</v>
          </cell>
          <cell r="K345" t="str">
            <v>BT-1368450.01/H020</v>
          </cell>
        </row>
        <row r="346">
          <cell r="A346" t="str">
            <v>19/78</v>
          </cell>
          <cell r="D346" t="str">
            <v>L50 Brugge Bundelverlichting Brugge</v>
          </cell>
          <cell r="K346" t="str">
            <v>IP-010493.01.01.M01</v>
          </cell>
        </row>
        <row r="347">
          <cell r="A347" t="str">
            <v>19/79</v>
          </cell>
          <cell r="D347" t="str">
            <v>L86 Overwegen 27,31,34,36</v>
          </cell>
          <cell r="K347" t="str">
            <v>IP-008003.01.01.M01</v>
          </cell>
        </row>
        <row r="348">
          <cell r="A348" t="str">
            <v>19/80</v>
          </cell>
          <cell r="D348" t="str">
            <v>Verplichte Fundamentele Opleiding ttek BB</v>
          </cell>
          <cell r="K348" t="str">
            <v>82- 800157</v>
          </cell>
        </row>
        <row r="349">
          <cell r="A349" t="str">
            <v>19/86</v>
          </cell>
          <cell r="D349" t="str">
            <v>L75 L75 opsplitsen per Km + Aanpassingen (uitgez. Station Kortrijk)</v>
          </cell>
          <cell r="K349" t="str">
            <v>AIP009157.01/H010</v>
          </cell>
        </row>
        <row r="350">
          <cell r="A350" t="str">
            <v>19/87</v>
          </cell>
          <cell r="D350" t="str">
            <v>L86 Oudenaarde Bedieningsbord electrogeengroep</v>
          </cell>
          <cell r="K350" t="str">
            <v>2162/524195</v>
          </cell>
        </row>
        <row r="351">
          <cell r="A351" t="str">
            <v>19/91</v>
          </cell>
          <cell r="D351" t="str">
            <v>L50A Oostende Aanpassen plan 13-FSD-32/04-02</v>
          </cell>
          <cell r="K351" t="str">
            <v>IP-010495.01.01.M01</v>
          </cell>
        </row>
        <row r="352">
          <cell r="A352" t="str">
            <v>19/92</v>
          </cell>
          <cell r="D352" t="str">
            <v>L75 Aanpassen plans 3-0750-35/FVG01-01-0…..</v>
          </cell>
          <cell r="K352" t="str">
            <v>2224/526215</v>
          </cell>
        </row>
        <row r="353">
          <cell r="A353" t="str">
            <v>19/93</v>
          </cell>
          <cell r="D353" t="str">
            <v>L75 Aanpassen plans 3-0750-35/FVG02-01-0…..</v>
          </cell>
          <cell r="K353" t="str">
            <v>2224/526214</v>
          </cell>
        </row>
        <row r="354">
          <cell r="A354" t="str">
            <v>19/94</v>
          </cell>
          <cell r="D354" t="str">
            <v>L122 Geraardsbergen Opmaken liggingsplan</v>
          </cell>
          <cell r="K354" t="str">
            <v>2143/510183</v>
          </cell>
        </row>
        <row r="355">
          <cell r="A355" t="str">
            <v>19/98</v>
          </cell>
          <cell r="D355" t="str">
            <v>Brugge Tractie-onderstation Brugge</v>
          </cell>
          <cell r="K355" t="str">
            <v>IP-005911.01.02.M01</v>
          </cell>
        </row>
        <row r="356">
          <cell r="A356" t="str">
            <v>19/101</v>
          </cell>
          <cell r="D356" t="str">
            <v>L53 SpA&amp;B idealiserenvanaf Kp12.884 tot Kp25.674</v>
          </cell>
          <cell r="K356" t="str">
            <v>IP-011402.01.01.M01</v>
          </cell>
        </row>
        <row r="357">
          <cell r="A357" t="str">
            <v>19/102</v>
          </cell>
          <cell r="D357" t="str">
            <v>Kortrijk Studie wisselcomplex station Kortrijk kant Brugge</v>
          </cell>
          <cell r="K357" t="str">
            <v>IP-004901.01.01.M01</v>
          </cell>
        </row>
        <row r="358">
          <cell r="A358" t="str">
            <v>19/104</v>
          </cell>
          <cell r="D358" t="str">
            <v>L58 Gent-Zeehaven Aanpssen VCAW-zone D2,1 D2,2</v>
          </cell>
          <cell r="K358" t="str">
            <v>IP-005190.01.02.M01</v>
          </cell>
        </row>
        <row r="359">
          <cell r="A359" t="str">
            <v>19/110</v>
          </cell>
          <cell r="D359" t="str">
            <v>Dendermonde Bijwerkingen 33 arr</v>
          </cell>
          <cell r="K359" t="str">
            <v>3111/11321</v>
          </cell>
        </row>
        <row r="360">
          <cell r="A360" t="str">
            <v>19/113</v>
          </cell>
          <cell r="D360" t="str">
            <v>L50 Aanpassen verdeelnet Melle-Schellebelle 13-0500-35/FCB-FML-000</v>
          </cell>
          <cell r="K360" t="str">
            <v>IP-011873.01.01.M01</v>
          </cell>
        </row>
        <row r="361">
          <cell r="A361" t="str">
            <v>19/114</v>
          </cell>
          <cell r="D361" t="str">
            <v>L58 Aanpassen verdeelnet Ottergem-B13 3-0580-35/FGSP09-FGHZ05-0</v>
          </cell>
          <cell r="K361" t="str">
            <v>IP-011873.01.01.M01</v>
          </cell>
        </row>
        <row r="362">
          <cell r="A362" t="str">
            <v>19/116</v>
          </cell>
          <cell r="D362" t="str">
            <v>L53 Buggenhout Vervangen OW44 door fietstunnel</v>
          </cell>
          <cell r="K362" t="str">
            <v>IP-013725.01.01.M01</v>
          </cell>
        </row>
        <row r="363">
          <cell r="A363" t="str">
            <v>19/121</v>
          </cell>
          <cell r="D363" t="str">
            <v>L90 Ninove 2 VCAW zoneksten (geen standaard)</v>
          </cell>
          <cell r="K363" t="str">
            <v>IP-013049.01.01.M01</v>
          </cell>
        </row>
        <row r="364">
          <cell r="A364" t="str">
            <v>19/123</v>
          </cell>
          <cell r="D364" t="str">
            <v>L75 LGS spB van KP 44.300 tot KP 51.000</v>
          </cell>
          <cell r="K364" t="str">
            <v>IP-010872.01.02.M01</v>
          </cell>
        </row>
        <row r="365">
          <cell r="A365" t="str">
            <v>19/124</v>
          </cell>
          <cell r="D365" t="str">
            <v>Zeebrugge 11-LZR-PLP-Bundel_B-002_1MA Eindfaze</v>
          </cell>
          <cell r="K365" t="str">
            <v>BT1212362.01/H020</v>
          </cell>
        </row>
        <row r="366">
          <cell r="A366" t="str">
            <v>19/128</v>
          </cell>
          <cell r="D366" t="str">
            <v>L55A Aanpassen OW8</v>
          </cell>
          <cell r="K366" t="str">
            <v>5231/502441</v>
          </cell>
        </row>
        <row r="367">
          <cell r="A367" t="str">
            <v>19/129</v>
          </cell>
          <cell r="D367" t="str">
            <v>L90 Geraardsbergen Liggingsplan bundelverlichting</v>
          </cell>
          <cell r="K367" t="str">
            <v>2233/510183</v>
          </cell>
        </row>
        <row r="368">
          <cell r="A368" t="str">
            <v>19/130</v>
          </cell>
          <cell r="D368" t="str">
            <v>L90 Geraardsbergen ALSB B aanpassingen na vernieuwing</v>
          </cell>
          <cell r="K368" t="str">
            <v>2233/510183</v>
          </cell>
        </row>
        <row r="369">
          <cell r="A369" t="str">
            <v>19/132</v>
          </cell>
          <cell r="D369" t="str">
            <v>L58/2 Idealisering tracé en LP ts E.wiss21BF/22F en OW14</v>
          </cell>
          <cell r="K369" t="str">
            <v>5224/502521</v>
          </cell>
        </row>
        <row r="370">
          <cell r="A370" t="str">
            <v>19/133</v>
          </cell>
          <cell r="D370" t="str">
            <v>L50 OVB Kaardeveldweg: vernieuwing leuning/ renovatiewerken</v>
          </cell>
          <cell r="K370" t="str">
            <v>IP-013156.01.01.M01</v>
          </cell>
        </row>
        <row r="371">
          <cell r="A371" t="str">
            <v>19/134</v>
          </cell>
          <cell r="D371" t="str">
            <v>Gent-Zeehaven Aanpassen Basisschets: BAS-3212-002</v>
          </cell>
          <cell r="K371" t="str">
            <v>5224/510193</v>
          </cell>
        </row>
        <row r="372">
          <cell r="A372" t="str">
            <v>19/135</v>
          </cell>
          <cell r="D372" t="str">
            <v>L51 Blankenberge Vern,11BW/15AW en 11AW Verpl, wisselverb, 13BW-13AW</v>
          </cell>
          <cell r="K372" t="str">
            <v>IP-010861.01.02.M01</v>
          </cell>
        </row>
        <row r="373">
          <cell r="A373" t="str">
            <v>19/140</v>
          </cell>
          <cell r="D373" t="str">
            <v>L51 Opstellen LGS-plan van A/L51 en B/L51 via schetsen</v>
          </cell>
          <cell r="K373" t="str">
            <v>IP-009210.01.01.M01</v>
          </cell>
        </row>
        <row r="374">
          <cell r="A374" t="str">
            <v>19/152</v>
          </cell>
          <cell r="D374" t="str">
            <v>L58 Nieuw Plan Verdeelnet Rooster Gent-Zeehaven - Blok 13</v>
          </cell>
          <cell r="K374" t="str">
            <v>IP-011873.01.01.M01</v>
          </cell>
        </row>
        <row r="375">
          <cell r="A375" t="str">
            <v>19/153</v>
          </cell>
          <cell r="D375" t="str">
            <v>L58 Aanpassingen verdeelnet Gent Noord - Blok 13</v>
          </cell>
          <cell r="K375" t="str">
            <v>IP-011873.01.01.M01</v>
          </cell>
        </row>
        <row r="376">
          <cell r="A376" t="str">
            <v>19/154</v>
          </cell>
          <cell r="D376" t="str">
            <v>L58 Kortrijk Bundel D: Mast 6 en 12 schema</v>
          </cell>
          <cell r="K376" t="str">
            <v>2233/510230</v>
          </cell>
        </row>
        <row r="377">
          <cell r="A377" t="str">
            <v>19/155</v>
          </cell>
          <cell r="D377" t="str">
            <v>L59 Beervelde Omzetten Plan 13 naar 3 13-B8-8/2 en 8/3 (Opkuis met Karl)</v>
          </cell>
          <cell r="K377" t="str">
            <v>2412/11317</v>
          </cell>
        </row>
        <row r="378">
          <cell r="A378" t="str">
            <v>19/156</v>
          </cell>
          <cell r="D378" t="str">
            <v>L58 Gent-zeehaven Omzetten Plans 13 naar 3 (opkuis met Karl)</v>
          </cell>
          <cell r="K378" t="str">
            <v>2412/11317</v>
          </cell>
        </row>
        <row r="379">
          <cell r="A379" t="str">
            <v>19/170</v>
          </cell>
          <cell r="D379" t="str">
            <v>L53 Londerzeel Van Kp26,500Tem Kp31,300 Idealiseren Tracé, wissels inbegr</v>
          </cell>
          <cell r="K379" t="str">
            <v>IP-010867.01.01.M01</v>
          </cell>
        </row>
        <row r="380">
          <cell r="A380" t="str">
            <v>19/173</v>
          </cell>
          <cell r="D380" t="str">
            <v>L89-122 Zottegem Toegangsweg tot spie</v>
          </cell>
          <cell r="K380" t="str">
            <v>5241/502881</v>
          </cell>
        </row>
        <row r="381">
          <cell r="A381" t="str">
            <v>19/181</v>
          </cell>
          <cell r="D381" t="str">
            <v>Denderleeuw Legionella Denderleeuw Seinhuis</v>
          </cell>
          <cell r="K381" t="str">
            <v>IP-007149.01.17.M01</v>
          </cell>
        </row>
        <row r="382">
          <cell r="A382" t="str">
            <v>19/182</v>
          </cell>
          <cell r="D382" t="str">
            <v>32 Arr Nazicht om te zetten plans 13 naar 3 (opkuis met Karl)</v>
          </cell>
          <cell r="K382" t="str">
            <v>2412/11317</v>
          </cell>
        </row>
        <row r="383">
          <cell r="A383" t="str">
            <v>19/183</v>
          </cell>
          <cell r="D383" t="str">
            <v>Opkuisen volledige Vault VVDK</v>
          </cell>
        </row>
        <row r="384">
          <cell r="A384" t="str">
            <v>19/185</v>
          </cell>
          <cell r="D384" t="str">
            <v>L86 Vernieuwen tunnel Louise</v>
          </cell>
          <cell r="K384" t="str">
            <v>IP-011396.01.01.M01</v>
          </cell>
        </row>
        <row r="385">
          <cell r="A385" t="str">
            <v>19/188</v>
          </cell>
          <cell r="D385" t="str">
            <v>Afschaffen plans</v>
          </cell>
          <cell r="K385" t="str">
            <v>IP-013049.01.01.M01</v>
          </cell>
        </row>
        <row r="386">
          <cell r="A386" t="str">
            <v>19/191</v>
          </cell>
          <cell r="D386" t="str">
            <v>Gent-Zeehaven Nieuw plan 13-FGZH-32/05-03</v>
          </cell>
          <cell r="K386" t="str">
            <v>2412/11317</v>
          </cell>
        </row>
        <row r="387">
          <cell r="A387" t="str">
            <v>19/196</v>
          </cell>
          <cell r="D387" t="str">
            <v>L66 Lichtervelde Aanpassen plan 13-L14-15/1-2-3</v>
          </cell>
          <cell r="K387" t="str">
            <v>2412/11329</v>
          </cell>
        </row>
        <row r="388">
          <cell r="A388" t="str">
            <v>19/201</v>
          </cell>
          <cell r="D388" t="str">
            <v>L59 Beveren Nieuwe MS-post 160kVA (kopie van Zelzate 160kVA!!!!)</v>
          </cell>
          <cell r="K388" t="str">
            <v>IP-011153.01.01.M01</v>
          </cell>
        </row>
        <row r="389">
          <cell r="A389" t="str">
            <v>19/216</v>
          </cell>
          <cell r="D389" t="str">
            <v>L50 Merelbeke 7-FKR-20/01, 20/02, 20/03, 20/04</v>
          </cell>
          <cell r="K389" t="str">
            <v>4110/527092</v>
          </cell>
        </row>
        <row r="390">
          <cell r="A390" t="str">
            <v>19/217</v>
          </cell>
          <cell r="D390" t="str">
            <v>L75 Olsene (Zulte) Bep grensln na inplanten perron en een 3de spoor</v>
          </cell>
          <cell r="K390" t="str">
            <v>IP-008768.01.01.M01</v>
          </cell>
        </row>
        <row r="391">
          <cell r="A391" t="str">
            <v>19/218</v>
          </cell>
          <cell r="D391" t="str">
            <v>L59 Lokeren Aanpassingen 3-FLK-32/01-01</v>
          </cell>
          <cell r="K391" t="str">
            <v>2412/11317</v>
          </cell>
        </row>
        <row r="392">
          <cell r="A392" t="str">
            <v>19/220</v>
          </cell>
          <cell r="D392" t="str">
            <v>L58 Gent-Zeehaven Aanpassingen LCI-gebouw 13-G13-50/1 en 2</v>
          </cell>
          <cell r="K392" t="str">
            <v>2412/11317</v>
          </cell>
        </row>
        <row r="393">
          <cell r="A393" t="str">
            <v>19/222</v>
          </cell>
          <cell r="D393" t="str">
            <v>L202B Nieuwe keten op L202B</v>
          </cell>
          <cell r="K393" t="str">
            <v>IP-011874.01.01.F41</v>
          </cell>
        </row>
        <row r="394">
          <cell r="A394" t="str">
            <v>19/225</v>
          </cell>
          <cell r="D394" t="str">
            <v>L50A Beernem Snedes keerelementen</v>
          </cell>
          <cell r="K394" t="str">
            <v>IP-007307.01.02.M01</v>
          </cell>
        </row>
        <row r="395">
          <cell r="A395" t="str">
            <v>19/229</v>
          </cell>
          <cell r="D395" t="str">
            <v>L73 Diksmuide Bordje voor batterijlokaal</v>
          </cell>
          <cell r="K395" t="str">
            <v>IP-010200.01.01.M01</v>
          </cell>
        </row>
        <row r="396">
          <cell r="A396" t="str">
            <v>19/233</v>
          </cell>
          <cell r="D396" t="str">
            <v>L58 Gent-Zeehaven VCAW Zonekasten E2.1-2, F2.1-2, G3.1-2</v>
          </cell>
          <cell r="K396" t="str">
            <v>IP-005190.01.02.M01</v>
          </cell>
        </row>
        <row r="397">
          <cell r="A397" t="str">
            <v>19/234</v>
          </cell>
          <cell r="D397" t="str">
            <v>L66 Kortrijk Vernieuwen OW125 in Strail</v>
          </cell>
          <cell r="K397" t="str">
            <v>IP-010912,01,01,M01</v>
          </cell>
        </row>
        <row r="398">
          <cell r="A398" t="str">
            <v>19/239</v>
          </cell>
          <cell r="D398" t="str">
            <v>L89 Harelbeke Vernieuwen OW127 in Harmelen</v>
          </cell>
          <cell r="K398" t="str">
            <v>IP-012314.01.01.M01</v>
          </cell>
        </row>
        <row r="399">
          <cell r="A399" t="str">
            <v>19/240</v>
          </cell>
          <cell r="D399" t="str">
            <v>L202B Zeebrugge Vernieuwen OW15 in Harmelen</v>
          </cell>
          <cell r="K399" t="str">
            <v>IP-10863.01.01.M01</v>
          </cell>
        </row>
        <row r="400">
          <cell r="A400" t="str">
            <v>19/241</v>
          </cell>
          <cell r="D400" t="str">
            <v>L66 Izegem Aanpassen plan 13-I6-10/1</v>
          </cell>
          <cell r="K400" t="str">
            <v>IP-010200.01.01.M01</v>
          </cell>
        </row>
        <row r="401">
          <cell r="A401" t="str">
            <v>19/243</v>
          </cell>
          <cell r="D401" t="str">
            <v>L90 Planning rails</v>
          </cell>
          <cell r="K401" t="str">
            <v>IP-010869.01.02.M01</v>
          </cell>
        </row>
        <row r="402">
          <cell r="A402" t="str">
            <v>19/244</v>
          </cell>
          <cell r="D402" t="str">
            <v>L66 Hooglede Vernieuwen OW68 in Strail</v>
          </cell>
          <cell r="K402" t="str">
            <v>IP-012312.01.01.M01</v>
          </cell>
        </row>
        <row r="403">
          <cell r="A403" t="str">
            <v>19/245</v>
          </cell>
          <cell r="D403" t="str">
            <v>Programmeren</v>
          </cell>
          <cell r="K403" t="str">
            <v>Program</v>
          </cell>
        </row>
        <row r="404">
          <cell r="A404" t="str">
            <v>19/246</v>
          </cell>
          <cell r="D404" t="str">
            <v>L50A Aalter Nieuwe plans 17-FLT-02/01 en 02/02</v>
          </cell>
          <cell r="K404" t="str">
            <v>4217/527110</v>
          </cell>
        </row>
        <row r="405">
          <cell r="A405" t="str">
            <v>19/247</v>
          </cell>
          <cell r="D405" t="str">
            <v>L59 Lokeren Nieuwe plans 17-FLK-02/01, 02/02 en 02/03</v>
          </cell>
          <cell r="K405" t="str">
            <v>4217/527096</v>
          </cell>
        </row>
        <row r="406">
          <cell r="A406" t="str">
            <v>19/248</v>
          </cell>
          <cell r="D406" t="str">
            <v>L57 Dendermonde Nieuwe plans 17-FDR-01/01, 02/01, 02/02, 6/1, 6/2, 6/3, 9/1, 9/2,9/3 9/4, 9/5, 9/7, 9/11, 9/12, 9/13, 9/14, 15/1, 16/1, 16/2</v>
          </cell>
          <cell r="K406" t="str">
            <v>4217/527101</v>
          </cell>
        </row>
        <row r="407">
          <cell r="A407" t="str">
            <v>19/250</v>
          </cell>
          <cell r="D407" t="str">
            <v>L50A omgevingsvergunning Kapelhof - Tolstraat</v>
          </cell>
          <cell r="K407" t="str">
            <v>IP-010513.01.02.M01</v>
          </cell>
        </row>
        <row r="408">
          <cell r="A408" t="str">
            <v>19/254</v>
          </cell>
          <cell r="D408" t="str">
            <v>L90 LGS L90 spA&amp;B tussen Denderleeuw en Ninove</v>
          </cell>
          <cell r="K408" t="str">
            <v>IP-010869.01.02.M01</v>
          </cell>
        </row>
        <row r="409">
          <cell r="A409" t="str">
            <v>19/260</v>
          </cell>
          <cell r="D409" t="str">
            <v>L66 Roeselare L66 km37,817 Steunmuur C voorbij Veldstraat</v>
          </cell>
          <cell r="K409" t="str">
            <v>IP-013215.01.01.M01</v>
          </cell>
        </row>
        <row r="410">
          <cell r="A410" t="str">
            <v>19/263</v>
          </cell>
          <cell r="D410" t="str">
            <v>L123 Overboelare Aanpassen piketteringsplannen 6-123-1/26 en 27</v>
          </cell>
          <cell r="K410" t="str">
            <v>AIP009157.01/H010</v>
          </cell>
        </row>
        <row r="411">
          <cell r="A411" t="str">
            <v>19/267</v>
          </cell>
          <cell r="D411" t="str">
            <v>L53 Dendermonde Aanpassen en ontdubbelen plan 13-FDR-33/06-01</v>
          </cell>
          <cell r="K411" t="str">
            <v>IP-010534.01.01.M01</v>
          </cell>
        </row>
        <row r="412">
          <cell r="A412" t="str">
            <v>19/280</v>
          </cell>
          <cell r="D412" t="str">
            <v>L51B Y-Dudzele Nieuwe MS-post Herdersbrug</v>
          </cell>
          <cell r="K412" t="str">
            <v>BT120747501H010</v>
          </cell>
        </row>
        <row r="413">
          <cell r="A413" t="str">
            <v>19/281</v>
          </cell>
          <cell r="D413" t="str">
            <v>L51B Ramskapelle (C-RO) Nieuwe MS-post C-RO</v>
          </cell>
          <cell r="K413" t="str">
            <v>BT1213365.01.H020</v>
          </cell>
        </row>
        <row r="414">
          <cell r="A414" t="str">
            <v>19/282</v>
          </cell>
          <cell r="D414" t="str">
            <v>L50A Aalter Nieuw LS-bord aalter tractie</v>
          </cell>
          <cell r="K414" t="str">
            <v>IP-011126.01.01.M01</v>
          </cell>
        </row>
        <row r="415">
          <cell r="A415" t="str">
            <v>19/286</v>
          </cell>
          <cell r="D415" t="str">
            <v>L73 Verdeelnet: Waregem-Deinze</v>
          </cell>
          <cell r="K415" t="str">
            <v>IP-011133.01.01.M01</v>
          </cell>
        </row>
        <row r="416">
          <cell r="A416" t="str">
            <v>19/287</v>
          </cell>
          <cell r="D416" t="str">
            <v>L73 Verdeelnet: Deinze-De Pinte</v>
          </cell>
          <cell r="K416" t="str">
            <v>IP-011134.01.01.M01</v>
          </cell>
        </row>
        <row r="417">
          <cell r="A417" t="str">
            <v>19/288</v>
          </cell>
          <cell r="D417" t="str">
            <v>L73 Verdeelnet: Waregem-Kortrijk</v>
          </cell>
          <cell r="K417" t="str">
            <v>IP-006697.02.01.M01</v>
          </cell>
        </row>
        <row r="418">
          <cell r="A418" t="str">
            <v>19/289</v>
          </cell>
          <cell r="D418" t="str">
            <v>L53 LGS plan L53 van Schellebelle tot Dendermonde sp A&amp;B</v>
          </cell>
          <cell r="K418" t="str">
            <v>IP-011407.01.01.M01</v>
          </cell>
        </row>
        <row r="419">
          <cell r="A419" t="str">
            <v>19/292</v>
          </cell>
          <cell r="D419" t="str">
            <v>L89 Verdeelnet L89 (aanpassen ketens 3-89-13/,,,</v>
          </cell>
          <cell r="K419" t="str">
            <v>IP-009446.01.02.M01</v>
          </cell>
        </row>
        <row r="420">
          <cell r="A420" t="str">
            <v>19/293</v>
          </cell>
          <cell r="D420" t="str">
            <v>L75 Sectie Gent SP- De Pinte</v>
          </cell>
        </row>
        <row r="421">
          <cell r="A421" t="str">
            <v>19/294</v>
          </cell>
          <cell r="D421" t="str">
            <v>L75 Waregem Aanpassen MS-post</v>
          </cell>
          <cell r="K421" t="str">
            <v>IP-011133.01.01.M01</v>
          </cell>
        </row>
        <row r="422">
          <cell r="A422" t="str">
            <v>19/295</v>
          </cell>
          <cell r="D422" t="str">
            <v>L75 Deinze Aanpassen MS-post</v>
          </cell>
          <cell r="K422" t="str">
            <v>IP-011134.01.01.M01</v>
          </cell>
        </row>
        <row r="423">
          <cell r="A423" t="str">
            <v>19/392</v>
          </cell>
          <cell r="D423" t="str">
            <v>L75 Deinze 1kV verdeelpost</v>
          </cell>
          <cell r="K423" t="str">
            <v>IP-011134.01.01.M01</v>
          </cell>
        </row>
        <row r="424">
          <cell r="A424" t="str">
            <v>19/298</v>
          </cell>
          <cell r="D424" t="str">
            <v>L73 Handzame Nieuwe MS-post</v>
          </cell>
          <cell r="K424" t="str">
            <v>IP-009795.02.01.M01</v>
          </cell>
        </row>
        <row r="425">
          <cell r="A425" t="str">
            <v>19/299</v>
          </cell>
          <cell r="D425" t="str">
            <v>L50 Merelbeke verlichting Station merelbeke</v>
          </cell>
          <cell r="K425" t="str">
            <v>IP-013097.01.01.M01</v>
          </cell>
        </row>
        <row r="426">
          <cell r="A426" t="str">
            <v>19/301</v>
          </cell>
          <cell r="D426" t="str">
            <v>Nieuw plan</v>
          </cell>
          <cell r="K426" t="str">
            <v>IP-008697.02.01.M01</v>
          </cell>
        </row>
        <row r="427">
          <cell r="A427" t="str">
            <v>19/302</v>
          </cell>
          <cell r="D427" t="str">
            <v>L59 Nieuw verdeelnet Rooster blok 13 (post A en B)</v>
          </cell>
          <cell r="K427" t="str">
            <v>Ip-011873.01.01.M01</v>
          </cell>
        </row>
        <row r="428">
          <cell r="A428" t="str">
            <v>19/303</v>
          </cell>
          <cell r="D428" t="str">
            <v>L50A Aalter Nieuwe keten rooster Aalter</v>
          </cell>
          <cell r="K428" t="str">
            <v>IP-011126.01.01.M01</v>
          </cell>
        </row>
        <row r="429">
          <cell r="A429" t="str">
            <v>19/304</v>
          </cell>
          <cell r="D429" t="str">
            <v>L216 Opmaak plan LGS</v>
          </cell>
          <cell r="K429" t="str">
            <v>IP-010791.01.01.M01</v>
          </cell>
        </row>
        <row r="430">
          <cell r="A430" t="str">
            <v>19/305</v>
          </cell>
          <cell r="D430" t="str">
            <v>L217 Opmaak plan LGS</v>
          </cell>
          <cell r="K430" t="str">
            <v>IP-011740.01.01.M01</v>
          </cell>
        </row>
        <row r="431">
          <cell r="A431" t="str">
            <v>19/307</v>
          </cell>
          <cell r="D431" t="str">
            <v>Brugge Ontwerpplan Y-Dudzele 002/1 fasering</v>
          </cell>
          <cell r="K431" t="str">
            <v>BT1212362.01/H020</v>
          </cell>
        </row>
        <row r="432">
          <cell r="A432" t="str">
            <v>19/308</v>
          </cell>
          <cell r="D432" t="str">
            <v>L50A Aalter Tractieonderstation ALSB (vvdk)</v>
          </cell>
          <cell r="K432" t="str">
            <v>IP-011127.01.01.M01</v>
          </cell>
        </row>
        <row r="433">
          <cell r="A433" t="str">
            <v>19/309</v>
          </cell>
          <cell r="D433" t="str">
            <v>L60 Opwijk Vernieuwen OW27 naar Strail</v>
          </cell>
          <cell r="K433" t="str">
            <v>IP-010909.01.04</v>
          </cell>
        </row>
        <row r="434">
          <cell r="A434" t="str">
            <v>19/310</v>
          </cell>
          <cell r="D434" t="str">
            <v>L53 Londerzeel Vernieuwen OW34 naar Strail</v>
          </cell>
          <cell r="K434" t="str">
            <v>IP-010162.01.01</v>
          </cell>
        </row>
        <row r="435">
          <cell r="A435" t="str">
            <v>19/311</v>
          </cell>
          <cell r="D435" t="str">
            <v>L53 Serskamp Vernieuwen OW76 naar Strail</v>
          </cell>
          <cell r="K435" t="str">
            <v>IP-010922.01.01</v>
          </cell>
        </row>
        <row r="436">
          <cell r="A436" t="str">
            <v>19/312</v>
          </cell>
          <cell r="D436" t="str">
            <v>L60 Asse Vernieuwen OW17 naar Strail</v>
          </cell>
          <cell r="K436" t="str">
            <v>IP-010909.01.01</v>
          </cell>
        </row>
        <row r="437">
          <cell r="A437" t="str">
            <v>19/313</v>
          </cell>
          <cell r="D437" t="str">
            <v>L60 Mollem Vernieuwen OW20 naar Strail</v>
          </cell>
          <cell r="K437" t="str">
            <v>IP-010909.01.03</v>
          </cell>
        </row>
        <row r="438">
          <cell r="A438" t="str">
            <v>19/323</v>
          </cell>
          <cell r="D438" t="str">
            <v>L50 Schellebelle Nieuw plan 8-FCB-16/02 (EPLAN)</v>
          </cell>
          <cell r="K438" t="str">
            <v>IP-010442.01.01.M01</v>
          </cell>
        </row>
        <row r="439">
          <cell r="A439" t="str">
            <v>19/331</v>
          </cell>
          <cell r="D439" t="str">
            <v>L58 Gent-Zeehaven 1kV keet VCAW E1.1</v>
          </cell>
          <cell r="K439" t="str">
            <v>IP-005190.01.02.M01</v>
          </cell>
        </row>
        <row r="440">
          <cell r="A440" t="str">
            <v>19/332</v>
          </cell>
          <cell r="D440" t="str">
            <v>Afstandsbediening Reeks 25 9-FKP,FRL,FTS,LK,FGSP,FMB (EPLAN) + Afschaffen oude plans</v>
          </cell>
          <cell r="K440" t="str">
            <v>IP-010442.01.01.M01</v>
          </cell>
        </row>
        <row r="441">
          <cell r="A441" t="str">
            <v>19/336</v>
          </cell>
          <cell r="D441" t="str">
            <v>L66 L66: keet OW81-82-96 Verwarming bewakingsgedeelte</v>
          </cell>
          <cell r="K441" t="str">
            <v>IP-013250.01.01.M01</v>
          </cell>
        </row>
        <row r="442">
          <cell r="A442" t="str">
            <v>19/337</v>
          </cell>
          <cell r="D442" t="str">
            <v>L122 keet OW56-61 Verwarming bewakingsgedeelte</v>
          </cell>
          <cell r="K442" t="str">
            <v>IP-010624.01.01.M01</v>
          </cell>
        </row>
        <row r="443">
          <cell r="A443" t="str">
            <v>19/341</v>
          </cell>
          <cell r="D443" t="str">
            <v>L50 Ternat Afschaffen OW31</v>
          </cell>
          <cell r="K443" t="str">
            <v>IP-012197.01.01.M01</v>
          </cell>
        </row>
        <row r="444">
          <cell r="A444" t="str">
            <v>19/342</v>
          </cell>
          <cell r="D444" t="str">
            <v>L55A Gent-Zeehaven Opmaak inr,-en montageplan bundel Zandeken</v>
          </cell>
          <cell r="K444" t="str">
            <v>IP-009344.01.01.M01</v>
          </cell>
        </row>
        <row r="445">
          <cell r="A445" t="str">
            <v>19/344</v>
          </cell>
          <cell r="D445" t="str">
            <v>L216 Optimalisatie tracé, LP - integratie bestaande / af te schaffen OW</v>
          </cell>
          <cell r="K445" t="str">
            <v>IP-010791.01.01.M01</v>
          </cell>
        </row>
        <row r="446">
          <cell r="A446" t="str">
            <v>19/345</v>
          </cell>
          <cell r="D446" t="str">
            <v>L217 Optimalisatie tracé, LP - integratie bestaande / af te schaffen OW</v>
          </cell>
          <cell r="K446" t="str">
            <v>IP-011740.01.02.M01</v>
          </cell>
        </row>
        <row r="447">
          <cell r="A447" t="str">
            <v>19/346</v>
          </cell>
          <cell r="D447" t="str">
            <v>L66 Opmaken plans LGS L66 Sp A&amp;B tussen Brugge en Lichtervelde</v>
          </cell>
          <cell r="K447" t="str">
            <v>IP-010911.01.01.M01</v>
          </cell>
        </row>
        <row r="448">
          <cell r="A448" t="str">
            <v>19/347</v>
          </cell>
          <cell r="D448" t="str">
            <v>L89 Zottegem Nieuw plan 7-FZT-02/02</v>
          </cell>
          <cell r="K448" t="str">
            <v>4217/527094</v>
          </cell>
        </row>
        <row r="449">
          <cell r="A449" t="str">
            <v>19/349</v>
          </cell>
          <cell r="D449" t="str">
            <v>L53 Opmaken plans LGS L53 Sp A&amp;B Londerzeel tot Kanaal Brussel-Willebroek</v>
          </cell>
          <cell r="K449" t="str">
            <v>IP-010867.01.02.M01</v>
          </cell>
        </row>
        <row r="450">
          <cell r="A450" t="str">
            <v>19/353</v>
          </cell>
          <cell r="D450" t="str">
            <v>L51B Dudzele Nieuw Eplan voor 7-FDU-07/01, 07/02, 07/07, 07/08, 07/09 en 07/10</v>
          </cell>
          <cell r="K450" t="str">
            <v>IP-010447.01.01.M01</v>
          </cell>
        </row>
        <row r="451">
          <cell r="A451" t="str">
            <v>19/356</v>
          </cell>
          <cell r="D451" t="str">
            <v>Zottegem Tractieonderstation Zottegem</v>
          </cell>
          <cell r="K451" t="str">
            <v>IP-004379.01.27.M01</v>
          </cell>
        </row>
        <row r="452">
          <cell r="A452" t="str">
            <v>19/357</v>
          </cell>
          <cell r="D452" t="str">
            <v>Dudzele Tractieonderstation Dudzele</v>
          </cell>
          <cell r="K452" t="str">
            <v>IP-004379.01.28.M01</v>
          </cell>
        </row>
        <row r="453">
          <cell r="A453" t="str">
            <v>19/358</v>
          </cell>
          <cell r="D453" t="str">
            <v>Dudzele Tractieonderstation Aalter</v>
          </cell>
          <cell r="K453" t="str">
            <v>IP-004379.01.12.M01</v>
          </cell>
        </row>
        <row r="454">
          <cell r="A454" t="str">
            <v>19/362</v>
          </cell>
          <cell r="D454" t="str">
            <v>L73 Aanpassen plans 3-0730-35/MX-01-xxxxxx</v>
          </cell>
          <cell r="K454" t="str">
            <v>2223/526201</v>
          </cell>
        </row>
        <row r="455">
          <cell r="A455" t="str">
            <v>19/363</v>
          </cell>
          <cell r="D455" t="str">
            <v>L73 Aanpassen plans 3-0730-35/MX-02-xxxxxx</v>
          </cell>
          <cell r="K455" t="str">
            <v>2223/526200</v>
          </cell>
        </row>
        <row r="456">
          <cell r="A456" t="str">
            <v>19/364</v>
          </cell>
          <cell r="D456" t="str">
            <v>L89 Oudenaarde VCAW Zonekast 1, 2 en 5 (13)</v>
          </cell>
          <cell r="K456" t="str">
            <v>2144/510181</v>
          </cell>
        </row>
        <row r="457">
          <cell r="A457" t="str">
            <v>19/389</v>
          </cell>
          <cell r="D457" t="str">
            <v>L50A Oostende Blokpost 8 : Middenspanningspost</v>
          </cell>
        </row>
        <row r="458">
          <cell r="A458" t="str">
            <v>19/390</v>
          </cell>
          <cell r="D458" t="str">
            <v>L89 Oudenaarde VCAW Zonekast 1, 2 en 5 verwijderen (3)</v>
          </cell>
          <cell r="K458" t="str">
            <v>2144/510181</v>
          </cell>
        </row>
        <row r="459">
          <cell r="A459" t="str">
            <v>19/391</v>
          </cell>
          <cell r="D459" t="str">
            <v>L75 Waregem 1kV verdeelpost</v>
          </cell>
          <cell r="K459" t="str">
            <v>IP-011133.01.01.M01</v>
          </cell>
        </row>
        <row r="460">
          <cell r="A460" t="str">
            <v>19/396</v>
          </cell>
          <cell r="D460" t="str">
            <v>L89 Zottegem Aanpassen piketteringsplannen 6-89-1/19, 20 en 21</v>
          </cell>
          <cell r="K460" t="str">
            <v>AIP009157.01/H010</v>
          </cell>
        </row>
        <row r="461">
          <cell r="A461" t="str">
            <v>19/400</v>
          </cell>
          <cell r="D461" t="str">
            <v>L69 Vernieuwen OW'n 87,94,97 in Strail</v>
          </cell>
          <cell r="K461" t="str">
            <v>5231-502691</v>
          </cell>
        </row>
        <row r="462">
          <cell r="A462" t="str">
            <v>19/401</v>
          </cell>
          <cell r="D462" t="str">
            <v>L86 Gavere-Asper Nieuwe MS-post 160kVA (kopie van Beveren 160kVA!!!!)</v>
          </cell>
          <cell r="K462" t="str">
            <v>IP-011153.01.01.M01</v>
          </cell>
        </row>
        <row r="463">
          <cell r="A463" t="str">
            <v>19/405</v>
          </cell>
          <cell r="D463" t="str">
            <v>L60 Asse Vernieuwen OW 8 naar Strail</v>
          </cell>
          <cell r="K463" t="str">
            <v>IP-013670.01.01.M01</v>
          </cell>
        </row>
        <row r="464">
          <cell r="A464" t="str">
            <v>19/406</v>
          </cell>
          <cell r="D464" t="str">
            <v>L60 Asse Vernieuwen OW 9 naar Strail</v>
          </cell>
          <cell r="K464" t="str">
            <v>IP-013671.01.01.M01</v>
          </cell>
        </row>
        <row r="465">
          <cell r="A465" t="str">
            <v>19/407</v>
          </cell>
          <cell r="D465" t="str">
            <v>L51A Zwankendamme Aanpassen piketteringsplannen 6-51A-1/104, 105, 106 en 107</v>
          </cell>
          <cell r="K465" t="str">
            <v>BT1212471.02/H010</v>
          </cell>
        </row>
        <row r="466">
          <cell r="A466" t="str">
            <v>19/408</v>
          </cell>
          <cell r="D466" t="str">
            <v>L66 Lendelede Vernieuwen OW113 in Strail</v>
          </cell>
          <cell r="K466" t="str">
            <v>IP-012309.01.01.M01</v>
          </cell>
        </row>
        <row r="467">
          <cell r="A467" t="str">
            <v>19/409</v>
          </cell>
          <cell r="D467" t="str">
            <v>L66 Kortrijk Vernieuwen OW120 in Strail</v>
          </cell>
          <cell r="K467" t="str">
            <v>IP-012313.01.01M01</v>
          </cell>
        </row>
        <row r="468">
          <cell r="A468" t="str">
            <v>19/410</v>
          </cell>
          <cell r="D468" t="str">
            <v>L66 Kortrijk Vernieuwen OW123 in Strail</v>
          </cell>
          <cell r="K468" t="str">
            <v>IP-012310.01.01.M01</v>
          </cell>
        </row>
        <row r="469">
          <cell r="A469" t="str">
            <v>19/416</v>
          </cell>
          <cell r="D469" t="str">
            <v>L90 Geraardsbergen Aanpassen plans 7-FGRA-01/01,07/04,09/01,09/03,09/06,15/01,15/03</v>
          </cell>
          <cell r="K469" t="str">
            <v>4002301/0070</v>
          </cell>
        </row>
        <row r="470">
          <cell r="A470" t="str">
            <v>19/417</v>
          </cell>
          <cell r="D470" t="str">
            <v>L51A Zeebrugge Aanpassen piketteringsplannen 6-51A-1/106 blad4 OW94b L51A</v>
          </cell>
          <cell r="K470" t="str">
            <v>BT1212471.02/H010</v>
          </cell>
        </row>
        <row r="471">
          <cell r="A471" t="str">
            <v>19/418</v>
          </cell>
          <cell r="D471" t="str">
            <v>L75 Lauwe Vernieuwen dwls+ziften ballast spB km44,500 tot km51,000 en spA sanering ex-perronspoor Lauwe</v>
          </cell>
          <cell r="K471" t="str">
            <v>IP-010872.01.01.M01</v>
          </cell>
        </row>
        <row r="472">
          <cell r="A472" t="str">
            <v>19/422</v>
          </cell>
          <cell r="D472" t="str">
            <v>Aanpassen basisschets 3131, 3121, 3123</v>
          </cell>
          <cell r="K472" t="str">
            <v>IP-011394.01.01.M01</v>
          </cell>
        </row>
        <row r="473">
          <cell r="A473" t="str">
            <v>19/423</v>
          </cell>
          <cell r="D473" t="str">
            <v>L50 Ternat VCAW aanpassen plans 3-FTN-,,,</v>
          </cell>
          <cell r="K473" t="str">
            <v>2144/501921</v>
          </cell>
        </row>
        <row r="474">
          <cell r="A474" t="str">
            <v>19/424</v>
          </cell>
          <cell r="D474" t="str">
            <v>L50 Schellebelle Aanpassen plans 3-FCB-32/03-01, 3-S2-10/1, 3-50-13/10</v>
          </cell>
          <cell r="K474" t="str">
            <v>2111/524592</v>
          </cell>
        </row>
        <row r="475">
          <cell r="A475" t="str">
            <v>19/425</v>
          </cell>
          <cell r="D475" t="str">
            <v>L50 Asse Aanpassen plans 3-LAS-32/03-01</v>
          </cell>
          <cell r="K475" t="str">
            <v>2111/524529</v>
          </cell>
        </row>
        <row r="476">
          <cell r="A476" t="str">
            <v>19/427</v>
          </cell>
          <cell r="D476" t="str">
            <v>L50 Dendermonde VCAW aanpassen plans 3-FDD-37/,,,</v>
          </cell>
          <cell r="K476" t="str">
            <v>2144/510023</v>
          </cell>
        </row>
        <row r="477">
          <cell r="A477" t="str">
            <v>19/428</v>
          </cell>
          <cell r="D477" t="str">
            <v>L86 Gavere-Asper Nieuwe MS-post 160kVA</v>
          </cell>
          <cell r="K477" t="str">
            <v>IP-011153.01.01.M01</v>
          </cell>
        </row>
        <row r="478">
          <cell r="A478" t="str">
            <v>19/432</v>
          </cell>
          <cell r="D478" t="str">
            <v>Aanpassen BAS 3111-001</v>
          </cell>
          <cell r="K478" t="str">
            <v>5221/510017</v>
          </cell>
        </row>
        <row r="479">
          <cell r="A479" t="str">
            <v>19/433</v>
          </cell>
          <cell r="D479" t="str">
            <v>Aanpassen BAS 3122-001</v>
          </cell>
          <cell r="K479" t="str">
            <v>5221/510019</v>
          </cell>
        </row>
        <row r="480">
          <cell r="A480" t="str">
            <v>19/436</v>
          </cell>
          <cell r="D480" t="str">
            <v>L51A Aanpassen plans 13-0511-35/FDU05-LZR03-xxxxxx</v>
          </cell>
          <cell r="K480" t="str">
            <v>IP-000299.04.01.M01</v>
          </cell>
        </row>
        <row r="481">
          <cell r="A481" t="str">
            <v>19/437</v>
          </cell>
          <cell r="D481" t="str">
            <v>L50A Oostkamp Nieuwe MS-post Stuivenberg</v>
          </cell>
          <cell r="K481" t="str">
            <v>BT1206317.01</v>
          </cell>
        </row>
        <row r="482">
          <cell r="A482" t="str">
            <v>19/438</v>
          </cell>
          <cell r="D482" t="str">
            <v>L66 Izegem Idealiseren tracé,LP sporen, Opmaak montagepl,OW98 in Strail</v>
          </cell>
          <cell r="K482" t="str">
            <v>IP-010142.01.01.M01</v>
          </cell>
        </row>
        <row r="483">
          <cell r="A483" t="str">
            <v>19/439</v>
          </cell>
          <cell r="D483" t="str">
            <v>L53 Dendermonde Revisie05 6-0-4/7 (id 26.11.2019 om 05u00)</v>
          </cell>
          <cell r="K483" t="str">
            <v>IP-010856.01.02.M01</v>
          </cell>
        </row>
        <row r="484">
          <cell r="A484" t="str">
            <v>19/440</v>
          </cell>
          <cell r="D484" t="str">
            <v>L51A Aanpassingen 3-0511-35/LZR03-106105</v>
          </cell>
          <cell r="K484" t="str">
            <v>IP-000299.04.01.M01</v>
          </cell>
        </row>
        <row r="485">
          <cell r="A485" t="str">
            <v>19/441</v>
          </cell>
          <cell r="D485" t="str">
            <v>cursus annotativiteit</v>
          </cell>
          <cell r="K485" t="str">
            <v>800660/11300</v>
          </cell>
        </row>
        <row r="486">
          <cell r="A486" t="str">
            <v>19/442</v>
          </cell>
          <cell r="D486" t="str">
            <v>L204/55 Gent Zeehaven Algemene werken</v>
          </cell>
          <cell r="K486" t="str">
            <v>9000000</v>
          </cell>
        </row>
        <row r="487">
          <cell r="A487" t="str">
            <v>19/443</v>
          </cell>
          <cell r="D487" t="str">
            <v>L69 Menen VCAW Menen</v>
          </cell>
          <cell r="K487" t="str">
            <v>IP-013674.01.01.M01</v>
          </cell>
        </row>
        <row r="488">
          <cell r="A488" t="str">
            <v>19/446</v>
          </cell>
          <cell r="D488" t="str">
            <v>L50A Gent-Sint-Pieters Revisie31 6-0-4/1 (id 18.11.2019 om 23u30)</v>
          </cell>
          <cell r="K488" t="str">
            <v>BT1368470.01/H020</v>
          </cell>
        </row>
        <row r="489">
          <cell r="A489" t="str">
            <v>19/447</v>
          </cell>
          <cell r="D489" t="str">
            <v>FGZH Groene Banaan Uittek, geidealiseerd tracé 3 G-sporen; G16, G17, G19</v>
          </cell>
          <cell r="K489" t="str">
            <v>5213/510527</v>
          </cell>
        </row>
        <row r="490">
          <cell r="A490" t="str">
            <v>19/452</v>
          </cell>
          <cell r="D490" t="str">
            <v>L89 Oudenaarde Project Aanpassen plans 17-FDN-01/01, 07/04, 09/01, 09/03 en 09/06</v>
          </cell>
          <cell r="K490" t="str">
            <v>4002300/0070</v>
          </cell>
        </row>
        <row r="491">
          <cell r="A491" t="str">
            <v>19/459</v>
          </cell>
          <cell r="D491" t="str">
            <v>L59 Sint-Niklaas-Oost Opmaken INR, plan bundel Sint-Niklaas-Oost</v>
          </cell>
          <cell r="K491" t="str">
            <v>IP-005276.01.01.M01</v>
          </cell>
        </row>
        <row r="492">
          <cell r="A492" t="str">
            <v>19/460</v>
          </cell>
          <cell r="D492" t="str">
            <v>L122 Geraardsbergen Opmaken INR,plan Bundel Ezelsberg</v>
          </cell>
          <cell r="K492" t="str">
            <v>IP-010857.01.01.M01</v>
          </cell>
        </row>
        <row r="493">
          <cell r="A493" t="str">
            <v>19/461</v>
          </cell>
          <cell r="D493" t="str">
            <v>L66 Zedelgem Aanpassen piketteringsplannen 6-66-1/9 en 10 (Zedelgem)</v>
          </cell>
          <cell r="K493" t="str">
            <v>BT0783A08.01/H020</v>
          </cell>
        </row>
        <row r="494">
          <cell r="A494" t="str">
            <v>19/463</v>
          </cell>
          <cell r="D494" t="str">
            <v>L66 Kuurne Vernieuwen OW118 in Strail</v>
          </cell>
          <cell r="K494" t="str">
            <v>5231 502671</v>
          </cell>
        </row>
        <row r="495">
          <cell r="A495" t="str">
            <v>19/464</v>
          </cell>
          <cell r="D495" t="str">
            <v>L50 Merelbeke Aanpassingen LSB Merelbeke 3-FKR-32/03-01</v>
          </cell>
          <cell r="K495" t="str">
            <v>2110/524532</v>
          </cell>
        </row>
        <row r="496">
          <cell r="A496" t="str">
            <v>19/467</v>
          </cell>
          <cell r="D496" t="str">
            <v>L59 St-Niklaas Nieuw plan 1kV-post</v>
          </cell>
          <cell r="K496" t="str">
            <v>CIC-011150.01HC54</v>
          </cell>
        </row>
        <row r="497">
          <cell r="A497" t="str">
            <v>19/479</v>
          </cell>
          <cell r="D497" t="str">
            <v>L50A Gent-Sint-Pieters Revisie32 6-0-4/1 (id 08.12.2019 om 04u00)</v>
          </cell>
          <cell r="K497" t="str">
            <v>BT1368470.01/H020</v>
          </cell>
        </row>
        <row r="498">
          <cell r="A498" t="str">
            <v>19/480</v>
          </cell>
          <cell r="D498" t="str">
            <v>L75 Kortrijk Tracé van de 1kV kabels tss Kortrijk Driehoek en B3 met de PLP keten</v>
          </cell>
          <cell r="K498" t="str">
            <v>2211/524261</v>
          </cell>
        </row>
        <row r="499">
          <cell r="A499" t="str">
            <v>19/481</v>
          </cell>
          <cell r="D499" t="str">
            <v>L75 Kortijk Aanpassen 1kV-post Driehoek</v>
          </cell>
          <cell r="K499" t="str">
            <v>2222/525318</v>
          </cell>
        </row>
        <row r="500">
          <cell r="A500" t="str">
            <v>19/482</v>
          </cell>
          <cell r="D500" t="str">
            <v>L75 Kortrijk Aanpassen MS-post TRP-FC-Marke-Goederenloods</v>
          </cell>
          <cell r="K500" t="str">
            <v>2211/524635</v>
          </cell>
        </row>
        <row r="501">
          <cell r="A501" t="str">
            <v>19/483</v>
          </cell>
          <cell r="D501" t="str">
            <v>L66 Torhout Aanpassen ALSB A1 TRP-FRT-Torhout</v>
          </cell>
          <cell r="K501" t="str">
            <v>2211/524461</v>
          </cell>
        </row>
        <row r="502">
          <cell r="A502" t="str">
            <v>19/484</v>
          </cell>
          <cell r="D502" t="str">
            <v>L73 Koksijde Aanpassen Verdeelpost 1kV</v>
          </cell>
          <cell r="K502" t="str">
            <v>2222/525092</v>
          </cell>
        </row>
        <row r="503">
          <cell r="A503" t="str">
            <v>19/485</v>
          </cell>
          <cell r="D503" t="str">
            <v>L73 Lichtervelde Aanpassen Lokaal VVDK ALSB</v>
          </cell>
          <cell r="K503" t="str">
            <v>2222/525092</v>
          </cell>
        </row>
        <row r="504">
          <cell r="A504" t="str">
            <v>19/486</v>
          </cell>
          <cell r="D504" t="str">
            <v>L73 plan KW-073-083.3-084.102-002(PDW)</v>
          </cell>
          <cell r="K504" t="str">
            <v xml:space="preserve"> </v>
          </cell>
        </row>
        <row r="505">
          <cell r="A505" t="str">
            <v>19/490</v>
          </cell>
          <cell r="D505" t="str">
            <v>L50 Ledeberg Project Alle plans aanpassen 18-LDBG-*/*</v>
          </cell>
          <cell r="K505" t="str">
            <v>4001602/0070</v>
          </cell>
        </row>
        <row r="506">
          <cell r="A506" t="str">
            <v>19/497</v>
          </cell>
          <cell r="D506" t="str">
            <v>Studieplan 02 Goederenkoer 'Lokeren'</v>
          </cell>
          <cell r="K506" t="str">
            <v>BT0221331.01/H10</v>
          </cell>
        </row>
        <row r="507">
          <cell r="A507" t="str">
            <v>19/507</v>
          </cell>
          <cell r="D507" t="str">
            <v>L51 Aanpassen piketteringsplannen 6-51-1/97, 98, 99 + Allerlei</v>
          </cell>
          <cell r="K507" t="str">
            <v>4002002/0020</v>
          </cell>
        </row>
        <row r="508">
          <cell r="A508" t="str">
            <v>19/512</v>
          </cell>
          <cell r="D508" t="str">
            <v>Indienststeling TFSK L89 Anzegem-Oudenaarde: schema vh verdeelnet</v>
          </cell>
          <cell r="K508" t="str">
            <v>IP-009446.01.02.M01</v>
          </cell>
        </row>
        <row r="509">
          <cell r="A509" t="str">
            <v>19/514</v>
          </cell>
          <cell r="D509" t="str">
            <v>L66/1 Y-Leiebrug Revisie07 6-0-4/10 (id 03.11.2019 om 16u00)</v>
          </cell>
          <cell r="K509" t="str">
            <v>IP-010133.01.02.M01</v>
          </cell>
        </row>
        <row r="510">
          <cell r="A510" t="str">
            <v>19/519</v>
          </cell>
          <cell r="D510" t="str">
            <v>L58 Sleidinge uittekenen scenario's ongelijkgrondse kruising Sleidinge</v>
          </cell>
          <cell r="K510" t="str">
            <v>IP-013161.01.01.M01</v>
          </cell>
        </row>
        <row r="511">
          <cell r="A511" t="str">
            <v>19/520</v>
          </cell>
          <cell r="D511" t="str">
            <v>L66 Torhout afschaffen buurtweg , OW50 Leenstraat</v>
          </cell>
          <cell r="K511" t="str">
            <v>11300/6401</v>
          </cell>
        </row>
        <row r="512">
          <cell r="A512" t="str">
            <v>19/560</v>
          </cell>
          <cell r="D512" t="str">
            <v>L123 Vernieuwen OW35 en OW36 in STRAIL</v>
          </cell>
          <cell r="K512" t="str">
            <v>IP-013770.01.01.M01</v>
          </cell>
        </row>
        <row r="513">
          <cell r="A513" t="str">
            <v>19/561</v>
          </cell>
          <cell r="D513" t="str">
            <v>L53 Dendermonde Verlengen perrons in het station Dendermonde</v>
          </cell>
          <cell r="K513" t="str">
            <v>IP-013955.01.01.M01</v>
          </cell>
        </row>
        <row r="514">
          <cell r="A514" t="str">
            <v>19/564</v>
          </cell>
          <cell r="D514" t="str">
            <v>L58 Nieuwe keet OW 45</v>
          </cell>
          <cell r="K514" t="str">
            <v>IP-011788.01.01.M01</v>
          </cell>
        </row>
        <row r="515">
          <cell r="A515" t="str">
            <v>19/565</v>
          </cell>
          <cell r="D515" t="str">
            <v>L50A Nieuw plan 3-0503-35/FSD07-02-106180</v>
          </cell>
        </row>
        <row r="516">
          <cell r="A516" t="str">
            <v>19/566</v>
          </cell>
          <cell r="D516" t="str">
            <v>L50C Lombeek Omzetten plans naar Infrabel plan Weegbrug</v>
          </cell>
          <cell r="K516" t="str">
            <v>2142/5022165</v>
          </cell>
        </row>
        <row r="517">
          <cell r="A517" t="str">
            <v>19/567</v>
          </cell>
          <cell r="D517" t="str">
            <v>L50A Brugge Aanpassingen</v>
          </cell>
          <cell r="K517" t="str">
            <v>2141/510816</v>
          </cell>
        </row>
        <row r="518">
          <cell r="A518" t="str">
            <v>19/568</v>
          </cell>
          <cell r="D518" t="str">
            <v>L50 Merelbeke Bundelverlichting</v>
          </cell>
        </row>
        <row r="519">
          <cell r="A519" t="str">
            <v>19/569</v>
          </cell>
          <cell r="D519" t="str">
            <v>L73 De Panne Bundelverlichting</v>
          </cell>
        </row>
        <row r="520">
          <cell r="A520" t="str">
            <v>19/570</v>
          </cell>
          <cell r="D520" t="str">
            <v>L72 Lichtervelde Bundelverlichting</v>
          </cell>
        </row>
        <row r="521">
          <cell r="A521" t="str">
            <v>19/571</v>
          </cell>
          <cell r="D521" t="str">
            <v>Cursus lijnverdeling ETCS</v>
          </cell>
          <cell r="K521" t="str">
            <v>2224/526196</v>
          </cell>
        </row>
        <row r="522">
          <cell r="A522" t="str">
            <v>19/572</v>
          </cell>
          <cell r="D522" t="str">
            <v>L59 Beervelde Beerveldsebaan</v>
          </cell>
          <cell r="K522" t="str">
            <v>BT0143345.01/H010</v>
          </cell>
        </row>
        <row r="523">
          <cell r="A523" t="str">
            <v>19/573</v>
          </cell>
          <cell r="D523" t="str">
            <v>L60 Asse</v>
          </cell>
          <cell r="K523" t="str">
            <v>IP-011143.01.01.M01</v>
          </cell>
        </row>
        <row r="524">
          <cell r="A524" t="str">
            <v>19/574</v>
          </cell>
          <cell r="D524" t="str">
            <v>L50 Erembodegem ONB over de Dender</v>
          </cell>
          <cell r="K524" t="str">
            <v>IP001346.01.01.M01</v>
          </cell>
        </row>
        <row r="525">
          <cell r="A525" t="str">
            <v>19/575</v>
          </cell>
          <cell r="D525" t="str">
            <v>uittesten / studie programma's</v>
          </cell>
          <cell r="K525" t="str">
            <v>90000000</v>
          </cell>
        </row>
        <row r="526">
          <cell r="A526" t="str">
            <v>19/576</v>
          </cell>
          <cell r="D526" t="str">
            <v>L86 OW48-52-55-61 vernieuwing naar STRAIL</v>
          </cell>
          <cell r="K526" t="str">
            <v>IP-010910.01.02.M01</v>
          </cell>
        </row>
        <row r="527">
          <cell r="A527" t="str">
            <v>19/577</v>
          </cell>
          <cell r="D527" t="str">
            <v>Aanpassen BAS 3111</v>
          </cell>
          <cell r="K527" t="str">
            <v>5224/510023</v>
          </cell>
        </row>
        <row r="528">
          <cell r="A528" t="str">
            <v>20/7</v>
          </cell>
          <cell r="D528" t="str">
            <v>L50A Beernem Revisie16 6-0-4/4 (id 01.02.2020 om 02u00)</v>
          </cell>
          <cell r="K528" t="str">
            <v>BT1206370.01/H020</v>
          </cell>
        </row>
        <row r="529">
          <cell r="A529" t="str">
            <v>20/8</v>
          </cell>
          <cell r="D529" t="str">
            <v>L75 Kortrijk Revisie20 6-0-4/6 (id 01.02.2020 om 02u00)</v>
          </cell>
          <cell r="K529" t="str">
            <v>IP-004906.01.02.M01</v>
          </cell>
        </row>
        <row r="530">
          <cell r="A530" t="str">
            <v>20/10</v>
          </cell>
          <cell r="D530" t="str">
            <v>L66ZedelgemNieuw plan 8-LZM-07/04 (EPLAN)</v>
          </cell>
          <cell r="K530" t="str">
            <v>IP-010447.01.01.M01</v>
          </cell>
        </row>
        <row r="531">
          <cell r="A531" t="str">
            <v>20/12</v>
          </cell>
          <cell r="D531" t="str">
            <v>Omgevingsvergunning Knokke Heist, Oostakker, Waregem</v>
          </cell>
          <cell r="K531" t="str">
            <v>IP-010446.01.01.M01</v>
          </cell>
        </row>
        <row r="532">
          <cell r="A532" t="str">
            <v>20/13</v>
          </cell>
          <cell r="D532" t="str">
            <v>Aanpassen BAS 3332</v>
          </cell>
          <cell r="K532" t="str">
            <v>5110/510025</v>
          </cell>
        </row>
        <row r="533">
          <cell r="A533" t="str">
            <v>20/14</v>
          </cell>
          <cell r="D533" t="str">
            <v>Aanpassen BAS 3331</v>
          </cell>
          <cell r="K533" t="str">
            <v>5110/510024</v>
          </cell>
        </row>
        <row r="534">
          <cell r="A534" t="str">
            <v>20/15</v>
          </cell>
          <cell r="D534" t="str">
            <v>L122 Zottegem Verlengen weg</v>
          </cell>
          <cell r="K534" t="str">
            <v>5211/510018</v>
          </cell>
        </row>
        <row r="535">
          <cell r="A535" t="str">
            <v>20/16</v>
          </cell>
          <cell r="D535" t="str">
            <v>L51B Dudzele Aanpassen plan 7-FDU-05/06</v>
          </cell>
          <cell r="K535" t="str">
            <v>4217/527115</v>
          </cell>
        </row>
        <row r="536">
          <cell r="A536" t="str">
            <v>20/18</v>
          </cell>
          <cell r="D536" t="str">
            <v xml:space="preserve">BrandprotocolNieuw plans 7-0-6/20, 7-0-6/21, 8-0-6/30, 8-0-6/31, 8-0-6/32 </v>
          </cell>
          <cell r="K536" t="str">
            <v>4002300/0070</v>
          </cell>
        </row>
        <row r="537">
          <cell r="A537" t="str">
            <v>20/19</v>
          </cell>
          <cell r="D537" t="str">
            <v>L89 Zottegem Aanpassen plans 7-FZT-05/01 tot 05/06 en 7-FZT-06/02</v>
          </cell>
          <cell r="K537" t="str">
            <v>IP-010447.01.01.M01</v>
          </cell>
        </row>
        <row r="538">
          <cell r="A538" t="str">
            <v>20/20</v>
          </cell>
          <cell r="D538" t="str">
            <v>L59 Sint-Niklaas Oost Aanp &amp; opmaken INRplan vertrekkende v plan TR-FSN-001-PRD-01</v>
          </cell>
          <cell r="K538" t="str">
            <v>4002616 H021</v>
          </cell>
        </row>
        <row r="539">
          <cell r="A539" t="str">
            <v>20/21</v>
          </cell>
          <cell r="D539" t="str">
            <v>L90 - 122 station Geraardsbergen Opmaken van INRplan</v>
          </cell>
          <cell r="K539" t="str">
            <v>IP-010794.01.01.M01</v>
          </cell>
        </row>
        <row r="540">
          <cell r="A540" t="str">
            <v>20/24</v>
          </cell>
          <cell r="D540" t="str">
            <v>L204 Gent-Zeehaven OW01 en OW01bis uittekenen + omgevingsvergunning</v>
          </cell>
          <cell r="K540" t="str">
            <v>504311/1210</v>
          </cell>
        </row>
        <row r="541">
          <cell r="A541" t="str">
            <v>20/26</v>
          </cell>
          <cell r="D541" t="str">
            <v>L51A Lissewege OW4 Vernieuwen OW4 in STRAIL</v>
          </cell>
          <cell r="K541" t="str">
            <v>IP-010848.01.01.M01</v>
          </cell>
        </row>
        <row r="542">
          <cell r="A542" t="str">
            <v>20/27</v>
          </cell>
          <cell r="D542" t="str">
            <v>L75 Station Kortrijk + Bundels Digitaliseren en hertekenen Pikettering (km 41 tot km 45)</v>
          </cell>
          <cell r="K542" t="str">
            <v>IP-004906.01.02.M01</v>
          </cell>
        </row>
        <row r="543">
          <cell r="A543" t="str">
            <v>20/29</v>
          </cell>
          <cell r="D543" t="str">
            <v>L73 Grammene Fietserstunnel</v>
          </cell>
          <cell r="K543" t="str">
            <v>IP-011772.01.01.M01</v>
          </cell>
        </row>
        <row r="544">
          <cell r="A544" t="str">
            <v>20/31</v>
          </cell>
          <cell r="D544" t="str">
            <v>L53 Kapelle op den Bos Revisie6 6-0-4/7 (id 20.04.2020 om 05u00)</v>
          </cell>
        </row>
        <row r="545">
          <cell r="A545" t="str">
            <v>20/32</v>
          </cell>
          <cell r="D545" t="str">
            <v>L50A Gent-Sint-Pieters Revisie33 6-0-4/1 (id 26.04.2020 om 04u30)</v>
          </cell>
          <cell r="K545" t="str">
            <v>BT1368470.01/H020</v>
          </cell>
        </row>
        <row r="546">
          <cell r="A546" t="str">
            <v>20/33</v>
          </cell>
          <cell r="D546" t="str">
            <v>CORONA</v>
          </cell>
          <cell r="K546" t="str">
            <v>90000000</v>
          </cell>
        </row>
        <row r="547">
          <cell r="A547" t="str">
            <v>20/34</v>
          </cell>
          <cell r="D547" t="str">
            <v>L89-L90 3 duikers</v>
          </cell>
          <cell r="K547" t="str">
            <v>IP-006621.01.01.M01</v>
          </cell>
        </row>
        <row r="548">
          <cell r="A548" t="str">
            <v>20/35</v>
          </cell>
          <cell r="D548" t="str">
            <v>Gent-Zeehaven Aanpassen BAS 3211-001</v>
          </cell>
          <cell r="K548" t="str">
            <v>5244/510822</v>
          </cell>
        </row>
        <row r="549">
          <cell r="A549" t="str">
            <v>20/36</v>
          </cell>
          <cell r="D549" t="str">
            <v>LCI MERELBEKE LCI Merelbeke_dakenplannen, levenslijnen</v>
          </cell>
          <cell r="K549" t="str">
            <v>IP-005911.01.24.M01</v>
          </cell>
        </row>
        <row r="550">
          <cell r="A550" t="str">
            <v>20/37</v>
          </cell>
          <cell r="D550" t="str">
            <v>LCI OOSTENDE LCI Oostende_dakenplannen, levenslijnen</v>
          </cell>
          <cell r="K550" t="str">
            <v>IP-005911.01.08.M01</v>
          </cell>
        </row>
        <row r="551">
          <cell r="A551" t="str">
            <v>20/38</v>
          </cell>
          <cell r="D551" t="str">
            <v>LCI LICHTERVELDE LCI Lichtervelde_dakenplannen, levenslijnen</v>
          </cell>
          <cell r="K551" t="str">
            <v>IP-005911.01.09.M01</v>
          </cell>
        </row>
        <row r="552">
          <cell r="A552" t="str">
            <v>20/39</v>
          </cell>
          <cell r="D552" t="str">
            <v>LCI DENDERMONDE LCI Dendermonde_dakenplannen, levenslijnen</v>
          </cell>
          <cell r="K552" t="str">
            <v>CIC005911.02/HC54</v>
          </cell>
        </row>
        <row r="553">
          <cell r="A553" t="str">
            <v>20/40</v>
          </cell>
          <cell r="D553" t="str">
            <v>LCI DDL LCI DDL_dakenplannen, levenslijnen</v>
          </cell>
          <cell r="K553" t="str">
            <v>IP-005911.01.20.M01</v>
          </cell>
        </row>
        <row r="554">
          <cell r="A554" t="str">
            <v>20/41</v>
          </cell>
          <cell r="D554" t="str">
            <v>LCI SINT NIKLAAS LCI Sint Niklaas_dakenplannen, levenslijnen</v>
          </cell>
          <cell r="K554" t="str">
            <v>IP-005911.01.21.M01</v>
          </cell>
        </row>
        <row r="555">
          <cell r="A555" t="str">
            <v>20/42</v>
          </cell>
          <cell r="D555" t="str">
            <v>LCI KORTRIJK LCI Kortrijk_dakenplannen, levenslijnen</v>
          </cell>
          <cell r="K555" t="str">
            <v>IP-005911.01.19.M01</v>
          </cell>
        </row>
        <row r="556">
          <cell r="A556" t="str">
            <v>20/43</v>
          </cell>
          <cell r="D556" t="str">
            <v>Magazijn GZH Magazijn GZH_dakenplannen, levenslijnen</v>
          </cell>
          <cell r="K556" t="str">
            <v>IP-005911.01.11.M01</v>
          </cell>
        </row>
        <row r="557">
          <cell r="A557" t="str">
            <v>20/44</v>
          </cell>
          <cell r="D557" t="str">
            <v>LCI GENT LCI Gent_dakenplannen, levenslijnen</v>
          </cell>
          <cell r="K557" t="str">
            <v>IP-004318.01.01.M01</v>
          </cell>
        </row>
        <row r="558">
          <cell r="A558" t="str">
            <v>20/45</v>
          </cell>
          <cell r="D558" t="str">
            <v>Lichtervelde Aanpassen BAS 3532 / 3533</v>
          </cell>
          <cell r="K558" t="str">
            <v>5225 502701/5225 502711/5225 502721</v>
          </cell>
        </row>
        <row r="559">
          <cell r="A559" t="str">
            <v>20/46</v>
          </cell>
          <cell r="D559" t="str">
            <v>L58 Asschout Evergem Vernieuwen OW31 naar STRAIL</v>
          </cell>
          <cell r="K559" t="str">
            <v>IP-013779.01.03.M01</v>
          </cell>
        </row>
        <row r="560">
          <cell r="A560" t="str">
            <v>20/47</v>
          </cell>
          <cell r="D560" t="str">
            <v>L50A Gent-Sint-Pieters Revisie34 6-0-4/1 (id 16.05.2020 om 04u30)</v>
          </cell>
          <cell r="K560" t="str">
            <v>BT1368470.01/H020</v>
          </cell>
        </row>
        <row r="561">
          <cell r="A561" t="str">
            <v>20/48</v>
          </cell>
          <cell r="D561" t="str">
            <v>L58 Wondelgem Vernieuwing OW17b naar STRAIL</v>
          </cell>
          <cell r="K561" t="str">
            <v>IP-013779.01.03.M01</v>
          </cell>
        </row>
        <row r="562">
          <cell r="A562" t="str">
            <v>20/49</v>
          </cell>
          <cell r="D562" t="str">
            <v>L55A bundel Langerbrugge Verduidelijking perceelsgrenzen L55A km15,450 tot km16,590</v>
          </cell>
          <cell r="K562" t="str">
            <v>5244/502441</v>
          </cell>
        </row>
        <row r="563">
          <cell r="A563" t="str">
            <v>20/50</v>
          </cell>
          <cell r="D563" t="str">
            <v>L89 Oudenaarde Project Aanpassen plan 17-FDN-01/01 en plans die nog volgen</v>
          </cell>
          <cell r="K563" t="str">
            <v>4002300/0070</v>
          </cell>
        </row>
        <row r="564">
          <cell r="A564" t="str">
            <v>20/51</v>
          </cell>
          <cell r="D564" t="str">
            <v>L90 Geraardsbergen Project Aanpassen plan 17-FGRA-01/01 en plans die nog volgen</v>
          </cell>
          <cell r="K564" t="str">
            <v>4002301/0070</v>
          </cell>
        </row>
        <row r="565">
          <cell r="A565" t="str">
            <v>20/52</v>
          </cell>
          <cell r="D565" t="str">
            <v>L66 Izegem Vernieuwen OW94 naar Harmelen</v>
          </cell>
          <cell r="K565" t="str">
            <v>IP-013216.01.01.M01</v>
          </cell>
        </row>
        <row r="566">
          <cell r="A566" t="str">
            <v>20/53</v>
          </cell>
          <cell r="D566" t="str">
            <v>L66 Izegem Vernieuwen OW96 naar Harmelen</v>
          </cell>
          <cell r="K566" t="str">
            <v>IP-013217.01.01.M01</v>
          </cell>
        </row>
        <row r="567">
          <cell r="A567" t="str">
            <v>20/55</v>
          </cell>
          <cell r="D567" t="str">
            <v>L89 Zottegem Aanpassen plan 7-FZT-11/12 en afschaffen plan 7-FZT-11/06</v>
          </cell>
          <cell r="K567" t="str">
            <v>IP-010447.01.01.M01</v>
          </cell>
        </row>
        <row r="568">
          <cell r="A568" t="str">
            <v>20/58</v>
          </cell>
          <cell r="D568" t="str">
            <v>L50A Aalter Revisie17 6-0-4/4 (id 12.06.2020 om 15u00)</v>
          </cell>
          <cell r="K568" t="str">
            <v xml:space="preserve">BT1206303.01/H020 </v>
          </cell>
        </row>
        <row r="569">
          <cell r="A569" t="str">
            <v>20/63</v>
          </cell>
          <cell r="D569" t="str">
            <v>L50 Denderleeuw Opmaken INR-plan herelectrificatie bundel M</v>
          </cell>
          <cell r="K569" t="str">
            <v>IP-014149.01.01.M01</v>
          </cell>
        </row>
        <row r="570">
          <cell r="A570" t="str">
            <v>20/62</v>
          </cell>
          <cell r="D570" t="str">
            <v>L50C Itterbeek Revisie35 6-0-4/1 (id 06.06.2020 om 04u00)</v>
          </cell>
          <cell r="K570" t="str">
            <v xml:space="preserve">BT0211330.01/H020 </v>
          </cell>
        </row>
        <row r="571">
          <cell r="A571" t="str">
            <v>20/64</v>
          </cell>
          <cell r="D571" t="str">
            <v>L66ZedelgemNieuw plan 8-LZM-07/05 (EPLAN)</v>
          </cell>
          <cell r="K571" t="str">
            <v>IP-010447.01.01.M01</v>
          </cell>
        </row>
        <row r="572">
          <cell r="A572" t="str">
            <v>20/65</v>
          </cell>
          <cell r="D572" t="str">
            <v>Zottegem,Oudenaarde,Geraardsber Opmaak nieuwe basisschetsen 3121-3123</v>
          </cell>
          <cell r="K572" t="str">
            <v>5221 510018</v>
          </cell>
        </row>
        <row r="573">
          <cell r="A573" t="str">
            <v>20/66</v>
          </cell>
          <cell r="D573" t="str">
            <v>L50A Y-Assels - Landegem - Aalter Invoegen 3 Nieuwe Pikettering projecten SN19 / 50AB / FML0 van CAP2 in L.50A (Km 54-70)</v>
          </cell>
          <cell r="K573" t="str">
            <v>4001944/H020</v>
          </cell>
        </row>
        <row r="574">
          <cell r="A574" t="str">
            <v>20/67</v>
          </cell>
          <cell r="D574" t="str">
            <v>L50 Aalst Aanpassing plan 6-50-1/29 (Aanpassing AT-Kabel) (Mail 20/05/20)</v>
          </cell>
          <cell r="K574" t="str">
            <v>AIP009157.01/H010</v>
          </cell>
        </row>
        <row r="575">
          <cell r="A575" t="str">
            <v>20/68</v>
          </cell>
          <cell r="D575" t="str">
            <v>L50 Aalst Vernieuwen wissels 16H, 17H, 18H</v>
          </cell>
          <cell r="K575" t="str">
            <v>IP-005290.01.02.M01</v>
          </cell>
        </row>
        <row r="576">
          <cell r="A576" t="str">
            <v>20/69</v>
          </cell>
          <cell r="D576" t="str">
            <v>L53 Kapelle op den Bos Revisie6 6-0-4/7 (id 27.07.2020 om 04u00)</v>
          </cell>
          <cell r="K576" t="str">
            <v>IP-011610.01.01.M01</v>
          </cell>
        </row>
        <row r="577">
          <cell r="A577" t="str">
            <v>20/70</v>
          </cell>
          <cell r="D577" t="str">
            <v>L50 Denderleeuw Revisie14 6-0-4/2 (id 31.07.2020 om 23u50)</v>
          </cell>
          <cell r="K577" t="str">
            <v>CIC012296.01/HC54</v>
          </cell>
        </row>
        <row r="578">
          <cell r="A578" t="str">
            <v>20/71</v>
          </cell>
          <cell r="D578" t="str">
            <v>L50 Denderleeuw Revisie36 6-0-4/1 (id 31.07.2020 om 23u50)</v>
          </cell>
          <cell r="K578" t="str">
            <v>CIC012296.01/HC54</v>
          </cell>
        </row>
        <row r="579">
          <cell r="A579" t="str">
            <v>20/72</v>
          </cell>
          <cell r="D579" t="str">
            <v>L66 Roeselare Vernieuwen bijsporen 5-6-5C te Roeselare</v>
          </cell>
          <cell r="K579" t="str">
            <v>IP-012880.01.01.M01</v>
          </cell>
        </row>
        <row r="580">
          <cell r="A580" t="str">
            <v>20/73</v>
          </cell>
          <cell r="D580" t="str">
            <v>L59 Sint-Niklaas Aanpassing plan 6-59-1/23 (Onleesbaar) (Mail 18/06/2020 KDS)</v>
          </cell>
          <cell r="K580" t="str">
            <v>AIP009157.01/H010</v>
          </cell>
        </row>
        <row r="581">
          <cell r="A581" t="str">
            <v>20/74</v>
          </cell>
          <cell r="D581" t="str">
            <v>L89 Tussen Oudenaarde - Y-Zandberg Up-to-date + hernummeren pik-plannen L89 (Mail 18/06/2020 KDS)</v>
          </cell>
          <cell r="K581" t="str">
            <v>AIP009157.01/H010</v>
          </cell>
        </row>
        <row r="582">
          <cell r="A582" t="str">
            <v>20/77</v>
          </cell>
          <cell r="D582" t="str">
            <v>L55 L55 OW33 Poelstraat Km27,603 Vernieuwen OW33 L55 naar STRAIL</v>
          </cell>
          <cell r="K582" t="str">
            <v>IP-014025.01.06.M01</v>
          </cell>
        </row>
        <row r="583">
          <cell r="A583" t="str">
            <v>20/78</v>
          </cell>
          <cell r="D583" t="str">
            <v>L66 kp 38,320 tot kp 45,200 Vernieuwen rails spoor A-B LGS</v>
          </cell>
          <cell r="K583" t="str">
            <v>IP-011419.01.01.M01</v>
          </cell>
        </row>
        <row r="584">
          <cell r="A584" t="str">
            <v>20/79</v>
          </cell>
          <cell r="D584" t="str">
            <v>L50 Denderleeuw Revisie15 6-0-4/2 (id 24.08.2020 om 04u00)</v>
          </cell>
          <cell r="K584" t="str">
            <v>CIC012296.01/HC54</v>
          </cell>
        </row>
        <row r="585">
          <cell r="A585" t="str">
            <v>20/80</v>
          </cell>
          <cell r="D585" t="str">
            <v>L50 Denderleeuw Revisie37 6-0-4/1 (id 24.08.2020 om 04u00)</v>
          </cell>
          <cell r="K585" t="str">
            <v>CIC012296.01/HC54</v>
          </cell>
        </row>
        <row r="586">
          <cell r="A586" t="str">
            <v>20/81</v>
          </cell>
          <cell r="D586" t="str">
            <v>L50 Aalst-Kerrebroek 6-50-1/30en31 Project FLSK &amp; FLSM integreren (Mail 14/07/2020 GA)</v>
          </cell>
          <cell r="K586" t="str">
            <v>4002002/0020</v>
          </cell>
        </row>
        <row r="587">
          <cell r="A587" t="str">
            <v>20/82</v>
          </cell>
          <cell r="D587" t="str">
            <v>FGZH Gent-Zeehaven Aanpassen BAS-3211-001</v>
          </cell>
          <cell r="K587" t="str">
            <v>5224 510527</v>
          </cell>
        </row>
        <row r="588">
          <cell r="A588" t="str">
            <v>20/84</v>
          </cell>
          <cell r="D588" t="str">
            <v>L58 Evergem L50 OW37 vernieuwen OW naar STRAIL</v>
          </cell>
          <cell r="K588" t="str">
            <v>IP-013779.01.01.M01</v>
          </cell>
        </row>
        <row r="589">
          <cell r="A589" t="str">
            <v>20/83</v>
          </cell>
          <cell r="D589" t="str">
            <v>L51B Bundel Pelikaan 6-51B-1/103 inritspoor bundel Pelikaan: OW6 (Mail 14/07/2020 GA)</v>
          </cell>
          <cell r="K589" t="str">
            <v>4002002/0020</v>
          </cell>
        </row>
        <row r="590">
          <cell r="A590" t="str">
            <v>20/86</v>
          </cell>
          <cell r="D590" t="str">
            <v>L75 Zandberg Aanpassen plan 8-ZNDB-07/02</v>
          </cell>
          <cell r="K590" t="str">
            <v>4217/527132</v>
          </cell>
        </row>
        <row r="591">
          <cell r="A591" t="str">
            <v>20/87</v>
          </cell>
          <cell r="D591" t="str">
            <v>L53/57 Dendermonde Sloopverginning</v>
          </cell>
          <cell r="K591" t="str">
            <v>67004682</v>
          </cell>
        </row>
        <row r="592">
          <cell r="A592" t="str">
            <v>20/88</v>
          </cell>
          <cell r="D592" t="str">
            <v>L50 Wetteren Sloopvergunning Victor Van Sandelaan 172</v>
          </cell>
          <cell r="K592" t="str">
            <v>67005080</v>
          </cell>
        </row>
        <row r="593">
          <cell r="A593" t="str">
            <v>20/89</v>
          </cell>
          <cell r="D593" t="str">
            <v>L54 Bornem L54 OW28A vernieuwen OW naar STRAIL</v>
          </cell>
          <cell r="K593" t="str">
            <v>IP-010913.01.01.M01</v>
          </cell>
        </row>
        <row r="594">
          <cell r="A594" t="str">
            <v>20/90</v>
          </cell>
          <cell r="D594" t="str">
            <v>L59 Gent-Dampoort, Gent-Zeehaven… 6-59-1/* Project FGDM &amp; FGZH &amp; … integreren (2 Mails 27/07/2020 GA)</v>
          </cell>
          <cell r="K594" t="str">
            <v>4002002/0020</v>
          </cell>
        </row>
        <row r="595">
          <cell r="A595" t="str">
            <v>20/91</v>
          </cell>
          <cell r="D595" t="str">
            <v>L89 Oudenaarde Revisie09 6-0-4/8 (id 20.09.2020 om 04u00) (SP wordt OS)</v>
          </cell>
          <cell r="K595" t="str">
            <v>4002300/0070</v>
          </cell>
        </row>
        <row r="596">
          <cell r="A596" t="str">
            <v>20/92</v>
          </cell>
          <cell r="D596" t="str">
            <v>L50A Gent-Sint-Pieters Revisie38 6-0-4/1 (id 27.09.2020 om 04u30) (Masterplan)</v>
          </cell>
          <cell r="K596" t="str">
            <v>BT1368470.01/H020</v>
          </cell>
        </row>
        <row r="597">
          <cell r="A597" t="str">
            <v>20/93</v>
          </cell>
          <cell r="D597" t="str">
            <v>L50A Aalter Revisie18 6-0-4/4 (id 30.09.2020 om 04u40) (Sp.IV buiten dienst)</v>
          </cell>
          <cell r="K597" t="str">
            <v>BT1206303.01/H020</v>
          </cell>
        </row>
        <row r="598">
          <cell r="A598" t="str">
            <v>20/94</v>
          </cell>
          <cell r="D598" t="str">
            <v>L54 Ruisbroek L54 OW18 vernieuwen OW naar STRAIL</v>
          </cell>
          <cell r="K598" t="str">
            <v>IP-010830.01.01.M01</v>
          </cell>
        </row>
        <row r="599">
          <cell r="A599" t="str">
            <v>20/95</v>
          </cell>
          <cell r="D599" t="str">
            <v>L54 Hingene L54 OW26 vernieuwen OW naar STRAIL</v>
          </cell>
          <cell r="K599" t="str">
            <v>IP-010837.01.02.M01</v>
          </cell>
        </row>
        <row r="600">
          <cell r="A600" t="str">
            <v>20/96</v>
          </cell>
          <cell r="D600" t="str">
            <v>L54 Temse L54 OW38 vernieuwen OW naar STRAIL</v>
          </cell>
          <cell r="K600" t="str">
            <v>IP-010163.01.03.M01</v>
          </cell>
        </row>
        <row r="601">
          <cell r="A601" t="str">
            <v>20/97</v>
          </cell>
          <cell r="D601" t="str">
            <v>L54 Mechelen L54 OW6 vernieuwen OW naar STRAIL</v>
          </cell>
          <cell r="K601" t="str">
            <v>IP-010830.01.01.M01</v>
          </cell>
        </row>
        <row r="602">
          <cell r="A602" t="str">
            <v>20/98</v>
          </cell>
          <cell r="D602" t="str">
            <v>FGZH Gent Zeehaven Verbinding L204 en Darsen</v>
          </cell>
          <cell r="K602" t="str">
            <v>5231 510198</v>
          </cell>
        </row>
        <row r="603">
          <cell r="A603" t="str">
            <v>20/99</v>
          </cell>
          <cell r="D603" t="str">
            <v>FGZH Gent Zeehaven Verplaatsen OW Darsen Sea Tanking</v>
          </cell>
          <cell r="K603" t="str">
            <v>5231 510198</v>
          </cell>
        </row>
        <row r="604">
          <cell r="A604" t="str">
            <v>20/100</v>
          </cell>
          <cell r="D604" t="str">
            <v>FZT Zottegem Nieuw plan 7-FZT-06/23 (Vervangt oud plan)</v>
          </cell>
          <cell r="K604" t="str">
            <v>IP-010447.01.01.M01</v>
          </cell>
        </row>
        <row r="605">
          <cell r="A605" t="str">
            <v>20/102</v>
          </cell>
          <cell r="D605" t="str">
            <v>L204 Gent Zeehaven Aanleg voet-fietsoverweg OW1N</v>
          </cell>
          <cell r="K605" t="str">
            <v>5231 504311</v>
          </cell>
        </row>
        <row r="606">
          <cell r="A606" t="str">
            <v>20/103</v>
          </cell>
          <cell r="D606" t="str">
            <v>FGZH Verb Zuiddok Darsen-Bund Farmanstr Spoorvereenvoudiging en vernieuwen overgang</v>
          </cell>
          <cell r="K606" t="str">
            <v>5231 510198</v>
          </cell>
        </row>
        <row r="607">
          <cell r="A607" t="str">
            <v>20/104</v>
          </cell>
          <cell r="D607" t="str">
            <v>L60 Lebbeke Vernieuwen OW32 L60 naar STRAIL</v>
          </cell>
          <cell r="K607" t="str">
            <v>IP-012019.01.01.M01</v>
          </cell>
        </row>
        <row r="608">
          <cell r="A608" t="str">
            <v>20/105</v>
          </cell>
          <cell r="D608" t="str">
            <v>L50A Kp93,300 tot Kp102,300 Idealiseren 9km spoor en vernieuwen van 4 OW</v>
          </cell>
          <cell r="K608" t="str">
            <v>IP-012289.01.01.M01</v>
          </cell>
        </row>
        <row r="609">
          <cell r="A609" t="str">
            <v>20/107</v>
          </cell>
          <cell r="D609" t="str">
            <v>Merelbeke Bundel CHW Aanpassen Basisschets BAS-3132-001</v>
          </cell>
          <cell r="K609" t="str">
            <v>5221 510021</v>
          </cell>
        </row>
        <row r="610">
          <cell r="A610" t="str">
            <v>20/108</v>
          </cell>
          <cell r="D610" t="str">
            <v>L51A Dudzele Revisie18 6-0-4/5 (id 05.10.2020 om 04u00) (Y Dudzele Fase1)</v>
          </cell>
          <cell r="K610" t="str">
            <v>BT1207474.01/H010</v>
          </cell>
        </row>
        <row r="611">
          <cell r="A611" t="str">
            <v>20/109</v>
          </cell>
          <cell r="D611" t="str">
            <v>L75 Kortrijk Revisie21 6-0-4/6 (id 10.10.2020 om 04u00) (Kortrijk Station)</v>
          </cell>
          <cell r="K611" t="str">
            <v>IP-004906.01.02.M01</v>
          </cell>
        </row>
        <row r="612">
          <cell r="A612" t="str">
            <v>20/110</v>
          </cell>
          <cell r="D612" t="str">
            <v>Merelbeke Aanpassing basisschets BAS-3132-001</v>
          </cell>
          <cell r="K612" t="str">
            <v>5221510021</v>
          </cell>
        </row>
        <row r="613">
          <cell r="A613" t="str">
            <v>20/111</v>
          </cell>
          <cell r="D613" t="str">
            <v>L58 Wondelgem TJD naar F215</v>
          </cell>
          <cell r="K613" t="str">
            <v>IP-012860.01.01.M01</v>
          </cell>
        </row>
        <row r="614">
          <cell r="A614" t="str">
            <v>20/112</v>
          </cell>
          <cell r="D614" t="str">
            <v>L58 Wondelgem L58 - Y-Muide</v>
          </cell>
          <cell r="K614" t="str">
            <v>IP-012859.01.01.M01</v>
          </cell>
        </row>
        <row r="615">
          <cell r="A615" t="str">
            <v>20/113</v>
          </cell>
          <cell r="D615" t="str">
            <v>FGZH Gent-Zeehaven Aanpassen basisschets BAS-3212-002</v>
          </cell>
          <cell r="K615" t="str">
            <v>IP-013991.01.01.M01</v>
          </cell>
        </row>
        <row r="616">
          <cell r="A616" t="str">
            <v>20/114</v>
          </cell>
          <cell r="D616" t="str">
            <v>L51A Dudzele Revisie19 6-0-4/5 (id 19.10.2020 om 04u00) (Y Dudzele Fase2)</v>
          </cell>
          <cell r="K616" t="str">
            <v>BT1207474.01/H010</v>
          </cell>
        </row>
        <row r="617">
          <cell r="A617" t="str">
            <v>20/115</v>
          </cell>
          <cell r="D617" t="str">
            <v>L51A Zeebrugge-Dorp Aanpassing plannen 0511-417.106&amp;107 (Mail KDS 2/10/2020 KDS)</v>
          </cell>
          <cell r="K617" t="str">
            <v>AIP009157.01/H010</v>
          </cell>
        </row>
        <row r="618">
          <cell r="A618" t="str">
            <v>20/116</v>
          </cell>
          <cell r="D618" t="str">
            <v>L75KortrijkNieuw plan 7-LK-06/06</v>
          </cell>
          <cell r="K618" t="str">
            <v>IP-010447.01.01.M01</v>
          </cell>
        </row>
        <row r="619">
          <cell r="A619" t="str">
            <v>20/117</v>
          </cell>
          <cell r="D619" t="str">
            <v>L89 Oudenaarde Project:Nieuw plan 17-FDN-07/07</v>
          </cell>
          <cell r="K619" t="str">
            <v>4002300/0070</v>
          </cell>
        </row>
        <row r="620">
          <cell r="A620" t="str">
            <v>20/118</v>
          </cell>
          <cell r="D620" t="str">
            <v>L90 Geraardsbergen Project:Nieuw plan 17-FGRA-07/07</v>
          </cell>
          <cell r="K620" t="str">
            <v>4002301/0070</v>
          </cell>
        </row>
        <row r="621">
          <cell r="A621" t="str">
            <v>20/119</v>
          </cell>
          <cell r="D621" t="str">
            <v>L51A Dudzele Revisie20 6-0-4/5 (id 16.11.2020 om 04u00) (Y Dudzele Fase3)</v>
          </cell>
          <cell r="K621" t="str">
            <v>BT1207474.01/H010</v>
          </cell>
        </row>
        <row r="622">
          <cell r="A622" t="str">
            <v>20/120</v>
          </cell>
          <cell r="D622" t="str">
            <v>L89 Oudenaarde Project Aanpassen 17-FDN-17/01</v>
          </cell>
          <cell r="K622" t="str">
            <v>4002300/0070</v>
          </cell>
        </row>
        <row r="623">
          <cell r="A623" t="str">
            <v>20/121</v>
          </cell>
          <cell r="D623" t="str">
            <v>L59 Lokeren Project Alle plans aanpassen 17-FLK-*/*( Heel de reeks behalve eplan)</v>
          </cell>
          <cell r="K623" t="str">
            <v>IP-010447.01.01.M01</v>
          </cell>
        </row>
        <row r="624">
          <cell r="A624" t="str">
            <v>20/122</v>
          </cell>
          <cell r="D624" t="str">
            <v>Betonwerf Roeselare, maken plan</v>
          </cell>
          <cell r="K624" t="str">
            <v>IP-010741.01.03.M01</v>
          </cell>
        </row>
        <row r="625">
          <cell r="A625" t="str">
            <v>20/123</v>
          </cell>
          <cell r="D625" t="str">
            <v>L59 Lokeren</v>
          </cell>
          <cell r="K625" t="str">
            <v>IP-010447.01.01.M01</v>
          </cell>
        </row>
        <row r="626">
          <cell r="A626" t="str">
            <v>20/124</v>
          </cell>
          <cell r="D626" t="str">
            <v>cursus REVIT</v>
          </cell>
          <cell r="K626" t="str">
            <v>800660</v>
          </cell>
        </row>
        <row r="627">
          <cell r="A627" t="str">
            <v>20/125</v>
          </cell>
          <cell r="D627" t="str">
            <v>Kortrijk Aanpassen Basschets BAS 3511</v>
          </cell>
          <cell r="K627" t="str">
            <v xml:space="preserve">IP-004906.01.02.M01 </v>
          </cell>
        </row>
        <row r="628">
          <cell r="A628" t="str">
            <v>20/126</v>
          </cell>
          <cell r="D628" t="str">
            <v>Gent-Zeehaven Aanpassen Basisschets3212-002</v>
          </cell>
          <cell r="K628" t="str">
            <v>5222 510198</v>
          </cell>
        </row>
        <row r="629">
          <cell r="A629" t="str">
            <v>20/127</v>
          </cell>
          <cell r="D629" t="str">
            <v>L75 Zandberg Aanpassen plan 8-ZNDB-07/03</v>
          </cell>
          <cell r="K629" t="str">
            <v>4217/527132</v>
          </cell>
        </row>
        <row r="630">
          <cell r="A630" t="str">
            <v>20/128</v>
          </cell>
          <cell r="D630" t="str">
            <v>L69WervikAanpassen plan 8-LWK-07/02 en 8-LWK-09/06</v>
          </cell>
          <cell r="K630" t="str">
            <v>4217/527131</v>
          </cell>
        </row>
        <row r="631">
          <cell r="A631" t="str">
            <v>20/129</v>
          </cell>
          <cell r="D631" t="str">
            <v>L50A St-Andries onrwerp tunnel - km 97.100</v>
          </cell>
          <cell r="K631" t="str">
            <v>IP-014535.01.01.M01</v>
          </cell>
        </row>
        <row r="632">
          <cell r="A632" t="str">
            <v>20/130</v>
          </cell>
          <cell r="D632" t="str">
            <v>L58 Evergem</v>
          </cell>
          <cell r="K632" t="str">
            <v>IP-013779.01.01.M01</v>
          </cell>
        </row>
        <row r="633">
          <cell r="A633" t="str">
            <v>20/131</v>
          </cell>
          <cell r="D633" t="str">
            <v>L89 Oudenaarde Project Nieuwe plans 17-FDN-22/01, 22/02 en 25/01</v>
          </cell>
          <cell r="K633" t="str">
            <v>4002300/0070</v>
          </cell>
        </row>
        <row r="634">
          <cell r="A634" t="str">
            <v>20/132</v>
          </cell>
          <cell r="D634" t="str">
            <v>L90 Geraardsbergen Project:Nieuwe plans 17-FGRA-22/01, 22/02 en 25/01</v>
          </cell>
          <cell r="K634" t="str">
            <v>4002301/0070</v>
          </cell>
        </row>
        <row r="635">
          <cell r="A635" t="str">
            <v>20/133</v>
          </cell>
          <cell r="D635" t="str">
            <v>L50A Beernem Afschaffen OW42</v>
          </cell>
          <cell r="K635" t="str">
            <v>4001944/H020</v>
          </cell>
        </row>
        <row r="636">
          <cell r="A636" t="str">
            <v>20/134</v>
          </cell>
          <cell r="D636" t="str">
            <v>Sint-Katherina-Lombeek Afschaffen plan 8-STKL-16/4</v>
          </cell>
          <cell r="K636" t="str">
            <v>IP-010442.01.01.M01</v>
          </cell>
        </row>
        <row r="637">
          <cell r="A637" t="str">
            <v>20/135</v>
          </cell>
          <cell r="D637" t="str">
            <v>L75 Kortrijk Revisie22 6-0-4/6 (id 30.01.2021 om 04u00) (Kortrijk Station &amp; Oude Carwash)</v>
          </cell>
          <cell r="K637" t="str">
            <v>IP-004901.01.02.M01</v>
          </cell>
        </row>
        <row r="638">
          <cell r="A638" t="str">
            <v>20/136</v>
          </cell>
          <cell r="D638" t="str">
            <v>L89 Oudenaarde Project 17-FDN-21/01, 21/02, 21/03, 21/04, 21/05, 21/06</v>
          </cell>
          <cell r="K638" t="str">
            <v>40023000070</v>
          </cell>
        </row>
        <row r="639">
          <cell r="A639" t="str">
            <v>20/137</v>
          </cell>
          <cell r="D639" t="str">
            <v>L75 Kortrijk 7-LK-01/01</v>
          </cell>
          <cell r="K639" t="str">
            <v>4214/527124</v>
          </cell>
        </row>
        <row r="640">
          <cell r="A640" t="str">
            <v>20/138</v>
          </cell>
          <cell r="D640" t="str">
            <v>L69 Wervik 8-LWK-07/02</v>
          </cell>
          <cell r="K640" t="str">
            <v>4219/527131</v>
          </cell>
        </row>
        <row r="641">
          <cell r="A641" t="str">
            <v>20/139</v>
          </cell>
          <cell r="D641" t="str">
            <v>L82-L89 Burst Vernieuwen wissels 14K, 15AK, 15BK P300 – P500 (2x) Vern OW25-26 L89 (harmelen) OW14 L82 (harmelen)</v>
          </cell>
          <cell r="K641" t="str">
            <v>IP-012290.01.01.M01</v>
          </cell>
        </row>
        <row r="642">
          <cell r="A642" t="str">
            <v>20/140</v>
          </cell>
          <cell r="D642" t="str">
            <v>L57 Dendermonde 17-FDR-7/1 7/2 7/3 7/4 7/5 7/6 en 15/03</v>
          </cell>
          <cell r="K642" t="str">
            <v>IP-014406.01.01.M01.</v>
          </cell>
        </row>
        <row r="643">
          <cell r="A643" t="str">
            <v>20/141</v>
          </cell>
          <cell r="D643" t="str">
            <v>L50A Aalter 7-FLT-7/16 nieuwe proef gemaakt</v>
          </cell>
          <cell r="K643" t="str">
            <v>4214/527110</v>
          </cell>
        </row>
        <row r="644">
          <cell r="A644" t="str">
            <v>20/142</v>
          </cell>
          <cell r="D644" t="str">
            <v>L50A Brugge Afschaffen plan 7-FR-7/13</v>
          </cell>
        </row>
        <row r="645">
          <cell r="A645" t="str">
            <v>21/1</v>
          </cell>
          <cell r="D645" t="str">
            <v>L202B, spoorvernieuwing ts OW15 en OW17</v>
          </cell>
          <cell r="K645" t="str">
            <v>IP-014047.01.01.M01</v>
          </cell>
        </row>
        <row r="646">
          <cell r="A646" t="str">
            <v>21/2</v>
          </cell>
          <cell r="D646" t="str">
            <v>Verduidelijken met schets op luchtbeelden van een voorstel voor aanpassing spoorinfrastructuur</v>
          </cell>
          <cell r="K646" t="str">
            <v>5231 510198</v>
          </cell>
        </row>
        <row r="647">
          <cell r="A647" t="str">
            <v>21/3</v>
          </cell>
          <cell r="D647" t="str">
            <v>L60 Asse(Mollem) Afsch OW21 _Sleewagen-Schermershoek_voorontwerp tunnel + precad + DWP</v>
          </cell>
          <cell r="K647" t="str">
            <v xml:space="preserve">IP-011143.01.03.M01 </v>
          </cell>
        </row>
        <row r="648">
          <cell r="A648" t="str">
            <v>21/4</v>
          </cell>
          <cell r="D648" t="str">
            <v>L60 Asse Afsch OW14 _Petrus Ascanusstraat_voorontwerp + precad + DWP</v>
          </cell>
          <cell r="K648" t="str">
            <v xml:space="preserve">IP-011143.01.02.M01 </v>
          </cell>
        </row>
        <row r="649">
          <cell r="A649" t="str">
            <v>21/5</v>
          </cell>
          <cell r="D649" t="str">
            <v>L86 Oudenaarde(Leupegem) Afsch OW39_Sempelplein_voorontwerp + precad +DWP</v>
          </cell>
          <cell r="K649" t="str">
            <v xml:space="preserve">IP-014011.01.02.M01 </v>
          </cell>
        </row>
        <row r="650">
          <cell r="A650" t="str">
            <v>21/6</v>
          </cell>
          <cell r="D650" t="str">
            <v>L53 Londerzeel Afsch OW36_Moorhoek_voorontwerp uitbreiden fiespad tot fietsstraat</v>
          </cell>
          <cell r="K650" t="str">
            <v>IP-013725.01.01.M01</v>
          </cell>
        </row>
        <row r="651">
          <cell r="A651" t="str">
            <v>21/7</v>
          </cell>
          <cell r="D651" t="str">
            <v>L66 OW107 vernieuwen naar Strail</v>
          </cell>
          <cell r="K651" t="str">
            <v>IP-014036.01.02.M01</v>
          </cell>
        </row>
        <row r="652">
          <cell r="A652" t="str">
            <v>21/8</v>
          </cell>
          <cell r="D652" t="str">
            <v>L66 OW111 vernieuwen naar Strail</v>
          </cell>
          <cell r="K652" t="str">
            <v>IP-014036.01.03.M01</v>
          </cell>
        </row>
        <row r="653">
          <cell r="A653" t="str">
            <v>21/9</v>
          </cell>
          <cell r="D653" t="str">
            <v>L66 OW106 vernieuwen naar Strail</v>
          </cell>
          <cell r="K653" t="str">
            <v>IP-014036.01.01.M01</v>
          </cell>
        </row>
        <row r="654">
          <cell r="A654" t="str">
            <v>21/10</v>
          </cell>
          <cell r="D654" t="str">
            <v>Opstellen interne noodplannen</v>
          </cell>
          <cell r="K654" t="str">
            <v>6110/11338</v>
          </cell>
        </row>
        <row r="655">
          <cell r="A655" t="str">
            <v>21/11</v>
          </cell>
          <cell r="D655" t="str">
            <v>L123 Vernieuwen OW44 in STRAIL</v>
          </cell>
          <cell r="K655" t="str">
            <v xml:space="preserve"> IP-013770.01.03.M01</v>
          </cell>
        </row>
        <row r="656">
          <cell r="A656" t="str">
            <v>21/12</v>
          </cell>
          <cell r="D656" t="str">
            <v>L123 Vernieuwen OW47 in STRAIL</v>
          </cell>
          <cell r="K656" t="str">
            <v>IP-013770.01.04.M01</v>
          </cell>
        </row>
        <row r="657">
          <cell r="A657" t="str">
            <v>21/13</v>
          </cell>
          <cell r="D657" t="str">
            <v>L122 Vernieuwen OW96 in STRAIL</v>
          </cell>
          <cell r="K657" t="str">
            <v>IP-014014.01.01.M01</v>
          </cell>
        </row>
        <row r="658">
          <cell r="A658" t="str">
            <v>21/14</v>
          </cell>
          <cell r="D658" t="str">
            <v>L122 Vernieuwen OW97 in STRAIL</v>
          </cell>
          <cell r="K658" t="str">
            <v>IP-014014.01.02.M01</v>
          </cell>
        </row>
        <row r="659">
          <cell r="A659" t="str">
            <v>21/15</v>
          </cell>
          <cell r="D659" t="str">
            <v>L122 Vernieuwen OW98 in STRAIL (privé OW)</v>
          </cell>
          <cell r="K659" t="str">
            <v>IP-014014.01.03.M01</v>
          </cell>
        </row>
        <row r="660">
          <cell r="A660" t="str">
            <v>21/16</v>
          </cell>
          <cell r="D660" t="str">
            <v>L54  Vernieuwen OW17bis en OW17C in STRAIL</v>
          </cell>
          <cell r="K660" t="str">
            <v>IP-010921.01.01.M01</v>
          </cell>
        </row>
        <row r="661">
          <cell r="A661" t="str">
            <v>21/17</v>
          </cell>
          <cell r="D661" t="str">
            <v>L54  Vernieuwen OW30 in STRAIL</v>
          </cell>
          <cell r="K661" t="str">
            <v>IP-010837.01.03.M01</v>
          </cell>
        </row>
        <row r="662">
          <cell r="A662" t="str">
            <v>21/18</v>
          </cell>
          <cell r="D662" t="str">
            <v>L204 Nieuwe OW in STRAIL ts wissel 01BL en wissel 02L en kruisen sp 1en 2</v>
          </cell>
          <cell r="K662" t="str">
            <v>4002611 H020</v>
          </cell>
        </row>
        <row r="663">
          <cell r="A663" t="str">
            <v>21/19</v>
          </cell>
          <cell r="D663" t="str">
            <v xml:space="preserve">Aanpassen basisschetsen post 3532 en 3533 </v>
          </cell>
          <cell r="K663" t="str">
            <v xml:space="preserve">5225 502701/ 5225 502711/ 5225 502721 </v>
          </cell>
        </row>
        <row r="664">
          <cell r="A664" t="str">
            <v>21/20</v>
          </cell>
          <cell r="D664" t="str">
            <v>Onderhoudsonderstop op absolute basis in baanvak Roeselare – Izegem</v>
          </cell>
          <cell r="K664" t="str">
            <v>IP-011419.01.01.M01</v>
          </cell>
        </row>
        <row r="665">
          <cell r="A665" t="str">
            <v>21/21</v>
          </cell>
          <cell r="D665" t="str">
            <v>L86 Maarkedal langsweg, Wolvestraat</v>
          </cell>
          <cell r="K665" t="str">
            <v>IP-014011.01.01.M01</v>
          </cell>
        </row>
        <row r="666">
          <cell r="A666" t="str">
            <v>21/22</v>
          </cell>
          <cell r="D666" t="str">
            <v>opstellen LGS-plan van  A/L51 en B/L51via bijhorende schetsen</v>
          </cell>
          <cell r="K666" t="str">
            <v xml:space="preserve"> IP-009210.01.01.M01</v>
          </cell>
        </row>
        <row r="667">
          <cell r="A667" t="str">
            <v>21/23</v>
          </cell>
          <cell r="D667" t="str">
            <v xml:space="preserve">Idealiseren van LP en tracé van de L75, ts kp 16.300 en kp 17.500, </v>
          </cell>
          <cell r="K667" t="str">
            <v>5223-510030</v>
          </cell>
        </row>
        <row r="668">
          <cell r="A668" t="str">
            <v>21/24</v>
          </cell>
          <cell r="D668" t="str">
            <v>Groot Dok vernieuwen OW34 naar Harmelen</v>
          </cell>
          <cell r="K668" t="str">
            <v>IP-014089.01.01.M01</v>
          </cell>
        </row>
        <row r="669">
          <cell r="A669" t="str">
            <v>21/25</v>
          </cell>
          <cell r="D669" t="str">
            <v>L50 Wichelen Afsch OW34, langsweg, Kloosterstraat</v>
          </cell>
          <cell r="K669" t="str">
            <v>IP-013725.01.01.M01</v>
          </cell>
        </row>
        <row r="670">
          <cell r="A670" t="str">
            <v>21/26</v>
          </cell>
          <cell r="D670" t="str">
            <v>Beervelde Sloopvergunning station (NMBS)</v>
          </cell>
          <cell r="K670">
            <v>67005380</v>
          </cell>
        </row>
        <row r="671">
          <cell r="A671" t="str">
            <v>21/27</v>
          </cell>
          <cell r="D671" t="str">
            <v>Sint-Niklaas evacuatieplannen - LCI Antenne</v>
          </cell>
          <cell r="K671" t="str">
            <v>6110/531856</v>
          </cell>
        </row>
        <row r="672">
          <cell r="A672" t="str">
            <v>21/28</v>
          </cell>
          <cell r="D672" t="str">
            <v>Dendermonde evacuatieplannen - LCI Antenne</v>
          </cell>
          <cell r="K672" t="str">
            <v>6110/531724</v>
          </cell>
        </row>
        <row r="673">
          <cell r="A673" t="str">
            <v>21/29</v>
          </cell>
          <cell r="D673" t="str">
            <v>Brugge evacuatieplannen - LCI</v>
          </cell>
          <cell r="K673" t="str">
            <v>6110/531567</v>
          </cell>
        </row>
        <row r="674">
          <cell r="A674" t="str">
            <v>21/30</v>
          </cell>
          <cell r="D674" t="str">
            <v>Gent-Zeehaven evacuatieplannen - LCI</v>
          </cell>
          <cell r="K674" t="str">
            <v>6110/531799</v>
          </cell>
        </row>
        <row r="675">
          <cell r="A675" t="str">
            <v>21/31</v>
          </cell>
          <cell r="D675" t="str">
            <v>Gent-Sint-Pieters evacuatieplannen - LCI</v>
          </cell>
          <cell r="K675" t="str">
            <v>6110/531520</v>
          </cell>
        </row>
        <row r="676">
          <cell r="A676" t="str">
            <v>21/32</v>
          </cell>
          <cell r="D676" t="str">
            <v>Oostende evacuatieplannen - LCI Antenne</v>
          </cell>
          <cell r="K676" t="str">
            <v>6110/531625</v>
          </cell>
        </row>
        <row r="677">
          <cell r="A677" t="str">
            <v>21/33</v>
          </cell>
          <cell r="D677" t="str">
            <v xml:space="preserve">Idealiseren van lengteprofiel en tracé van de L75, tussen OW25 en OW27, </v>
          </cell>
          <cell r="K677" t="str">
            <v>IP-014537.01.01.M01</v>
          </cell>
        </row>
        <row r="678">
          <cell r="A678" t="str">
            <v>21/34</v>
          </cell>
          <cell r="D678" t="str">
            <v>Idealiseren van lengteprofiel en tracé van sporen 360 en 363 te Kortrijk Vorming</v>
          </cell>
          <cell r="K678" t="str">
            <v>IP-013989-01.01.M01</v>
          </cell>
        </row>
        <row r="679">
          <cell r="A679" t="str">
            <v>21/35</v>
          </cell>
          <cell r="D679" t="str">
            <v>Spooraansluiting NDQ</v>
          </cell>
          <cell r="K679" t="str">
            <v>GEEN</v>
          </cell>
        </row>
        <row r="680">
          <cell r="A680" t="str">
            <v>21/36</v>
          </cell>
          <cell r="D680" t="str">
            <v>L50A Oostende Aanleg dienstweg, ontwerpplan</v>
          </cell>
          <cell r="K680" t="str">
            <v>IP-014868.01.01.M01</v>
          </cell>
        </row>
        <row r="681">
          <cell r="A681" t="str">
            <v>21/37</v>
          </cell>
          <cell r="D681" t="str">
            <v>Kortrijk perronvernieuwing</v>
          </cell>
          <cell r="K681" t="str">
            <v>BT0774418.01 H010</v>
          </cell>
        </row>
        <row r="682">
          <cell r="A682" t="str">
            <v>21/338/1</v>
          </cell>
          <cell r="D682" t="str">
            <v>LWR L54</v>
          </cell>
          <cell r="K682" t="str">
            <v>IP- 014029.01.01.M01</v>
          </cell>
        </row>
        <row r="683">
          <cell r="A683" t="str">
            <v>21/39</v>
          </cell>
          <cell r="D683" t="str">
            <v>L53 Dendermonde (Sint-Gillis) sloping woning Infrabel</v>
          </cell>
          <cell r="K683">
            <v>67005440</v>
          </cell>
        </row>
        <row r="684">
          <cell r="A684" t="str">
            <v>21/351/1</v>
          </cell>
          <cell r="D684" t="str">
            <v>L60 Zellik OW8 en 9 kortere spoorontwerpen (goedgekeurd ontwerp:19/405)</v>
          </cell>
          <cell r="K684" t="str">
            <v>IP-013670.01.01.M01</v>
          </cell>
        </row>
        <row r="685">
          <cell r="A685" t="str">
            <v>21/376/1</v>
          </cell>
          <cell r="D685" t="str">
            <v>Aanpassen basisschets 3411-001 en -002</v>
          </cell>
          <cell r="K685">
            <v>11324</v>
          </cell>
        </row>
        <row r="686">
          <cell r="A686" t="str">
            <v>21/378/1</v>
          </cell>
          <cell r="D686" t="str">
            <v>Aanpassen basisschets 3221</v>
          </cell>
          <cell r="K686">
            <v>11319</v>
          </cell>
        </row>
        <row r="687">
          <cell r="A687" t="str">
            <v>21/420/1</v>
          </cell>
          <cell r="D687" t="str">
            <v>Aanpassen basisschets 3212-002</v>
          </cell>
          <cell r="K687" t="str">
            <v>5222/510198</v>
          </cell>
        </row>
        <row r="688">
          <cell r="A688" t="str">
            <v>21/444/1</v>
          </cell>
          <cell r="D688" t="str">
            <v>L66-L69 Kortrijk Y west Wisselvernieuwing</v>
          </cell>
          <cell r="K688" t="str">
            <v>IP-014039.01.01.M01</v>
          </cell>
        </row>
        <row r="689">
          <cell r="A689" t="str">
            <v>21/446/1</v>
          </cell>
          <cell r="D689" t="str">
            <v>L66 Idealisering tracé en LP ts ow123 en ow124</v>
          </cell>
          <cell r="K689" t="str">
            <v>IP-011419.01.02.M01</v>
          </cell>
        </row>
        <row r="690">
          <cell r="A690" t="str">
            <v>21/395/1</v>
          </cell>
          <cell r="D690" t="str">
            <v>L75 Y Zandberg Idealisering</v>
          </cell>
          <cell r="K690" t="str">
            <v>5223/502761</v>
          </cell>
        </row>
        <row r="691">
          <cell r="A691" t="str">
            <v>21/455/1</v>
          </cell>
          <cell r="D691" t="str">
            <v>Aanpassen basisschets 3111-001</v>
          </cell>
          <cell r="K691" t="str">
            <v>5221 510017</v>
          </cell>
        </row>
        <row r="692">
          <cell r="A692" t="str">
            <v>21/456/1</v>
          </cell>
          <cell r="D692" t="str">
            <v>Aanpassen basisschets 3221-001</v>
          </cell>
          <cell r="K692">
            <v>11319</v>
          </cell>
        </row>
        <row r="693">
          <cell r="A693" t="str">
            <v>21/482/1</v>
          </cell>
          <cell r="D693" t="str">
            <v>Aanpassen basisschets 3311-001</v>
          </cell>
          <cell r="K693" t="str">
            <v>5224/510023</v>
          </cell>
        </row>
        <row r="694">
          <cell r="A694" t="str">
            <v>21/483/1</v>
          </cell>
          <cell r="D694" t="str">
            <v>58/2 Vernieuwen tusen 38XF en ow14</v>
          </cell>
          <cell r="K694" t="str">
            <v>5213/502521</v>
          </cell>
        </row>
        <row r="695">
          <cell r="A695" t="str">
            <v>21/49</v>
          </cell>
          <cell r="D695" t="str">
            <v>L89 Oudenaarde-Anzegem Vernieuwen 2 duikers, km 49,6 en 39,2</v>
          </cell>
          <cell r="K695" t="str">
            <v>1203/502901</v>
          </cell>
        </row>
        <row r="696">
          <cell r="A696" t="str">
            <v>21/487/1</v>
          </cell>
          <cell r="D696" t="str">
            <v>L219 Studie ringspoor Zandeken</v>
          </cell>
          <cell r="K696" t="str">
            <v>IP-009344.01.01.M01</v>
          </cell>
        </row>
        <row r="697">
          <cell r="A697" t="str">
            <v>21/489/1</v>
          </cell>
          <cell r="D697" t="str">
            <v>L204 Studie bundel Mercator + bundel GCT</v>
          </cell>
          <cell r="K697" t="str">
            <v>IP-012883.01.01.M01</v>
          </cell>
        </row>
        <row r="698">
          <cell r="A698" t="str">
            <v>21/504/1</v>
          </cell>
          <cell r="D698" t="str">
            <v>L59 Sint-Niklaas Oost Aanp &amp; opmaken INRplan vertrekkende v plan TR-FSN-001-PRD-01</v>
          </cell>
          <cell r="K698" t="str">
            <v>IP-005276.01.02.M01</v>
          </cell>
        </row>
        <row r="699">
          <cell r="A699" t="str">
            <v>21/509/1</v>
          </cell>
          <cell r="D699" t="str">
            <v>L122 vernieuwen rails</v>
          </cell>
          <cell r="K699" t="str">
            <v>IP-013988.01.01.M01</v>
          </cell>
        </row>
        <row r="700">
          <cell r="A700" t="str">
            <v>21/51</v>
          </cell>
          <cell r="D700" t="str">
            <v>L50A Drongen - Treinstraat DOS fietstunnel treinstraat - vernieuwing verharding</v>
          </cell>
          <cell r="K700" t="str">
            <v>IP-014897.01.01.M01</v>
          </cell>
        </row>
        <row r="701">
          <cell r="A701" t="str">
            <v>21/516/1</v>
          </cell>
          <cell r="D701" t="str">
            <v>L54 Vernieuwen overweg 30 in Rosehill</v>
          </cell>
          <cell r="K701" t="str">
            <v>IP-010837.01.03.M01</v>
          </cell>
        </row>
        <row r="702">
          <cell r="A702" t="str">
            <v>21/52</v>
          </cell>
          <cell r="D702" t="str">
            <v>cursus REVIT, sept - okt - dec,</v>
          </cell>
          <cell r="K702" t="str">
            <v>800660</v>
          </cell>
        </row>
        <row r="703">
          <cell r="A703" t="str">
            <v>21/526/1</v>
          </cell>
          <cell r="D703" t="str">
            <v/>
          </cell>
          <cell r="K703" t="str">
            <v>IP-014029.01.01.M01</v>
          </cell>
        </row>
        <row r="704">
          <cell r="A704" t="str">
            <v>21/528/1</v>
          </cell>
          <cell r="D704" t="str">
            <v/>
          </cell>
          <cell r="K704" t="str">
            <v>IP-014029.01.01.M01</v>
          </cell>
        </row>
        <row r="705">
          <cell r="A705" t="str">
            <v>21/529/1</v>
          </cell>
          <cell r="D705" t="str">
            <v/>
          </cell>
          <cell r="K705" t="str">
            <v>IP-014029.01.01.M01</v>
          </cell>
        </row>
        <row r="706">
          <cell r="A706" t="str">
            <v>17/154</v>
          </cell>
          <cell r="D706" t="str">
            <v>L90 Geraardsbergen Vernieuwing wissels 12-15-16-17-21-25 en sporen 454-464</v>
          </cell>
          <cell r="K706" t="str">
            <v>IP-010857.01.01.M01</v>
          </cell>
        </row>
        <row r="707">
          <cell r="A707" t="str">
            <v>21/558/1</v>
          </cell>
          <cell r="D707" t="str">
            <v/>
          </cell>
          <cell r="K707" t="str">
            <v>5222/510198</v>
          </cell>
        </row>
        <row r="708">
          <cell r="A708" t="str">
            <v>21/573/1</v>
          </cell>
          <cell r="D708" t="str">
            <v/>
          </cell>
          <cell r="K708" t="str">
            <v>IP-014047.01.01.M01</v>
          </cell>
        </row>
        <row r="709">
          <cell r="A709" t="str">
            <v>21/594/1</v>
          </cell>
          <cell r="D709" t="str">
            <v/>
          </cell>
          <cell r="K709" t="str">
            <v>50% 5213/502241 en 50% 5225/510692</v>
          </cell>
        </row>
        <row r="710">
          <cell r="A710" t="str">
            <v>21/60</v>
          </cell>
          <cell r="D710" t="str">
            <v>L60 Asse rooilijnplan en innameplan</v>
          </cell>
          <cell r="K710" t="str">
            <v>IP-005956.01.02.M02</v>
          </cell>
        </row>
        <row r="711">
          <cell r="A711" t="str">
            <v>21/61</v>
          </cell>
          <cell r="D711" t="str">
            <v>Gent Zeehaven opmaak plan site Gent Zeehaven, samenvoegen, controleren gegevens</v>
          </cell>
          <cell r="K711" t="str">
            <v>IP-005911.01.11.M01</v>
          </cell>
        </row>
        <row r="712">
          <cell r="A712" t="str">
            <v>21/62</v>
          </cell>
          <cell r="D712" t="str">
            <v>scannen voor klassement gronden en gebouwen</v>
          </cell>
          <cell r="K712" t="str">
            <v>6401/11310</v>
          </cell>
        </row>
        <row r="713">
          <cell r="D713" t="str">
            <v/>
          </cell>
        </row>
        <row r="714">
          <cell r="D714" t="str">
            <v/>
          </cell>
        </row>
        <row r="715">
          <cell r="D715" t="str">
            <v/>
          </cell>
        </row>
        <row r="716">
          <cell r="D716" t="str">
            <v/>
          </cell>
        </row>
        <row r="717">
          <cell r="D717" t="str">
            <v/>
          </cell>
        </row>
        <row r="718">
          <cell r="D718" t="str">
            <v/>
          </cell>
        </row>
        <row r="719">
          <cell r="D719" t="str">
            <v/>
          </cell>
        </row>
        <row r="720">
          <cell r="D720" t="str">
            <v/>
          </cell>
        </row>
        <row r="721">
          <cell r="D721" t="str">
            <v/>
          </cell>
        </row>
        <row r="722">
          <cell r="D722" t="str">
            <v/>
          </cell>
        </row>
        <row r="723">
          <cell r="D723" t="str">
            <v/>
          </cell>
        </row>
        <row r="724">
          <cell r="D724" t="str">
            <v/>
          </cell>
        </row>
        <row r="725">
          <cell r="D725" t="str">
            <v/>
          </cell>
        </row>
        <row r="726">
          <cell r="D726" t="str">
            <v/>
          </cell>
        </row>
        <row r="727">
          <cell r="D727" t="str">
            <v/>
          </cell>
        </row>
        <row r="728">
          <cell r="D728" t="str">
            <v/>
          </cell>
        </row>
        <row r="729">
          <cell r="D729" t="str">
            <v/>
          </cell>
        </row>
        <row r="730">
          <cell r="D730" t="str">
            <v/>
          </cell>
        </row>
        <row r="731">
          <cell r="D731" t="str">
            <v/>
          </cell>
        </row>
        <row r="732">
          <cell r="D732" t="str">
            <v/>
          </cell>
        </row>
        <row r="733">
          <cell r="D733" t="str">
            <v/>
          </cell>
        </row>
        <row r="734">
          <cell r="D734" t="str">
            <v/>
          </cell>
        </row>
        <row r="735">
          <cell r="D735" t="str">
            <v/>
          </cell>
        </row>
        <row r="736">
          <cell r="D736" t="str">
            <v/>
          </cell>
        </row>
        <row r="737">
          <cell r="D737" t="str">
            <v/>
          </cell>
        </row>
        <row r="738">
          <cell r="D738" t="str">
            <v/>
          </cell>
        </row>
        <row r="739">
          <cell r="D739" t="str">
            <v/>
          </cell>
        </row>
        <row r="740">
          <cell r="D740" t="str">
            <v/>
          </cell>
        </row>
        <row r="741">
          <cell r="D741" t="str">
            <v/>
          </cell>
        </row>
        <row r="742">
          <cell r="D742" t="str">
            <v/>
          </cell>
        </row>
        <row r="743">
          <cell r="D743" t="str">
            <v/>
          </cell>
        </row>
        <row r="744">
          <cell r="D744" t="str">
            <v/>
          </cell>
        </row>
        <row r="745">
          <cell r="D745" t="str">
            <v/>
          </cell>
        </row>
        <row r="746">
          <cell r="D746" t="str">
            <v/>
          </cell>
        </row>
        <row r="747">
          <cell r="D747" t="str">
            <v/>
          </cell>
        </row>
        <row r="748">
          <cell r="D748" t="str">
            <v/>
          </cell>
        </row>
        <row r="749">
          <cell r="D749" t="str">
            <v/>
          </cell>
        </row>
        <row r="750">
          <cell r="D750" t="str">
            <v/>
          </cell>
        </row>
        <row r="751">
          <cell r="D751" t="str">
            <v/>
          </cell>
        </row>
        <row r="752">
          <cell r="D752" t="str">
            <v/>
          </cell>
        </row>
        <row r="753">
          <cell r="D753" t="str">
            <v/>
          </cell>
        </row>
        <row r="754">
          <cell r="D754" t="str">
            <v/>
          </cell>
        </row>
        <row r="755">
          <cell r="D755" t="str">
            <v/>
          </cell>
        </row>
        <row r="756">
          <cell r="D756" t="str">
            <v/>
          </cell>
        </row>
        <row r="757">
          <cell r="D757" t="str">
            <v/>
          </cell>
        </row>
        <row r="758">
          <cell r="D758" t="str">
            <v/>
          </cell>
        </row>
        <row r="759">
          <cell r="D759" t="str">
            <v/>
          </cell>
        </row>
        <row r="760">
          <cell r="D760" t="str">
            <v/>
          </cell>
        </row>
        <row r="761">
          <cell r="D761" t="str">
            <v/>
          </cell>
        </row>
        <row r="762">
          <cell r="D762" t="str">
            <v/>
          </cell>
        </row>
        <row r="763">
          <cell r="D763" t="str">
            <v/>
          </cell>
        </row>
        <row r="764">
          <cell r="D764" t="str">
            <v/>
          </cell>
        </row>
        <row r="765">
          <cell r="D765" t="str">
            <v/>
          </cell>
        </row>
        <row r="766">
          <cell r="D766" t="str">
            <v/>
          </cell>
        </row>
        <row r="767">
          <cell r="D767" t="str">
            <v/>
          </cell>
        </row>
        <row r="768">
          <cell r="D768" t="str">
            <v/>
          </cell>
        </row>
        <row r="769">
          <cell r="D769" t="str">
            <v/>
          </cell>
        </row>
        <row r="770">
          <cell r="D770" t="str">
            <v/>
          </cell>
        </row>
        <row r="771">
          <cell r="D771" t="str">
            <v/>
          </cell>
        </row>
        <row r="772">
          <cell r="D772" t="str">
            <v/>
          </cell>
        </row>
        <row r="773">
          <cell r="D773" t="str">
            <v/>
          </cell>
        </row>
        <row r="774">
          <cell r="D774" t="str">
            <v/>
          </cell>
        </row>
        <row r="775">
          <cell r="D775" t="str">
            <v/>
          </cell>
        </row>
        <row r="776">
          <cell r="D776" t="str">
            <v/>
          </cell>
        </row>
        <row r="777">
          <cell r="D777" t="str">
            <v/>
          </cell>
        </row>
        <row r="778">
          <cell r="D778" t="str">
            <v/>
          </cell>
        </row>
        <row r="779">
          <cell r="D779" t="str">
            <v/>
          </cell>
        </row>
        <row r="780">
          <cell r="D780" t="str">
            <v/>
          </cell>
        </row>
        <row r="781">
          <cell r="D781" t="str">
            <v/>
          </cell>
        </row>
        <row r="782">
          <cell r="D782" t="str">
            <v/>
          </cell>
        </row>
        <row r="783">
          <cell r="D783" t="str">
            <v/>
          </cell>
        </row>
        <row r="784">
          <cell r="D784" t="str">
            <v/>
          </cell>
        </row>
        <row r="785">
          <cell r="D785" t="str">
            <v/>
          </cell>
        </row>
        <row r="786">
          <cell r="D786" t="str">
            <v/>
          </cell>
        </row>
        <row r="787">
          <cell r="D787" t="str">
            <v/>
          </cell>
        </row>
        <row r="788">
          <cell r="D788" t="str">
            <v/>
          </cell>
        </row>
        <row r="789">
          <cell r="D789" t="str">
            <v/>
          </cell>
        </row>
        <row r="790">
          <cell r="D790" t="str">
            <v/>
          </cell>
        </row>
        <row r="791">
          <cell r="D791" t="str">
            <v/>
          </cell>
        </row>
        <row r="792">
          <cell r="D792" t="str">
            <v/>
          </cell>
        </row>
        <row r="793">
          <cell r="D793" t="str">
            <v/>
          </cell>
        </row>
        <row r="794">
          <cell r="D794" t="str">
            <v/>
          </cell>
        </row>
        <row r="795">
          <cell r="D795" t="str">
            <v/>
          </cell>
        </row>
        <row r="796">
          <cell r="D796" t="str">
            <v/>
          </cell>
        </row>
        <row r="797">
          <cell r="D797" t="str">
            <v/>
          </cell>
        </row>
        <row r="798">
          <cell r="D798" t="str">
            <v/>
          </cell>
        </row>
        <row r="799">
          <cell r="D799" t="str">
            <v/>
          </cell>
        </row>
        <row r="800">
          <cell r="D800" t="str">
            <v/>
          </cell>
        </row>
        <row r="801">
          <cell r="D801" t="str">
            <v/>
          </cell>
        </row>
        <row r="802">
          <cell r="D802" t="str">
            <v/>
          </cell>
        </row>
        <row r="803">
          <cell r="D803" t="str">
            <v/>
          </cell>
        </row>
        <row r="804">
          <cell r="D804" t="str">
            <v/>
          </cell>
        </row>
        <row r="805">
          <cell r="D805" t="str">
            <v/>
          </cell>
        </row>
        <row r="806">
          <cell r="D806" t="str">
            <v/>
          </cell>
        </row>
        <row r="807">
          <cell r="D807" t="str">
            <v/>
          </cell>
        </row>
        <row r="808">
          <cell r="D808" t="str">
            <v/>
          </cell>
        </row>
        <row r="809">
          <cell r="D809" t="str">
            <v/>
          </cell>
        </row>
        <row r="810">
          <cell r="D810" t="str">
            <v/>
          </cell>
        </row>
        <row r="811">
          <cell r="D811" t="str">
            <v/>
          </cell>
        </row>
        <row r="812">
          <cell r="D812" t="str">
            <v/>
          </cell>
        </row>
        <row r="813">
          <cell r="D813" t="str">
            <v/>
          </cell>
        </row>
        <row r="814">
          <cell r="D814" t="str">
            <v/>
          </cell>
        </row>
        <row r="815">
          <cell r="D815" t="str">
            <v/>
          </cell>
        </row>
        <row r="816">
          <cell r="D816" t="str">
            <v/>
          </cell>
        </row>
        <row r="817">
          <cell r="D817" t="str">
            <v/>
          </cell>
        </row>
        <row r="818">
          <cell r="D818" t="str">
            <v/>
          </cell>
        </row>
        <row r="819">
          <cell r="D819" t="str">
            <v/>
          </cell>
        </row>
        <row r="820">
          <cell r="D820" t="str">
            <v/>
          </cell>
        </row>
        <row r="821">
          <cell r="D821" t="str">
            <v/>
          </cell>
        </row>
        <row r="822">
          <cell r="D822" t="str">
            <v/>
          </cell>
        </row>
        <row r="823">
          <cell r="D823" t="str">
            <v/>
          </cell>
        </row>
        <row r="824">
          <cell r="D824" t="str">
            <v/>
          </cell>
        </row>
        <row r="825">
          <cell r="D825" t="str">
            <v/>
          </cell>
        </row>
        <row r="826">
          <cell r="D826" t="str">
            <v/>
          </cell>
        </row>
        <row r="827">
          <cell r="D827" t="str">
            <v/>
          </cell>
        </row>
        <row r="828">
          <cell r="D828" t="str">
            <v/>
          </cell>
        </row>
        <row r="829">
          <cell r="D829" t="str">
            <v/>
          </cell>
        </row>
        <row r="830">
          <cell r="D830" t="str">
            <v/>
          </cell>
        </row>
        <row r="831">
          <cell r="D831" t="str">
            <v/>
          </cell>
        </row>
        <row r="832">
          <cell r="D832" t="str">
            <v/>
          </cell>
        </row>
        <row r="833">
          <cell r="D833" t="str">
            <v/>
          </cell>
        </row>
        <row r="834">
          <cell r="D834" t="str">
            <v/>
          </cell>
        </row>
        <row r="835">
          <cell r="D835" t="str">
            <v/>
          </cell>
        </row>
        <row r="836">
          <cell r="D836" t="str">
            <v/>
          </cell>
        </row>
        <row r="837">
          <cell r="D837" t="str">
            <v/>
          </cell>
        </row>
        <row r="838">
          <cell r="D838" t="str">
            <v/>
          </cell>
        </row>
        <row r="839">
          <cell r="D839" t="str">
            <v/>
          </cell>
        </row>
        <row r="840">
          <cell r="D840" t="str">
            <v/>
          </cell>
        </row>
        <row r="841">
          <cell r="D841" t="str">
            <v/>
          </cell>
        </row>
        <row r="842">
          <cell r="D842" t="str">
            <v/>
          </cell>
        </row>
        <row r="843">
          <cell r="D843" t="str">
            <v/>
          </cell>
        </row>
        <row r="844">
          <cell r="D844" t="str">
            <v/>
          </cell>
        </row>
        <row r="845">
          <cell r="D845" t="str">
            <v/>
          </cell>
        </row>
        <row r="846">
          <cell r="D846" t="str">
            <v/>
          </cell>
        </row>
        <row r="847">
          <cell r="D847" t="str">
            <v/>
          </cell>
        </row>
        <row r="848">
          <cell r="D848" t="str">
            <v/>
          </cell>
        </row>
        <row r="849">
          <cell r="D849" t="str">
            <v/>
          </cell>
        </row>
        <row r="850">
          <cell r="D850" t="str">
            <v/>
          </cell>
        </row>
        <row r="851">
          <cell r="D851" t="str">
            <v/>
          </cell>
        </row>
        <row r="852">
          <cell r="D852" t="str">
            <v/>
          </cell>
        </row>
        <row r="853">
          <cell r="D853" t="str">
            <v/>
          </cell>
        </row>
        <row r="854">
          <cell r="D854" t="str">
            <v/>
          </cell>
        </row>
        <row r="855">
          <cell r="D855" t="str">
            <v/>
          </cell>
        </row>
        <row r="856">
          <cell r="D856" t="str">
            <v/>
          </cell>
        </row>
        <row r="857">
          <cell r="D857" t="str">
            <v/>
          </cell>
        </row>
        <row r="858">
          <cell r="D858" t="str">
            <v/>
          </cell>
        </row>
        <row r="859">
          <cell r="D859" t="str">
            <v/>
          </cell>
        </row>
        <row r="860">
          <cell r="D860" t="str">
            <v/>
          </cell>
        </row>
        <row r="861">
          <cell r="D861" t="str">
            <v/>
          </cell>
        </row>
        <row r="862">
          <cell r="D862" t="str">
            <v/>
          </cell>
        </row>
        <row r="863">
          <cell r="D863" t="str">
            <v/>
          </cell>
        </row>
        <row r="864">
          <cell r="D864" t="str">
            <v/>
          </cell>
        </row>
        <row r="865">
          <cell r="D865" t="str">
            <v/>
          </cell>
        </row>
        <row r="866">
          <cell r="D866" t="str">
            <v/>
          </cell>
        </row>
        <row r="867">
          <cell r="D867" t="str">
            <v/>
          </cell>
        </row>
        <row r="868">
          <cell r="D868" t="str">
            <v/>
          </cell>
        </row>
        <row r="869">
          <cell r="D869" t="str">
            <v/>
          </cell>
        </row>
        <row r="870">
          <cell r="D870" t="str">
            <v/>
          </cell>
        </row>
        <row r="871">
          <cell r="D871" t="str">
            <v/>
          </cell>
        </row>
        <row r="872">
          <cell r="D872" t="str">
            <v/>
          </cell>
        </row>
        <row r="873">
          <cell r="D873" t="str">
            <v/>
          </cell>
        </row>
        <row r="874">
          <cell r="D874" t="str">
            <v/>
          </cell>
        </row>
        <row r="875">
          <cell r="D875" t="str">
            <v/>
          </cell>
        </row>
        <row r="876">
          <cell r="D876" t="str">
            <v/>
          </cell>
        </row>
        <row r="877">
          <cell r="D877" t="str">
            <v/>
          </cell>
        </row>
        <row r="878">
          <cell r="D878" t="str">
            <v/>
          </cell>
        </row>
        <row r="879">
          <cell r="D879" t="str">
            <v/>
          </cell>
        </row>
        <row r="880">
          <cell r="D880" t="str">
            <v/>
          </cell>
        </row>
        <row r="881">
          <cell r="D881" t="str">
            <v/>
          </cell>
        </row>
        <row r="882">
          <cell r="D882" t="str">
            <v/>
          </cell>
        </row>
        <row r="883">
          <cell r="D883" t="str">
            <v/>
          </cell>
        </row>
        <row r="884">
          <cell r="D884" t="str">
            <v/>
          </cell>
        </row>
        <row r="885">
          <cell r="D885" t="str">
            <v/>
          </cell>
        </row>
        <row r="886">
          <cell r="D886" t="str">
            <v/>
          </cell>
        </row>
        <row r="887">
          <cell r="D887" t="str">
            <v/>
          </cell>
        </row>
        <row r="888">
          <cell r="D888" t="str">
            <v/>
          </cell>
        </row>
        <row r="889">
          <cell r="D889" t="str">
            <v/>
          </cell>
        </row>
        <row r="890">
          <cell r="D890" t="str">
            <v/>
          </cell>
        </row>
        <row r="891">
          <cell r="D891" t="str">
            <v/>
          </cell>
        </row>
        <row r="892">
          <cell r="D892" t="str">
            <v/>
          </cell>
        </row>
        <row r="893">
          <cell r="D893" t="str">
            <v/>
          </cell>
        </row>
        <row r="894">
          <cell r="D894" t="str">
            <v/>
          </cell>
        </row>
        <row r="895">
          <cell r="D895" t="str">
            <v/>
          </cell>
        </row>
        <row r="896">
          <cell r="D896" t="str">
            <v/>
          </cell>
        </row>
        <row r="897">
          <cell r="D897" t="str">
            <v/>
          </cell>
        </row>
        <row r="898">
          <cell r="D898" t="str">
            <v/>
          </cell>
        </row>
        <row r="899">
          <cell r="D899" t="str">
            <v/>
          </cell>
        </row>
        <row r="900">
          <cell r="D900" t="str">
            <v/>
          </cell>
        </row>
        <row r="901">
          <cell r="D901" t="str">
            <v/>
          </cell>
        </row>
        <row r="902">
          <cell r="D902" t="str">
            <v/>
          </cell>
        </row>
        <row r="903">
          <cell r="D903" t="str">
            <v/>
          </cell>
        </row>
        <row r="904">
          <cell r="D904" t="str">
            <v/>
          </cell>
        </row>
        <row r="905">
          <cell r="D905" t="str">
            <v/>
          </cell>
        </row>
        <row r="906">
          <cell r="D906" t="str">
            <v/>
          </cell>
        </row>
        <row r="907">
          <cell r="D907" t="str">
            <v/>
          </cell>
        </row>
        <row r="908">
          <cell r="D908" t="str">
            <v/>
          </cell>
        </row>
        <row r="909">
          <cell r="D909" t="str">
            <v/>
          </cell>
        </row>
        <row r="910">
          <cell r="D910" t="str">
            <v/>
          </cell>
        </row>
        <row r="911">
          <cell r="D911" t="str">
            <v/>
          </cell>
        </row>
        <row r="912">
          <cell r="D912" t="str">
            <v/>
          </cell>
        </row>
        <row r="913">
          <cell r="D913" t="str">
            <v/>
          </cell>
        </row>
        <row r="914">
          <cell r="D914" t="str">
            <v/>
          </cell>
        </row>
        <row r="915">
          <cell r="D915" t="str">
            <v/>
          </cell>
        </row>
        <row r="916">
          <cell r="D916" t="str">
            <v/>
          </cell>
        </row>
        <row r="917">
          <cell r="D917" t="str">
            <v/>
          </cell>
        </row>
        <row r="918">
          <cell r="D918" t="str">
            <v/>
          </cell>
        </row>
        <row r="919">
          <cell r="D919" t="str">
            <v/>
          </cell>
        </row>
        <row r="920">
          <cell r="D920" t="str">
            <v/>
          </cell>
        </row>
        <row r="921">
          <cell r="D921" t="str">
            <v/>
          </cell>
        </row>
        <row r="922">
          <cell r="D922" t="str">
            <v/>
          </cell>
        </row>
        <row r="923">
          <cell r="D923" t="str">
            <v/>
          </cell>
        </row>
        <row r="924">
          <cell r="D924" t="str">
            <v/>
          </cell>
        </row>
        <row r="925">
          <cell r="D925" t="str">
            <v/>
          </cell>
        </row>
        <row r="926">
          <cell r="D926" t="str">
            <v/>
          </cell>
        </row>
        <row r="927">
          <cell r="D927" t="str">
            <v/>
          </cell>
        </row>
        <row r="928">
          <cell r="D928" t="str">
            <v/>
          </cell>
        </row>
        <row r="929">
          <cell r="D929" t="str">
            <v/>
          </cell>
        </row>
        <row r="930">
          <cell r="D930" t="str">
            <v/>
          </cell>
        </row>
        <row r="931">
          <cell r="D931" t="str">
            <v/>
          </cell>
        </row>
        <row r="932">
          <cell r="D932" t="str">
            <v/>
          </cell>
        </row>
        <row r="933">
          <cell r="D933" t="str">
            <v/>
          </cell>
        </row>
        <row r="934">
          <cell r="D934" t="str">
            <v/>
          </cell>
        </row>
        <row r="935">
          <cell r="D935" t="str">
            <v/>
          </cell>
        </row>
        <row r="936">
          <cell r="D936" t="str">
            <v/>
          </cell>
        </row>
        <row r="937">
          <cell r="D937" t="str">
            <v/>
          </cell>
        </row>
        <row r="938">
          <cell r="D938" t="str">
            <v/>
          </cell>
        </row>
        <row r="939">
          <cell r="D939" t="str">
            <v/>
          </cell>
        </row>
        <row r="940">
          <cell r="D940" t="str">
            <v/>
          </cell>
        </row>
        <row r="941">
          <cell r="D941" t="str">
            <v/>
          </cell>
        </row>
        <row r="942">
          <cell r="D942" t="str">
            <v/>
          </cell>
        </row>
        <row r="943">
          <cell r="D943" t="str">
            <v/>
          </cell>
        </row>
        <row r="944">
          <cell r="D944" t="str">
            <v/>
          </cell>
        </row>
        <row r="945">
          <cell r="D945" t="str">
            <v/>
          </cell>
        </row>
        <row r="946">
          <cell r="D946" t="str">
            <v/>
          </cell>
        </row>
        <row r="947">
          <cell r="D947" t="str">
            <v/>
          </cell>
        </row>
        <row r="948">
          <cell r="D948" t="str">
            <v/>
          </cell>
        </row>
        <row r="949">
          <cell r="D949" t="str">
            <v/>
          </cell>
        </row>
        <row r="950">
          <cell r="D950" t="str">
            <v/>
          </cell>
        </row>
        <row r="951">
          <cell r="D951" t="str">
            <v/>
          </cell>
        </row>
        <row r="952">
          <cell r="D952" t="str">
            <v/>
          </cell>
        </row>
        <row r="953">
          <cell r="D953" t="str">
            <v/>
          </cell>
        </row>
        <row r="954">
          <cell r="D954" t="str">
            <v/>
          </cell>
        </row>
        <row r="955">
          <cell r="D955" t="str">
            <v/>
          </cell>
        </row>
        <row r="956">
          <cell r="D956" t="str">
            <v/>
          </cell>
        </row>
        <row r="957">
          <cell r="D957" t="str">
            <v/>
          </cell>
        </row>
        <row r="958">
          <cell r="D958" t="str">
            <v/>
          </cell>
        </row>
        <row r="959">
          <cell r="D959" t="str">
            <v/>
          </cell>
        </row>
        <row r="960">
          <cell r="D960" t="str">
            <v/>
          </cell>
        </row>
        <row r="961">
          <cell r="D961" t="str">
            <v/>
          </cell>
        </row>
        <row r="962">
          <cell r="D962" t="str">
            <v/>
          </cell>
        </row>
        <row r="963">
          <cell r="D963" t="str">
            <v/>
          </cell>
        </row>
        <row r="964">
          <cell r="D964" t="str">
            <v/>
          </cell>
        </row>
        <row r="965">
          <cell r="D965" t="str">
            <v/>
          </cell>
        </row>
        <row r="966">
          <cell r="D966" t="str">
            <v/>
          </cell>
        </row>
        <row r="967">
          <cell r="D967" t="str">
            <v/>
          </cell>
        </row>
        <row r="968">
          <cell r="D968" t="str">
            <v/>
          </cell>
        </row>
        <row r="969">
          <cell r="D969" t="str">
            <v/>
          </cell>
        </row>
        <row r="970">
          <cell r="D970" t="str">
            <v/>
          </cell>
        </row>
        <row r="971">
          <cell r="D971" t="str">
            <v/>
          </cell>
        </row>
        <row r="972">
          <cell r="D972" t="str">
            <v/>
          </cell>
        </row>
        <row r="973">
          <cell r="D973" t="str">
            <v/>
          </cell>
        </row>
        <row r="974">
          <cell r="D974" t="str">
            <v/>
          </cell>
        </row>
        <row r="975">
          <cell r="D975" t="str">
            <v/>
          </cell>
        </row>
        <row r="976">
          <cell r="D976" t="str">
            <v/>
          </cell>
        </row>
        <row r="977">
          <cell r="D977" t="str">
            <v/>
          </cell>
        </row>
        <row r="978">
          <cell r="D978" t="str">
            <v/>
          </cell>
        </row>
        <row r="979">
          <cell r="D979" t="str">
            <v/>
          </cell>
        </row>
        <row r="980">
          <cell r="D980" t="str">
            <v/>
          </cell>
        </row>
        <row r="981">
          <cell r="D981" t="str">
            <v/>
          </cell>
        </row>
        <row r="982">
          <cell r="D982" t="str">
            <v/>
          </cell>
        </row>
        <row r="983">
          <cell r="D983" t="str">
            <v/>
          </cell>
        </row>
        <row r="984">
          <cell r="D984" t="str">
            <v/>
          </cell>
        </row>
        <row r="985">
          <cell r="D985" t="str">
            <v/>
          </cell>
        </row>
        <row r="986">
          <cell r="D986" t="str">
            <v/>
          </cell>
        </row>
        <row r="987">
          <cell r="D987" t="str">
            <v/>
          </cell>
        </row>
        <row r="988">
          <cell r="D988" t="str">
            <v/>
          </cell>
        </row>
        <row r="989">
          <cell r="D989" t="str">
            <v/>
          </cell>
        </row>
        <row r="990">
          <cell r="D990" t="str">
            <v/>
          </cell>
        </row>
        <row r="991">
          <cell r="D991" t="str">
            <v/>
          </cell>
        </row>
        <row r="992">
          <cell r="D992" t="str">
            <v/>
          </cell>
        </row>
        <row r="993">
          <cell r="D993" t="str">
            <v/>
          </cell>
        </row>
        <row r="994">
          <cell r="D994" t="str">
            <v/>
          </cell>
        </row>
        <row r="995">
          <cell r="D995" t="str">
            <v/>
          </cell>
        </row>
        <row r="996">
          <cell r="D996" t="str">
            <v/>
          </cell>
        </row>
        <row r="997">
          <cell r="D997" t="str">
            <v/>
          </cell>
        </row>
        <row r="998">
          <cell r="D998" t="str">
            <v/>
          </cell>
        </row>
        <row r="999">
          <cell r="D999" t="str">
            <v/>
          </cell>
        </row>
        <row r="1000">
          <cell r="D1000" t="str">
            <v/>
          </cell>
        </row>
        <row r="1001">
          <cell r="D1001" t="str">
            <v/>
          </cell>
        </row>
        <row r="1002">
          <cell r="D1002" t="str">
            <v/>
          </cell>
        </row>
        <row r="1003">
          <cell r="D1003" t="str">
            <v/>
          </cell>
        </row>
        <row r="1004">
          <cell r="D1004" t="str">
            <v/>
          </cell>
        </row>
        <row r="1005">
          <cell r="D1005" t="str">
            <v/>
          </cell>
        </row>
        <row r="1006">
          <cell r="D1006" t="str">
            <v/>
          </cell>
        </row>
        <row r="1007">
          <cell r="D1007" t="str">
            <v/>
          </cell>
        </row>
        <row r="1008">
          <cell r="D1008" t="str">
            <v/>
          </cell>
        </row>
        <row r="1009">
          <cell r="D1009" t="str">
            <v/>
          </cell>
        </row>
        <row r="1010">
          <cell r="D1010" t="str">
            <v/>
          </cell>
        </row>
        <row r="1011">
          <cell r="D1011" t="str">
            <v/>
          </cell>
        </row>
        <row r="1012">
          <cell r="D1012" t="str">
            <v/>
          </cell>
        </row>
        <row r="1013">
          <cell r="D1013" t="str">
            <v/>
          </cell>
        </row>
        <row r="1014">
          <cell r="D1014" t="str">
            <v/>
          </cell>
        </row>
        <row r="1015">
          <cell r="D1015" t="str">
            <v/>
          </cell>
        </row>
        <row r="1016">
          <cell r="D1016" t="str">
            <v/>
          </cell>
        </row>
        <row r="1017">
          <cell r="D1017" t="str">
            <v/>
          </cell>
        </row>
        <row r="1018">
          <cell r="D1018" t="str">
            <v/>
          </cell>
        </row>
        <row r="1019">
          <cell r="D1019" t="str">
            <v/>
          </cell>
        </row>
        <row r="1020">
          <cell r="D1020" t="str">
            <v/>
          </cell>
        </row>
        <row r="1021">
          <cell r="D1021" t="str">
            <v/>
          </cell>
        </row>
        <row r="1022">
          <cell r="D1022" t="str">
            <v/>
          </cell>
        </row>
        <row r="1023">
          <cell r="D1023" t="str">
            <v/>
          </cell>
        </row>
        <row r="1031">
          <cell r="A1031" t="str">
            <v>21/22</v>
          </cell>
          <cell r="D1031" t="str">
            <v>L59 Lokeren langsweg, Bormtestraat</v>
          </cell>
          <cell r="K1031" t="str">
            <v>IP-011143.01.01.M01</v>
          </cell>
        </row>
        <row r="1032">
          <cell r="D1032" t="str">
            <v/>
          </cell>
        </row>
        <row r="1033">
          <cell r="D1033" t="str">
            <v/>
          </cell>
        </row>
        <row r="1034">
          <cell r="D1034" t="str">
            <v/>
          </cell>
        </row>
        <row r="1035">
          <cell r="D1035" t="str">
            <v/>
          </cell>
        </row>
        <row r="1036">
          <cell r="D1036" t="str">
            <v/>
          </cell>
        </row>
        <row r="1037">
          <cell r="D1037" t="str">
            <v/>
          </cell>
        </row>
        <row r="1038">
          <cell r="D1038" t="str">
            <v/>
          </cell>
        </row>
        <row r="1039">
          <cell r="D1039" t="str">
            <v/>
          </cell>
        </row>
        <row r="1040">
          <cell r="D1040" t="str">
            <v/>
          </cell>
        </row>
        <row r="1041">
          <cell r="D1041" t="str">
            <v/>
          </cell>
        </row>
        <row r="1042">
          <cell r="D1042" t="str">
            <v/>
          </cell>
        </row>
        <row r="1043">
          <cell r="D1043" t="str">
            <v/>
          </cell>
        </row>
        <row r="1044">
          <cell r="D1044" t="str">
            <v/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 Werklijst ES"/>
    </sheetNames>
    <sheetDataSet>
      <sheetData sheetId="0">
        <row r="7">
          <cell r="A7" t="str">
            <v xml:space="preserve"> </v>
          </cell>
        </row>
        <row r="8">
          <cell r="A8" t="str">
            <v xml:space="preserve"> Werknr</v>
          </cell>
          <cell r="B8" t="str">
            <v>WBS-nummer</v>
          </cell>
        </row>
        <row r="9">
          <cell r="A9" t="str">
            <v>19/1</v>
          </cell>
          <cell r="B9" t="str">
            <v>ok</v>
          </cell>
        </row>
        <row r="10">
          <cell r="A10" t="str">
            <v>19/2</v>
          </cell>
          <cell r="B10" t="str">
            <v>ok</v>
          </cell>
        </row>
        <row r="11">
          <cell r="A11" t="str">
            <v>19/3</v>
          </cell>
          <cell r="B11" t="str">
            <v>ok</v>
          </cell>
        </row>
        <row r="12">
          <cell r="A12" t="str">
            <v>19/4</v>
          </cell>
          <cell r="B12" t="str">
            <v>IP-011788.01.01.M01</v>
          </cell>
        </row>
        <row r="13">
          <cell r="A13" t="str">
            <v>19/5</v>
          </cell>
          <cell r="B13" t="str">
            <v>90000000</v>
          </cell>
        </row>
        <row r="14">
          <cell r="A14" t="str">
            <v>19/6</v>
          </cell>
          <cell r="B14" t="str">
            <v>IP-009444.01.02.M01</v>
          </cell>
        </row>
        <row r="15">
          <cell r="A15" t="str">
            <v>19/7</v>
          </cell>
          <cell r="B15" t="str">
            <v>4003411/H020</v>
          </cell>
        </row>
        <row r="16">
          <cell r="A16" t="str">
            <v>19/8</v>
          </cell>
          <cell r="B16" t="str">
            <v>90000000</v>
          </cell>
        </row>
        <row r="17">
          <cell r="A17" t="str">
            <v>19/9</v>
          </cell>
          <cell r="B17" t="str">
            <v>IP-010741.01.06.M01</v>
          </cell>
        </row>
        <row r="18">
          <cell r="A18" t="str">
            <v>19/10</v>
          </cell>
          <cell r="B18" t="str">
            <v>BT0382902.01/H040</v>
          </cell>
        </row>
        <row r="19">
          <cell r="A19" t="str">
            <v>19/11</v>
          </cell>
          <cell r="B19" t="str">
            <v>IP-009446.01.02.M01</v>
          </cell>
        </row>
        <row r="20">
          <cell r="A20" t="str">
            <v>20/1</v>
          </cell>
          <cell r="B20" t="str">
            <v>BT0382902.01/H040</v>
          </cell>
        </row>
        <row r="21">
          <cell r="A21" t="str">
            <v>20/2</v>
          </cell>
          <cell r="B21" t="str">
            <v>IP-009869.01.01.M01</v>
          </cell>
        </row>
        <row r="22">
          <cell r="A22" t="str">
            <v>20/3</v>
          </cell>
          <cell r="B22" t="str">
            <v>BT0106496.01 /H020</v>
          </cell>
        </row>
        <row r="23">
          <cell r="A23" t="str">
            <v>20/4</v>
          </cell>
          <cell r="B23" t="str">
            <v>BT0106496.01 /H020</v>
          </cell>
        </row>
        <row r="24">
          <cell r="A24" t="str">
            <v>20/5</v>
          </cell>
          <cell r="B24" t="str">
            <v>BT0152342.03/H020</v>
          </cell>
        </row>
        <row r="25">
          <cell r="A25" t="str">
            <v>20/6</v>
          </cell>
          <cell r="B25" t="str">
            <v>BT0106496.01 /H020</v>
          </cell>
        </row>
        <row r="26">
          <cell r="A26" t="str">
            <v>20/7</v>
          </cell>
          <cell r="B26" t="str">
            <v>BT0152342.03/H010</v>
          </cell>
        </row>
        <row r="27">
          <cell r="A27" t="str">
            <v>20/8</v>
          </cell>
          <cell r="B27" t="str">
            <v>BT0106496.01/H020</v>
          </cell>
        </row>
        <row r="28">
          <cell r="A28" t="str">
            <v>20/9</v>
          </cell>
          <cell r="B28" t="str">
            <v>BT0106496.01/H020</v>
          </cell>
        </row>
        <row r="29">
          <cell r="A29" t="str">
            <v>20/10</v>
          </cell>
          <cell r="B29" t="str">
            <v>BT0382902.01/H040</v>
          </cell>
        </row>
        <row r="30">
          <cell r="A30" t="str">
            <v>20/11</v>
          </cell>
          <cell r="B30" t="str">
            <v>IP-009446.01.02.M01</v>
          </cell>
        </row>
        <row r="31">
          <cell r="A31" t="str">
            <v>20/12</v>
          </cell>
          <cell r="B31" t="str">
            <v>IP010450.01.02.M01</v>
          </cell>
        </row>
        <row r="32">
          <cell r="A32" t="str">
            <v>20/13</v>
          </cell>
          <cell r="B32" t="str">
            <v>BT0382902.01/H040</v>
          </cell>
        </row>
        <row r="33">
          <cell r="A33" t="str">
            <v>20/14</v>
          </cell>
          <cell r="B33" t="str">
            <v>IP-007321.01.02.M01</v>
          </cell>
        </row>
        <row r="34">
          <cell r="A34" t="str">
            <v>20/15</v>
          </cell>
          <cell r="B34" t="str">
            <v>IP-008679.01.01.M01</v>
          </cell>
        </row>
        <row r="35">
          <cell r="A35" t="str">
            <v>20/16</v>
          </cell>
          <cell r="B35" t="str">
            <v>IP-010450.01.02.M01</v>
          </cell>
        </row>
        <row r="36">
          <cell r="A36" t="str">
            <v>20/17</v>
          </cell>
          <cell r="B36" t="str">
            <v>BT1206317.01/H010</v>
          </cell>
        </row>
        <row r="37">
          <cell r="A37" t="str">
            <v>20/18</v>
          </cell>
          <cell r="B37" t="str">
            <v>IP-002262.01.03.M01</v>
          </cell>
        </row>
        <row r="38">
          <cell r="A38" t="str">
            <v>20/19</v>
          </cell>
          <cell r="B38" t="str">
            <v>BT0106496.01 /H020</v>
          </cell>
        </row>
        <row r="39">
          <cell r="A39" t="str">
            <v>20/20</v>
          </cell>
          <cell r="B39" t="str">
            <v>502831/3311</v>
          </cell>
        </row>
        <row r="40">
          <cell r="A40" t="str">
            <v>20/21</v>
          </cell>
          <cell r="B40" t="str">
            <v>90000000</v>
          </cell>
        </row>
        <row r="41">
          <cell r="A41" t="str">
            <v>20/22</v>
          </cell>
          <cell r="B41" t="str">
            <v>IP-013674.01.01.M01</v>
          </cell>
        </row>
        <row r="42">
          <cell r="A42" t="str">
            <v>20/23</v>
          </cell>
          <cell r="B42" t="str">
            <v>4003441/H020</v>
          </cell>
        </row>
        <row r="43">
          <cell r="A43" t="str">
            <v>20/24</v>
          </cell>
          <cell r="B43" t="str">
            <v>90000000</v>
          </cell>
        </row>
        <row r="44">
          <cell r="A44" t="str">
            <v>20/25</v>
          </cell>
          <cell r="B44" t="str">
            <v>IP-004906.01.02.M01</v>
          </cell>
        </row>
        <row r="45">
          <cell r="A45" t="str">
            <v>20/26</v>
          </cell>
          <cell r="B45" t="str">
            <v>IP-009699.01.05.M01</v>
          </cell>
        </row>
        <row r="46">
          <cell r="A46" t="str">
            <v>20/27</v>
          </cell>
          <cell r="B46" t="str">
            <v>90000000</v>
          </cell>
        </row>
        <row r="47">
          <cell r="A47" t="str">
            <v>20/28</v>
          </cell>
          <cell r="B47" t="str">
            <v>BT1368471.01 H020</v>
          </cell>
        </row>
        <row r="48">
          <cell r="A48" t="str">
            <v>20/29</v>
          </cell>
          <cell r="B48" t="str">
            <v>IP-010741.01.06.M01</v>
          </cell>
        </row>
        <row r="49">
          <cell r="A49" t="str">
            <v>20/30</v>
          </cell>
          <cell r="B49" t="str">
            <v>IP-008679.01.01.M01</v>
          </cell>
        </row>
        <row r="50">
          <cell r="A50" t="str">
            <v>20/31</v>
          </cell>
          <cell r="B50" t="str">
            <v>IP-011788.01.01.M01</v>
          </cell>
        </row>
        <row r="51">
          <cell r="A51" t="str">
            <v>20/32</v>
          </cell>
          <cell r="B51" t="str">
            <v>4003441/H020</v>
          </cell>
        </row>
        <row r="52">
          <cell r="A52" t="str">
            <v>20/33</v>
          </cell>
          <cell r="B52" t="str">
            <v>4003441/H020</v>
          </cell>
        </row>
        <row r="53">
          <cell r="A53" t="str">
            <v>20/34</v>
          </cell>
          <cell r="B53" t="str">
            <v>gereserveerd voor De Bleeckere Koen</v>
          </cell>
        </row>
        <row r="54">
          <cell r="A54" t="str">
            <v>20/35</v>
          </cell>
          <cell r="B54" t="str">
            <v>IP-001058.01.02.M01</v>
          </cell>
        </row>
        <row r="55">
          <cell r="A55" t="str">
            <v>20/36</v>
          </cell>
          <cell r="B55" t="str">
            <v>BT0106496.01/H020</v>
          </cell>
        </row>
        <row r="56">
          <cell r="A56" t="str">
            <v>20/37</v>
          </cell>
          <cell r="B56" t="str">
            <v>IP-010741.01.06.M01</v>
          </cell>
        </row>
        <row r="57">
          <cell r="A57" t="str">
            <v>20/38</v>
          </cell>
          <cell r="B57" t="str">
            <v>3111/11330</v>
          </cell>
        </row>
        <row r="58">
          <cell r="A58" t="str">
            <v>20/39</v>
          </cell>
          <cell r="B58" t="str">
            <v>IP-009706.01.03.M01</v>
          </cell>
        </row>
        <row r="59">
          <cell r="A59" t="str">
            <v>20/40</v>
          </cell>
          <cell r="B59" t="str">
            <v>BT0106496.01/H020</v>
          </cell>
        </row>
        <row r="60">
          <cell r="A60" t="str">
            <v>20/41</v>
          </cell>
          <cell r="B60" t="str">
            <v>IP-012495.01.01.M01</v>
          </cell>
        </row>
        <row r="61">
          <cell r="A61" t="str">
            <v>20/42</v>
          </cell>
          <cell r="B61" t="str">
            <v>BT4003441H020</v>
          </cell>
        </row>
        <row r="62">
          <cell r="A62" t="str">
            <v>20/43</v>
          </cell>
          <cell r="B62" t="str">
            <v>IP-009869.01.01.M01</v>
          </cell>
        </row>
        <row r="63">
          <cell r="A63" t="str">
            <v>20/44</v>
          </cell>
          <cell r="B63" t="str">
            <v>IP-005283.01.03.M01</v>
          </cell>
        </row>
        <row r="64">
          <cell r="A64" t="str">
            <v>20/45</v>
          </cell>
          <cell r="B64" t="str">
            <v>IP-009446.01.02.M01</v>
          </cell>
        </row>
        <row r="65">
          <cell r="A65" t="str">
            <v>20/47</v>
          </cell>
          <cell r="B65" t="str">
            <v>IP-013674.01.01.M01</v>
          </cell>
        </row>
        <row r="66">
          <cell r="A66" t="str">
            <v>20/46</v>
          </cell>
          <cell r="B66" t="str">
            <v>IP-009869.01.01.M01</v>
          </cell>
        </row>
        <row r="67">
          <cell r="A67" t="str">
            <v>20/48</v>
          </cell>
          <cell r="B67" t="str">
            <v>2223/526204</v>
          </cell>
        </row>
        <row r="68">
          <cell r="A68" t="str">
            <v>20/49</v>
          </cell>
          <cell r="B68" t="str">
            <v>gereserveerd voor De Bleeckere Koen</v>
          </cell>
        </row>
        <row r="69">
          <cell r="A69" t="str">
            <v>20/50</v>
          </cell>
          <cell r="B69" t="str">
            <v>IP-005283.01.03.M01</v>
          </cell>
        </row>
        <row r="70">
          <cell r="A70" t="str">
            <v>20/51</v>
          </cell>
          <cell r="B70" t="str">
            <v>BT1212362.01/H020</v>
          </cell>
        </row>
        <row r="71">
          <cell r="A71" t="str">
            <v>20/52</v>
          </cell>
          <cell r="B71" t="str">
            <v>IP-010741.01.06.M01</v>
          </cell>
        </row>
        <row r="72">
          <cell r="A72" t="str">
            <v>20/53</v>
          </cell>
          <cell r="B72" t="str">
            <v>IP-010741.01.06.M01</v>
          </cell>
        </row>
        <row r="73">
          <cell r="A73" t="str">
            <v>20/54</v>
          </cell>
          <cell r="B73" t="str">
            <v>IP-010741.01.06.M01</v>
          </cell>
        </row>
        <row r="74">
          <cell r="A74" t="str">
            <v>20/55</v>
          </cell>
          <cell r="B74" t="str">
            <v>BT1213365.01</v>
          </cell>
        </row>
        <row r="75">
          <cell r="A75" t="str">
            <v>20/56</v>
          </cell>
        </row>
        <row r="76">
          <cell r="A76" t="str">
            <v>20/57</v>
          </cell>
        </row>
        <row r="77">
          <cell r="A77" t="str">
            <v>20/58</v>
          </cell>
          <cell r="B77" t="str">
            <v>2244/502721</v>
          </cell>
        </row>
        <row r="78">
          <cell r="A78" t="str">
            <v>20/59</v>
          </cell>
          <cell r="B78" t="str">
            <v>2244/502691</v>
          </cell>
        </row>
        <row r="79">
          <cell r="A79" t="str">
            <v>20/60</v>
          </cell>
          <cell r="B79" t="str">
            <v>2223/526203</v>
          </cell>
        </row>
        <row r="80">
          <cell r="A80" t="str">
            <v>20/61</v>
          </cell>
          <cell r="B80" t="str">
            <v>2211/524261</v>
          </cell>
        </row>
        <row r="81">
          <cell r="A81" t="str">
            <v>20/62</v>
          </cell>
          <cell r="B81" t="str">
            <v>2223/526202</v>
          </cell>
        </row>
        <row r="82">
          <cell r="A82" t="str">
            <v>20/63</v>
          </cell>
          <cell r="B82" t="str">
            <v>2223/526203</v>
          </cell>
        </row>
        <row r="83">
          <cell r="A83" t="str">
            <v>20/64</v>
          </cell>
          <cell r="B83" t="str">
            <v>BT1212362.01H020</v>
          </cell>
        </row>
        <row r="84">
          <cell r="A84" t="str">
            <v>20/65</v>
          </cell>
          <cell r="B84" t="str">
            <v>2223/526204</v>
          </cell>
        </row>
        <row r="85">
          <cell r="A85" t="str">
            <v>20/66</v>
          </cell>
          <cell r="B85" t="str">
            <v>BT0221331.01/H010</v>
          </cell>
        </row>
        <row r="86">
          <cell r="A86" t="str">
            <v>20/67</v>
          </cell>
          <cell r="B86" t="str">
            <v>502871 3224</v>
          </cell>
        </row>
        <row r="87">
          <cell r="A87" t="str">
            <v>20/68</v>
          </cell>
          <cell r="B87" t="str">
            <v>2133/510212</v>
          </cell>
        </row>
        <row r="88">
          <cell r="A88" t="str">
            <v>20/69</v>
          </cell>
          <cell r="B88" t="str">
            <v>2144/502091</v>
          </cell>
        </row>
        <row r="89">
          <cell r="A89" t="str">
            <v>20/70</v>
          </cell>
          <cell r="B89" t="str">
            <v>2141/531567</v>
          </cell>
        </row>
        <row r="90">
          <cell r="A90" t="str">
            <v>20/71</v>
          </cell>
          <cell r="B90" t="str">
            <v>2122/526189</v>
          </cell>
        </row>
        <row r="91">
          <cell r="A91" t="str">
            <v>20/72</v>
          </cell>
          <cell r="B91" t="str">
            <v>2122/526186</v>
          </cell>
        </row>
        <row r="92">
          <cell r="A92" t="str">
            <v>20/73</v>
          </cell>
          <cell r="B92" t="str">
            <v>2122/526188</v>
          </cell>
        </row>
        <row r="93">
          <cell r="A93" t="str">
            <v>20/74</v>
          </cell>
        </row>
        <row r="94">
          <cell r="A94" t="str">
            <v>20/75</v>
          </cell>
          <cell r="B94" t="str">
            <v>IP-011481.01.01.M01</v>
          </cell>
        </row>
        <row r="95">
          <cell r="A95" t="str">
            <v>20/76</v>
          </cell>
          <cell r="B95" t="str">
            <v>BT1213365.01/L01</v>
          </cell>
        </row>
        <row r="96">
          <cell r="A96" t="str">
            <v>20/77</v>
          </cell>
          <cell r="B96" t="str">
            <v>2141/531574</v>
          </cell>
        </row>
        <row r="97">
          <cell r="A97" t="str">
            <v>20/78</v>
          </cell>
          <cell r="B97" t="str">
            <v>2223/526187</v>
          </cell>
        </row>
        <row r="98">
          <cell r="A98" t="str">
            <v>20/79</v>
          </cell>
          <cell r="B98" t="str">
            <v>2211/524251</v>
          </cell>
        </row>
        <row r="99">
          <cell r="A99" t="str">
            <v>20/80</v>
          </cell>
          <cell r="B99" t="str">
            <v>IP-011127.01.01.M01</v>
          </cell>
        </row>
        <row r="100">
          <cell r="A100" t="str">
            <v>20/81</v>
          </cell>
          <cell r="B100" t="str">
            <v>11330 3111</v>
          </cell>
        </row>
        <row r="101">
          <cell r="A101" t="str">
            <v>20/82</v>
          </cell>
          <cell r="B101" t="str">
            <v>11330 3111</v>
          </cell>
        </row>
        <row r="102">
          <cell r="A102" t="str">
            <v>20/83</v>
          </cell>
          <cell r="B102" t="str">
            <v>0000/000000</v>
          </cell>
        </row>
        <row r="103">
          <cell r="A103" t="str">
            <v>20/84</v>
          </cell>
          <cell r="B103" t="str">
            <v>BT1368471.01H010</v>
          </cell>
        </row>
        <row r="104">
          <cell r="A104" t="str">
            <v>20/85</v>
          </cell>
          <cell r="B104" t="str">
            <v>IP-011481.01.01.M01</v>
          </cell>
        </row>
        <row r="105">
          <cell r="A105" t="str">
            <v>20/86</v>
          </cell>
          <cell r="B105" t="str">
            <v>BT0106496.01/H020</v>
          </cell>
        </row>
        <row r="106">
          <cell r="A106" t="str">
            <v>20/87</v>
          </cell>
          <cell r="B106" t="str">
            <v>IP 008679.01.01.M01</v>
          </cell>
        </row>
        <row r="107">
          <cell r="A107" t="str">
            <v>20/89</v>
          </cell>
          <cell r="B107" t="str">
            <v>0000/000000</v>
          </cell>
        </row>
        <row r="108">
          <cell r="A108" t="str">
            <v>20/90</v>
          </cell>
          <cell r="B108" t="str">
            <v>IP-007844.01.01.M01</v>
          </cell>
        </row>
        <row r="109">
          <cell r="A109" t="str">
            <v>20/91</v>
          </cell>
          <cell r="B109" t="str">
            <v>0000/000000</v>
          </cell>
        </row>
        <row r="110">
          <cell r="A110" t="str">
            <v>20/92</v>
          </cell>
          <cell r="B110" t="str">
            <v>IP-010463.01.01.M01</v>
          </cell>
        </row>
        <row r="111">
          <cell r="A111" t="str">
            <v>20/94</v>
          </cell>
          <cell r="B111" t="str">
            <v>0000/000000</v>
          </cell>
        </row>
        <row r="112">
          <cell r="A112" t="str">
            <v>20/95</v>
          </cell>
          <cell r="B112" t="str">
            <v>IP-010741.01.06.M01</v>
          </cell>
        </row>
        <row r="113">
          <cell r="A113" t="str">
            <v>20/96</v>
          </cell>
          <cell r="B113" t="str">
            <v>2141/531574</v>
          </cell>
        </row>
        <row r="114">
          <cell r="A114" t="str">
            <v>20/97</v>
          </cell>
          <cell r="B114" t="str">
            <v>2221/522215</v>
          </cell>
        </row>
        <row r="115">
          <cell r="A115" t="str">
            <v>20/98</v>
          </cell>
          <cell r="B115" t="str">
            <v>0000/000000</v>
          </cell>
        </row>
        <row r="116">
          <cell r="A116" t="str">
            <v>20/99</v>
          </cell>
          <cell r="B116" t="str">
            <v>IP-004906.01.02.M01</v>
          </cell>
        </row>
        <row r="117">
          <cell r="A117" t="str">
            <v>20/100</v>
          </cell>
          <cell r="B117" t="str">
            <v>11321/3111</v>
          </cell>
        </row>
        <row r="118">
          <cell r="A118" t="str">
            <v>20/101</v>
          </cell>
          <cell r="B118" t="str">
            <v>2241/531799</v>
          </cell>
        </row>
        <row r="119">
          <cell r="A119" t="str">
            <v>20/102</v>
          </cell>
          <cell r="B119" t="str">
            <v>IP-011788.01.01.M01</v>
          </cell>
        </row>
        <row r="120">
          <cell r="A120" t="str">
            <v>20/103</v>
          </cell>
          <cell r="B120" t="str">
            <v>IP-010534.01.01.M01</v>
          </cell>
        </row>
        <row r="121">
          <cell r="A121" t="str">
            <v>20/104</v>
          </cell>
          <cell r="B121" t="str">
            <v>IP-0136774.01.01.M01</v>
          </cell>
        </row>
        <row r="122">
          <cell r="A122" t="str">
            <v>20/105</v>
          </cell>
          <cell r="B122" t="str">
            <v>IP-010624.01.01.M01</v>
          </cell>
        </row>
        <row r="123">
          <cell r="A123" t="str">
            <v>20/106</v>
          </cell>
          <cell r="B123" t="str">
            <v>IP-012949.01.01.M01</v>
          </cell>
        </row>
        <row r="124">
          <cell r="A124" t="str">
            <v>20/107</v>
          </cell>
        </row>
        <row r="125">
          <cell r="A125" t="str">
            <v>20/108</v>
          </cell>
        </row>
        <row r="126">
          <cell r="A126" t="str">
            <v>20/109</v>
          </cell>
          <cell r="B126" t="str">
            <v>BT1221362.01/H020</v>
          </cell>
        </row>
        <row r="127">
          <cell r="A127" t="str">
            <v>20/110</v>
          </cell>
        </row>
        <row r="128">
          <cell r="A128" t="str">
            <v>20/111</v>
          </cell>
          <cell r="B128" t="str">
            <v>IP-011788.01.01.M01</v>
          </cell>
        </row>
        <row r="129">
          <cell r="A129" t="str">
            <v>20/112</v>
          </cell>
          <cell r="B129" t="str">
            <v>BT1212362.01 H020</v>
          </cell>
        </row>
        <row r="130">
          <cell r="A130" t="str">
            <v>20/113</v>
          </cell>
          <cell r="B130" t="str">
            <v>IP-003498.19.01.M01</v>
          </cell>
        </row>
        <row r="131">
          <cell r="A131" t="str">
            <v>20/114</v>
          </cell>
          <cell r="B131" t="str">
            <v>IP-010200.01.01.M01</v>
          </cell>
        </row>
        <row r="132">
          <cell r="A132" t="str">
            <v>20/115</v>
          </cell>
          <cell r="B132" t="str">
            <v>BT0152306.04 H020</v>
          </cell>
        </row>
        <row r="133">
          <cell r="A133" t="str">
            <v>20/116</v>
          </cell>
          <cell r="B133" t="str">
            <v>IP-010450.01.02.M01</v>
          </cell>
        </row>
        <row r="134">
          <cell r="A134" t="str">
            <v>20/117</v>
          </cell>
          <cell r="B134" t="str">
            <v>IP-011666.01.01.M01</v>
          </cell>
        </row>
        <row r="135">
          <cell r="A135" t="str">
            <v>20/118</v>
          </cell>
          <cell r="B135" t="str">
            <v>IP-010200.01.01.M01</v>
          </cell>
        </row>
        <row r="136">
          <cell r="A136" t="str">
            <v>20/119</v>
          </cell>
          <cell r="B136" t="str">
            <v>IP-010200.01.01.M01</v>
          </cell>
        </row>
        <row r="137">
          <cell r="A137" t="str">
            <v>20/120</v>
          </cell>
          <cell r="B137" t="str">
            <v>IP-011134.01.01.M01</v>
          </cell>
        </row>
        <row r="138">
          <cell r="A138" t="str">
            <v>20/121</v>
          </cell>
          <cell r="B138" t="str">
            <v>IP-011133.01.01.M01</v>
          </cell>
        </row>
        <row r="139">
          <cell r="A139" t="str">
            <v>20/122</v>
          </cell>
          <cell r="B139" t="str">
            <v>niet gekregen</v>
          </cell>
        </row>
        <row r="140">
          <cell r="A140" t="str">
            <v>20/123</v>
          </cell>
          <cell r="B140" t="str">
            <v>niet gekregen</v>
          </cell>
        </row>
        <row r="141">
          <cell r="A141" t="str">
            <v>20/124</v>
          </cell>
          <cell r="B141" t="str">
            <v>009691.01.05.M01</v>
          </cell>
        </row>
        <row r="142">
          <cell r="A142" t="str">
            <v>20/125</v>
          </cell>
          <cell r="B142" t="str">
            <v>IP-010200.01.01.M01</v>
          </cell>
        </row>
        <row r="143">
          <cell r="A143" t="str">
            <v>20/126</v>
          </cell>
          <cell r="B143" t="str">
            <v>IP-010624.01.01.M01</v>
          </cell>
        </row>
        <row r="144">
          <cell r="A144" t="str">
            <v>20/127</v>
          </cell>
          <cell r="B144" t="str">
            <v>IP-01148.01.05.M01</v>
          </cell>
        </row>
        <row r="145">
          <cell r="A145" t="str">
            <v>20/128</v>
          </cell>
          <cell r="B145" t="str">
            <v>IP-010450.01.02.M01</v>
          </cell>
        </row>
        <row r="146">
          <cell r="A146" t="str">
            <v>20/129</v>
          </cell>
          <cell r="B146" t="str">
            <v>IP-008697.02.01.M01</v>
          </cell>
        </row>
        <row r="147">
          <cell r="A147" t="str">
            <v>20/130</v>
          </cell>
          <cell r="B147" t="str">
            <v>11326</v>
          </cell>
        </row>
        <row r="148">
          <cell r="A148" t="str">
            <v>20/131</v>
          </cell>
          <cell r="B148" t="str">
            <v>IP 008591.01.03.M01</v>
          </cell>
        </row>
        <row r="149">
          <cell r="A149" t="str">
            <v>20/132</v>
          </cell>
          <cell r="B149" t="str">
            <v>IP 010741.01.06.M01</v>
          </cell>
        </row>
        <row r="150">
          <cell r="A150" t="str">
            <v>20/133</v>
          </cell>
          <cell r="B150" t="str">
            <v>IP 011789.01.01.M01</v>
          </cell>
        </row>
        <row r="151">
          <cell r="A151" t="str">
            <v>20/134</v>
          </cell>
          <cell r="B151" t="str">
            <v>IP-000299.04.01.M01</v>
          </cell>
        </row>
        <row r="152">
          <cell r="A152" t="str">
            <v>20/135</v>
          </cell>
          <cell r="B152" t="str">
            <v xml:space="preserve"> BT1207475.01H010</v>
          </cell>
        </row>
        <row r="153">
          <cell r="A153" t="str">
            <v>20/136</v>
          </cell>
          <cell r="B153" t="str">
            <v>niet gekregen</v>
          </cell>
        </row>
        <row r="154">
          <cell r="A154" t="str">
            <v>20/137</v>
          </cell>
        </row>
        <row r="155">
          <cell r="A155" t="str">
            <v>20/138</v>
          </cell>
        </row>
        <row r="156">
          <cell r="A156" t="str">
            <v>20/139</v>
          </cell>
        </row>
        <row r="157">
          <cell r="A157" t="str">
            <v>20/140</v>
          </cell>
        </row>
        <row r="158">
          <cell r="A158" t="str">
            <v>20/141</v>
          </cell>
        </row>
        <row r="159">
          <cell r="A159" t="str">
            <v>20/142</v>
          </cell>
        </row>
        <row r="160">
          <cell r="A160" t="str">
            <v>20/143</v>
          </cell>
          <cell r="B160" t="str">
            <v>BT121236.01  LES1</v>
          </cell>
        </row>
        <row r="161">
          <cell r="A161" t="str">
            <v>20/144</v>
          </cell>
          <cell r="B161" t="str">
            <v>IP-013250.01.01.M01</v>
          </cell>
        </row>
        <row r="162">
          <cell r="A162" t="str">
            <v>20/145</v>
          </cell>
          <cell r="B162" t="str">
            <v>IP-005190.01.01.M01</v>
          </cell>
        </row>
        <row r="163">
          <cell r="A163" t="str">
            <v>20/146</v>
          </cell>
          <cell r="B163" t="str">
            <v>IP-013673.01.01.M01</v>
          </cell>
        </row>
        <row r="164">
          <cell r="A164" t="str">
            <v>20/147</v>
          </cell>
          <cell r="B164" t="str">
            <v>IP-008891.01.03.M01</v>
          </cell>
        </row>
        <row r="165">
          <cell r="A165" t="str">
            <v>20/148</v>
          </cell>
        </row>
        <row r="166">
          <cell r="A166" t="str">
            <v>20/149</v>
          </cell>
          <cell r="B166" t="str">
            <v>IP-005190.01.01.M01</v>
          </cell>
        </row>
        <row r="167">
          <cell r="A167" t="str">
            <v>20/150</v>
          </cell>
          <cell r="B167" t="str">
            <v>IP-005190.01.01.M01</v>
          </cell>
        </row>
        <row r="168">
          <cell r="A168" t="str">
            <v>20/151</v>
          </cell>
          <cell r="B168" t="str">
            <v>IP-008591.01.03.M01</v>
          </cell>
        </row>
        <row r="169">
          <cell r="A169" t="str">
            <v>20/152</v>
          </cell>
          <cell r="B169" t="str">
            <v>3111/11330</v>
          </cell>
        </row>
        <row r="170">
          <cell r="A170" t="str">
            <v>20/153</v>
          </cell>
          <cell r="B170" t="str">
            <v>IP-010597.01.03.M01</v>
          </cell>
        </row>
        <row r="171">
          <cell r="A171" t="str">
            <v>20/154</v>
          </cell>
          <cell r="B171" t="str">
            <v>IP-012005.01.01.M01</v>
          </cell>
        </row>
        <row r="172">
          <cell r="A172" t="str">
            <v>20/155</v>
          </cell>
          <cell r="B172" t="str">
            <v>IP-008467.02.01.M01</v>
          </cell>
        </row>
        <row r="173">
          <cell r="A173" t="str">
            <v>20/156</v>
          </cell>
          <cell r="B173" t="str">
            <v>BT0152342.04/H020 slecht</v>
          </cell>
        </row>
        <row r="174">
          <cell r="A174" t="str">
            <v>20/157</v>
          </cell>
          <cell r="B174" t="str">
            <v>IP-010624.01.01.M01</v>
          </cell>
        </row>
        <row r="175">
          <cell r="A175" t="str">
            <v>20/158</v>
          </cell>
        </row>
        <row r="176">
          <cell r="A176" t="str">
            <v>20/159</v>
          </cell>
        </row>
        <row r="177">
          <cell r="A177" t="str">
            <v>20/160</v>
          </cell>
          <cell r="B177" t="str">
            <v>IP-009446.01.02.M01</v>
          </cell>
        </row>
        <row r="178">
          <cell r="A178" t="str">
            <v>20/161</v>
          </cell>
          <cell r="B178" t="str">
            <v>502451 3224</v>
          </cell>
        </row>
        <row r="179">
          <cell r="A179" t="str">
            <v>20/162</v>
          </cell>
          <cell r="B179" t="str">
            <v>IP-009692.01.05.M01</v>
          </cell>
        </row>
        <row r="180">
          <cell r="A180" t="str">
            <v>20/163</v>
          </cell>
          <cell r="B180" t="str">
            <v>2224/526198</v>
          </cell>
        </row>
        <row r="181">
          <cell r="A181" t="str">
            <v>20/164</v>
          </cell>
          <cell r="B181" t="str">
            <v>2141/531574</v>
          </cell>
        </row>
        <row r="182">
          <cell r="A182" t="str">
            <v>20/165</v>
          </cell>
          <cell r="B182" t="str">
            <v>11314 3226</v>
          </cell>
        </row>
        <row r="183">
          <cell r="A183" t="str">
            <v>20/166</v>
          </cell>
          <cell r="B183" t="str">
            <v>9000000</v>
          </cell>
        </row>
        <row r="184">
          <cell r="A184" t="str">
            <v>20/167</v>
          </cell>
          <cell r="B184" t="str">
            <v>2144/502191</v>
          </cell>
        </row>
        <row r="185">
          <cell r="A185" t="str">
            <v>20/168</v>
          </cell>
          <cell r="B185" t="str">
            <v>2144/510478</v>
          </cell>
        </row>
        <row r="186">
          <cell r="A186" t="str">
            <v>20/169</v>
          </cell>
          <cell r="B186" t="str">
            <v>2133/510226</v>
          </cell>
        </row>
        <row r="187">
          <cell r="A187" t="str">
            <v>20/170</v>
          </cell>
        </row>
        <row r="188">
          <cell r="A188" t="str">
            <v>20/171</v>
          </cell>
          <cell r="B188" t="str">
            <v>3223 501951</v>
          </cell>
        </row>
        <row r="189">
          <cell r="A189" t="str">
            <v>20/172</v>
          </cell>
          <cell r="B189" t="str">
            <v>4003441 H020</v>
          </cell>
        </row>
        <row r="190">
          <cell r="A190" t="str">
            <v>20/173</v>
          </cell>
          <cell r="B190" t="str">
            <v>BT0382404.01 H020</v>
          </cell>
        </row>
        <row r="191">
          <cell r="A191" t="str">
            <v>20/174</v>
          </cell>
          <cell r="B191" t="str">
            <v>BT0382404.01 H020</v>
          </cell>
        </row>
        <row r="192">
          <cell r="A192" t="str">
            <v>20/175</v>
          </cell>
          <cell r="B192" t="str">
            <v>4003441 H020</v>
          </cell>
        </row>
        <row r="193">
          <cell r="A193" t="str">
            <v>20/176</v>
          </cell>
          <cell r="B193" t="str">
            <v>IP-008679.01.02.M01</v>
          </cell>
        </row>
        <row r="194">
          <cell r="A194" t="str">
            <v>20/177</v>
          </cell>
          <cell r="B194" t="str">
            <v>IP-011127.01.01.M01</v>
          </cell>
        </row>
        <row r="195">
          <cell r="A195" t="str">
            <v>20/178</v>
          </cell>
          <cell r="B195" t="str">
            <v>90000000</v>
          </cell>
        </row>
        <row r="196">
          <cell r="A196" t="str">
            <v>20/179</v>
          </cell>
          <cell r="B196" t="str">
            <v>IP-011418.01.01.M01</v>
          </cell>
        </row>
        <row r="197">
          <cell r="A197" t="str">
            <v>20/180</v>
          </cell>
          <cell r="B197" t="str">
            <v>IP-010624.01.01.M01</v>
          </cell>
        </row>
        <row r="198">
          <cell r="A198" t="str">
            <v>20/181</v>
          </cell>
          <cell r="B198" t="str">
            <v>IP-000299.02.01.M01</v>
          </cell>
        </row>
        <row r="199">
          <cell r="A199" t="str">
            <v>20/182</v>
          </cell>
          <cell r="B199" t="str">
            <v>4003441  H020</v>
          </cell>
        </row>
        <row r="200">
          <cell r="A200" t="str">
            <v>20/183</v>
          </cell>
          <cell r="B200" t="str">
            <v>BT1213365.01.L001</v>
          </cell>
        </row>
        <row r="201">
          <cell r="A201" t="str">
            <v>20/184</v>
          </cell>
          <cell r="B201" t="str">
            <v>BT1212362.01 H020</v>
          </cell>
        </row>
        <row r="202">
          <cell r="A202" t="str">
            <v>20/185</v>
          </cell>
          <cell r="B202" t="str">
            <v>BT1206317.01.H010</v>
          </cell>
        </row>
        <row r="203">
          <cell r="A203" t="str">
            <v>20/186</v>
          </cell>
          <cell r="B203" t="str">
            <v>BT1206317.01.H010</v>
          </cell>
        </row>
        <row r="204">
          <cell r="A204" t="str">
            <v>20/187</v>
          </cell>
          <cell r="B204" t="str">
            <v>IP-011126.01.01.M01</v>
          </cell>
        </row>
        <row r="205">
          <cell r="A205" t="str">
            <v>20/188</v>
          </cell>
          <cell r="B205" t="str">
            <v>IP-010154.01.01.M01</v>
          </cell>
        </row>
        <row r="206">
          <cell r="A206" t="str">
            <v>20/189</v>
          </cell>
          <cell r="B206" t="str">
            <v>2111/524629</v>
          </cell>
        </row>
        <row r="207">
          <cell r="A207" t="str">
            <v>20/190</v>
          </cell>
          <cell r="B207" t="str">
            <v>IP-008697.02.01.M01</v>
          </cell>
        </row>
        <row r="208">
          <cell r="A208" t="str">
            <v>20/191</v>
          </cell>
          <cell r="B208" t="str">
            <v>IP-011481.01.01.M01</v>
          </cell>
        </row>
        <row r="209">
          <cell r="A209" t="str">
            <v>20/192</v>
          </cell>
          <cell r="B209" t="str">
            <v>2141/531567</v>
          </cell>
        </row>
        <row r="210">
          <cell r="A210" t="str">
            <v>20/193</v>
          </cell>
          <cell r="B210" t="str">
            <v>2141/510816</v>
          </cell>
        </row>
        <row r="211">
          <cell r="A211" t="str">
            <v>20/194</v>
          </cell>
          <cell r="B211" t="str">
            <v>2111/524251</v>
          </cell>
        </row>
        <row r="212">
          <cell r="A212" t="str">
            <v>20/195</v>
          </cell>
          <cell r="B212" t="str">
            <v>2135/510026</v>
          </cell>
        </row>
        <row r="213">
          <cell r="A213" t="str">
            <v>20/196</v>
          </cell>
          <cell r="B213" t="str">
            <v>IP-003171.01.05.003</v>
          </cell>
        </row>
        <row r="214">
          <cell r="A214" t="str">
            <v>20/197</v>
          </cell>
        </row>
        <row r="215">
          <cell r="A215" t="str">
            <v>20/198</v>
          </cell>
          <cell r="B215" t="str">
            <v>IP-011126.01.01.M01</v>
          </cell>
        </row>
        <row r="216">
          <cell r="A216" t="str">
            <v>20/199</v>
          </cell>
        </row>
        <row r="217">
          <cell r="A217" t="str">
            <v>20/200</v>
          </cell>
          <cell r="B217" t="str">
            <v>IP-010624.01.01.M01</v>
          </cell>
        </row>
        <row r="218">
          <cell r="A218" t="str">
            <v>20/201</v>
          </cell>
          <cell r="B218" t="str">
            <v>IP-000299.04.01.M01</v>
          </cell>
        </row>
        <row r="219">
          <cell r="A219" t="str">
            <v>20/202</v>
          </cell>
          <cell r="B219" t="str">
            <v>IP-000299.04.01.M01</v>
          </cell>
        </row>
        <row r="220">
          <cell r="A220" t="str">
            <v>20/203</v>
          </cell>
          <cell r="B220" t="str">
            <v>IP-000299.04.01.M01</v>
          </cell>
        </row>
        <row r="221">
          <cell r="A221" t="str">
            <v>20/204</v>
          </cell>
          <cell r="B221" t="str">
            <v>IP-011150.01.01.M01</v>
          </cell>
        </row>
        <row r="222">
          <cell r="A222" t="str">
            <v>20/205</v>
          </cell>
          <cell r="B222" t="str">
            <v>IP-011150.01.01.M01</v>
          </cell>
        </row>
        <row r="223">
          <cell r="A223" t="str">
            <v>20/206</v>
          </cell>
          <cell r="B223" t="str">
            <v>BT0152315.04H021</v>
          </cell>
        </row>
        <row r="224">
          <cell r="A224" t="str">
            <v>20/207</v>
          </cell>
        </row>
        <row r="225">
          <cell r="A225" t="str">
            <v>20/208</v>
          </cell>
          <cell r="B225" t="str">
            <v>BT1212362.01 H020</v>
          </cell>
        </row>
        <row r="226">
          <cell r="A226" t="str">
            <v>20/209</v>
          </cell>
          <cell r="B226" t="str">
            <v>BT1212362.01 H020</v>
          </cell>
        </row>
        <row r="227">
          <cell r="A227" t="str">
            <v>20/210</v>
          </cell>
          <cell r="B227" t="str">
            <v>BT1212362.01 H020</v>
          </cell>
        </row>
        <row r="228">
          <cell r="A228" t="str">
            <v>20/211</v>
          </cell>
          <cell r="B228" t="str">
            <v>BT1213365.01   L01</v>
          </cell>
        </row>
        <row r="229">
          <cell r="A229" t="str">
            <v>20/212</v>
          </cell>
          <cell r="B229" t="str">
            <v>BT1212362.01  H020</v>
          </cell>
        </row>
        <row r="230">
          <cell r="A230" t="str">
            <v>20/213</v>
          </cell>
        </row>
        <row r="231">
          <cell r="A231" t="str">
            <v>20/214</v>
          </cell>
          <cell r="B231" t="str">
            <v>IP-010450.01.02.M01</v>
          </cell>
        </row>
        <row r="232">
          <cell r="A232" t="str">
            <v>20/215</v>
          </cell>
          <cell r="B232" t="str">
            <v>IP-010450.01.02.M01</v>
          </cell>
        </row>
        <row r="233">
          <cell r="A233" t="str">
            <v>20/216</v>
          </cell>
          <cell r="B233" t="str">
            <v>IP-010450.01.02.M01</v>
          </cell>
        </row>
        <row r="234">
          <cell r="A234" t="str">
            <v>20/217</v>
          </cell>
          <cell r="B234" t="str">
            <v>IP-010450.01.02.M01</v>
          </cell>
        </row>
        <row r="235">
          <cell r="A235" t="str">
            <v>20/218</v>
          </cell>
          <cell r="B235" t="str">
            <v>IP-010450.01.02.M01</v>
          </cell>
        </row>
        <row r="236">
          <cell r="A236" t="str">
            <v>20/219</v>
          </cell>
          <cell r="B236" t="str">
            <v>IP-010450.01.02.M01</v>
          </cell>
        </row>
        <row r="237">
          <cell r="A237" t="str">
            <v>20/220</v>
          </cell>
        </row>
        <row r="238">
          <cell r="A238" t="str">
            <v>20/221</v>
          </cell>
          <cell r="B238" t="str">
            <v>ip 010741.01.06.M01</v>
          </cell>
        </row>
        <row r="239">
          <cell r="A239" t="str">
            <v>20/222</v>
          </cell>
          <cell r="B239" t="str">
            <v>IP-011481.01.01.M01</v>
          </cell>
        </row>
        <row r="240">
          <cell r="A240" t="str">
            <v>20/223</v>
          </cell>
          <cell r="B240" t="str">
            <v>ip-010741.01.06.M01</v>
          </cell>
        </row>
        <row r="241">
          <cell r="A241" t="str">
            <v>20/224</v>
          </cell>
        </row>
        <row r="242">
          <cell r="A242" t="str">
            <v>20/225</v>
          </cell>
          <cell r="B242" t="str">
            <v>IP-011127.01.01.M01</v>
          </cell>
        </row>
        <row r="243">
          <cell r="A243" t="str">
            <v>20/226</v>
          </cell>
          <cell r="B243" t="str">
            <v>IP-011788.01.01.M01</v>
          </cell>
        </row>
        <row r="244">
          <cell r="A244" t="str">
            <v>20/227</v>
          </cell>
          <cell r="B244" t="str">
            <v>IP-010450.01.02.M01</v>
          </cell>
        </row>
        <row r="245">
          <cell r="A245" t="str">
            <v>20/228</v>
          </cell>
          <cell r="B245" t="str">
            <v>IP-010741.01.06.M01</v>
          </cell>
        </row>
        <row r="246">
          <cell r="A246" t="str">
            <v>20/229</v>
          </cell>
          <cell r="B246" t="str">
            <v>2233/510183</v>
          </cell>
        </row>
        <row r="247">
          <cell r="A247" t="str">
            <v>20/230</v>
          </cell>
          <cell r="B247" t="str">
            <v>2233/510183</v>
          </cell>
        </row>
        <row r="248">
          <cell r="A248" t="str">
            <v>20/231</v>
          </cell>
          <cell r="B248" t="str">
            <v>ip-010741.01.06.M01</v>
          </cell>
        </row>
        <row r="249">
          <cell r="A249" t="str">
            <v>20/232</v>
          </cell>
        </row>
        <row r="250">
          <cell r="A250" t="str">
            <v>20/233</v>
          </cell>
          <cell r="B250" t="str">
            <v>IP-010450.01.02.M01</v>
          </cell>
        </row>
        <row r="251">
          <cell r="A251" t="str">
            <v>20/234</v>
          </cell>
          <cell r="B251" t="str">
            <v>IP-011788.01.01.M01</v>
          </cell>
        </row>
        <row r="252">
          <cell r="A252" t="str">
            <v>20/235</v>
          </cell>
          <cell r="B252" t="str">
            <v>IP-009726.01.01.M01</v>
          </cell>
        </row>
        <row r="253">
          <cell r="A253" t="str">
            <v>20/236</v>
          </cell>
        </row>
        <row r="254">
          <cell r="A254" t="str">
            <v>20/237</v>
          </cell>
        </row>
        <row r="255">
          <cell r="A255" t="str">
            <v>20/238</v>
          </cell>
        </row>
        <row r="256">
          <cell r="A256" t="str">
            <v>20/239</v>
          </cell>
        </row>
        <row r="257">
          <cell r="A257" t="str">
            <v>20/240</v>
          </cell>
        </row>
        <row r="258">
          <cell r="A258" t="str">
            <v>20/241</v>
          </cell>
        </row>
        <row r="259">
          <cell r="A259" t="str">
            <v>20/242</v>
          </cell>
          <cell r="B259" t="str">
            <v>IP-011418.01.01.M01</v>
          </cell>
        </row>
        <row r="260">
          <cell r="A260" t="str">
            <v>20/243</v>
          </cell>
          <cell r="B260" t="str">
            <v>2111/524603</v>
          </cell>
        </row>
        <row r="261">
          <cell r="A261" t="str">
            <v>20/244</v>
          </cell>
        </row>
        <row r="262">
          <cell r="A262" t="str">
            <v>20/245</v>
          </cell>
          <cell r="B262" t="str">
            <v>IP-010450.01.02.M01</v>
          </cell>
        </row>
        <row r="263">
          <cell r="A263" t="str">
            <v>20/246</v>
          </cell>
          <cell r="B263" t="str">
            <v>11314 3226</v>
          </cell>
        </row>
        <row r="264">
          <cell r="A264" t="str">
            <v>20/247</v>
          </cell>
          <cell r="B264" t="str">
            <v>IP-011788.01.01.M01</v>
          </cell>
        </row>
        <row r="265">
          <cell r="A265" t="str">
            <v>20/248</v>
          </cell>
          <cell r="B265" t="str">
            <v>IP-001058.01.02.M01</v>
          </cell>
        </row>
        <row r="266">
          <cell r="A266" t="str">
            <v>20/249</v>
          </cell>
          <cell r="B266" t="str">
            <v>502731   3212</v>
          </cell>
        </row>
        <row r="267">
          <cell r="A267" t="str">
            <v>20/250</v>
          </cell>
          <cell r="B267" t="str">
            <v>IP-008697.02.01.M01</v>
          </cell>
        </row>
        <row r="268">
          <cell r="A268" t="str">
            <v>20/251</v>
          </cell>
          <cell r="B268" t="str">
            <v>IP-012003.01.01.M01</v>
          </cell>
        </row>
        <row r="269">
          <cell r="A269" t="str">
            <v>20/252</v>
          </cell>
          <cell r="B269" t="str">
            <v>IP-010450.01.02.M01</v>
          </cell>
        </row>
        <row r="270">
          <cell r="A270" t="str">
            <v>20/253</v>
          </cell>
          <cell r="B270" t="str">
            <v>BT1368471.01H010</v>
          </cell>
        </row>
        <row r="271">
          <cell r="A271" t="str">
            <v>20/254</v>
          </cell>
          <cell r="B271" t="str">
            <v>IP 010741.01.06.M01</v>
          </cell>
        </row>
        <row r="272">
          <cell r="A272" t="str">
            <v>20/255</v>
          </cell>
          <cell r="B272" t="str">
            <v>IP-008003.01.01.M01</v>
          </cell>
        </row>
        <row r="273">
          <cell r="A273" t="str">
            <v>20/256</v>
          </cell>
          <cell r="B273" t="str">
            <v>IP-008003.01.01.M01</v>
          </cell>
        </row>
        <row r="274">
          <cell r="A274" t="str">
            <v>20/257</v>
          </cell>
          <cell r="B274" t="str">
            <v>IP-008003.01.01.M01</v>
          </cell>
        </row>
        <row r="275">
          <cell r="A275" t="str">
            <v>20/258</v>
          </cell>
          <cell r="B275" t="str">
            <v>IP-008003.01.01.M01</v>
          </cell>
        </row>
        <row r="276">
          <cell r="A276" t="str">
            <v>20/259</v>
          </cell>
          <cell r="B276" t="str">
            <v>IP-008003.01.01.M01</v>
          </cell>
        </row>
        <row r="277">
          <cell r="A277" t="str">
            <v>20/260</v>
          </cell>
          <cell r="B277" t="str">
            <v>IP-008003.01.01.M01</v>
          </cell>
        </row>
        <row r="278">
          <cell r="A278" t="str">
            <v>20/261</v>
          </cell>
          <cell r="B278" t="str">
            <v>IP-008003.01.01.M01</v>
          </cell>
        </row>
        <row r="279">
          <cell r="A279" t="str">
            <v>20/262</v>
          </cell>
          <cell r="B279" t="str">
            <v>IP-008679.01.01.M01</v>
          </cell>
        </row>
        <row r="280">
          <cell r="A280" t="str">
            <v>20/263</v>
          </cell>
        </row>
        <row r="281">
          <cell r="A281" t="str">
            <v>20/264</v>
          </cell>
          <cell r="B281" t="str">
            <v>IP-008697.02.01.M01</v>
          </cell>
        </row>
        <row r="282">
          <cell r="A282" t="str">
            <v>20/265</v>
          </cell>
        </row>
        <row r="283">
          <cell r="A283" t="str">
            <v>20/266</v>
          </cell>
          <cell r="B283" t="str">
            <v>IP-010741.01.01.M01</v>
          </cell>
        </row>
        <row r="284">
          <cell r="A284" t="str">
            <v>20/267</v>
          </cell>
          <cell r="B284" t="str">
            <v>IP-008591.01.03.M01</v>
          </cell>
        </row>
        <row r="285">
          <cell r="A285" t="str">
            <v>20/268</v>
          </cell>
          <cell r="B285" t="str">
            <v>IP-009446.01.02.M01</v>
          </cell>
        </row>
        <row r="286">
          <cell r="A286" t="str">
            <v>20/269</v>
          </cell>
          <cell r="B286" t="str">
            <v>IP-009869.01.01.M01</v>
          </cell>
        </row>
        <row r="287">
          <cell r="A287" t="str">
            <v>20/270</v>
          </cell>
          <cell r="B287" t="str">
            <v>IP-008679.01.01.M01</v>
          </cell>
        </row>
        <row r="288">
          <cell r="A288" t="str">
            <v>20/271</v>
          </cell>
          <cell r="B288" t="str">
            <v>IP-008679.01.01.M01</v>
          </cell>
        </row>
        <row r="289">
          <cell r="A289" t="str">
            <v>20/272</v>
          </cell>
          <cell r="B289" t="str">
            <v>IP-011788.01.01.M01</v>
          </cell>
        </row>
        <row r="290">
          <cell r="A290" t="str">
            <v>20/273</v>
          </cell>
          <cell r="B290" t="str">
            <v>IP-010741.01.01.M01</v>
          </cell>
        </row>
        <row r="291">
          <cell r="A291" t="str">
            <v>20/274</v>
          </cell>
          <cell r="B291" t="str">
            <v>IP-009795.02.01.M01</v>
          </cell>
        </row>
        <row r="292">
          <cell r="A292" t="str">
            <v>20/275</v>
          </cell>
          <cell r="B292" t="str">
            <v>IP-009446.01.02.M01</v>
          </cell>
        </row>
        <row r="293">
          <cell r="A293" t="str">
            <v>20/276</v>
          </cell>
          <cell r="B293" t="str">
            <v>IP-011127.01.01.M01</v>
          </cell>
        </row>
        <row r="294">
          <cell r="A294" t="str">
            <v>20/277</v>
          </cell>
          <cell r="B294" t="str">
            <v>IP-011127.01.01.M01</v>
          </cell>
        </row>
        <row r="295">
          <cell r="A295" t="str">
            <v>20/278</v>
          </cell>
          <cell r="B295" t="str">
            <v>BT1206317.01 H010</v>
          </cell>
        </row>
        <row r="296">
          <cell r="A296" t="str">
            <v>20/279</v>
          </cell>
          <cell r="B296" t="str">
            <v>BT1206317.01 H010</v>
          </cell>
        </row>
        <row r="297">
          <cell r="A297" t="str">
            <v>20/280</v>
          </cell>
          <cell r="B297" t="str">
            <v>BT1213365.01 H020</v>
          </cell>
        </row>
        <row r="298">
          <cell r="A298" t="str">
            <v>20/281</v>
          </cell>
        </row>
        <row r="299">
          <cell r="A299" t="str">
            <v>20/282</v>
          </cell>
        </row>
        <row r="300">
          <cell r="A300" t="str">
            <v>20/283</v>
          </cell>
          <cell r="B300" t="str">
            <v>BT1212362.01 H020</v>
          </cell>
        </row>
        <row r="301">
          <cell r="A301" t="str">
            <v>20/284</v>
          </cell>
          <cell r="B301" t="str">
            <v>IP-007844.01.01.M01</v>
          </cell>
        </row>
        <row r="302">
          <cell r="A302" t="str">
            <v>20/285</v>
          </cell>
          <cell r="B302" t="str">
            <v>BT0152342.03  L001</v>
          </cell>
        </row>
        <row r="303">
          <cell r="A303" t="str">
            <v>20/286</v>
          </cell>
          <cell r="B303" t="str">
            <v>90000000</v>
          </cell>
        </row>
        <row r="304">
          <cell r="A304" t="str">
            <v>20/287</v>
          </cell>
          <cell r="B304" t="str">
            <v>1207466.01  h02</v>
          </cell>
        </row>
        <row r="305">
          <cell r="A305" t="str">
            <v>20/288</v>
          </cell>
        </row>
        <row r="306">
          <cell r="A306" t="str">
            <v>20/289</v>
          </cell>
          <cell r="B306" t="str">
            <v>IP-000571.01.02.M01</v>
          </cell>
        </row>
        <row r="307">
          <cell r="A307" t="str">
            <v>20/290</v>
          </cell>
          <cell r="B307" t="str">
            <v>IP-012748.01.01.M01</v>
          </cell>
        </row>
        <row r="308">
          <cell r="A308" t="str">
            <v>20/291</v>
          </cell>
          <cell r="B308" t="str">
            <v>IP-012748.01.01.M01</v>
          </cell>
        </row>
        <row r="309">
          <cell r="A309" t="str">
            <v>20/292</v>
          </cell>
          <cell r="B309" t="str">
            <v>IP-011788.01.01.M01</v>
          </cell>
        </row>
        <row r="310">
          <cell r="A310" t="str">
            <v>20/293</v>
          </cell>
          <cell r="B310" t="str">
            <v>IP-010450.01.02.M01</v>
          </cell>
        </row>
        <row r="311">
          <cell r="A311" t="str">
            <v>20/294</v>
          </cell>
          <cell r="B311" t="str">
            <v>IP-000571.01.02.M01</v>
          </cell>
        </row>
        <row r="312">
          <cell r="A312" t="str">
            <v>20/295</v>
          </cell>
          <cell r="B312" t="str">
            <v>2122/525305</v>
          </cell>
        </row>
        <row r="313">
          <cell r="A313" t="str">
            <v>20/296</v>
          </cell>
          <cell r="B313" t="str">
            <v>IP-010741.01.06.M01</v>
          </cell>
        </row>
        <row r="314">
          <cell r="A314" t="str">
            <v>20/297</v>
          </cell>
          <cell r="B314" t="str">
            <v>IP-010450.01.02.M01</v>
          </cell>
        </row>
        <row r="315">
          <cell r="A315" t="str">
            <v>20/298</v>
          </cell>
          <cell r="B315" t="str">
            <v>BT1212362.01 H020</v>
          </cell>
        </row>
        <row r="316">
          <cell r="A316" t="str">
            <v>20/299</v>
          </cell>
          <cell r="B316" t="str">
            <v>BT1212362.01 H020</v>
          </cell>
        </row>
        <row r="317">
          <cell r="A317" t="str">
            <v>20/300</v>
          </cell>
          <cell r="B317" t="str">
            <v>IP-008679.01.01.M01</v>
          </cell>
        </row>
        <row r="318">
          <cell r="A318" t="str">
            <v>20/301</v>
          </cell>
          <cell r="B318" t="str">
            <v>IP-006713.01.06.M01</v>
          </cell>
        </row>
        <row r="319">
          <cell r="A319" t="str">
            <v>20/302</v>
          </cell>
          <cell r="B319" t="str">
            <v>IP-013250.01.01.M01</v>
          </cell>
        </row>
        <row r="320">
          <cell r="A320" t="str">
            <v>20/303</v>
          </cell>
          <cell r="B320" t="str">
            <v>IP-003171.01.05.003</v>
          </cell>
        </row>
        <row r="321">
          <cell r="A321" t="str">
            <v>20/304</v>
          </cell>
          <cell r="B321" t="str">
            <v>502591   3221</v>
          </cell>
        </row>
        <row r="322">
          <cell r="A322" t="str">
            <v>20/305</v>
          </cell>
          <cell r="B322" t="str">
            <v>ip-010741.01.06.M01</v>
          </cell>
        </row>
        <row r="323">
          <cell r="A323" t="str">
            <v>20/306</v>
          </cell>
          <cell r="B323" t="str">
            <v>IP-010741.01.06.M01</v>
          </cell>
        </row>
        <row r="324">
          <cell r="A324" t="str">
            <v>20/307</v>
          </cell>
          <cell r="B324" t="str">
            <v>4003441 H020</v>
          </cell>
        </row>
        <row r="325">
          <cell r="A325" t="str">
            <v>20/308</v>
          </cell>
          <cell r="B325" t="str">
            <v>BT1206317.01   H010</v>
          </cell>
        </row>
        <row r="326">
          <cell r="A326" t="str">
            <v>20/309</v>
          </cell>
          <cell r="B326" t="str">
            <v>BT1213365.01 H020</v>
          </cell>
        </row>
        <row r="327">
          <cell r="A327" t="str">
            <v>20/310</v>
          </cell>
          <cell r="B327" t="str">
            <v>ip-008679.01.01.M01</v>
          </cell>
        </row>
        <row r="328">
          <cell r="A328" t="str">
            <v>20/311</v>
          </cell>
          <cell r="B328" t="str">
            <v>BT1212462.01  H020</v>
          </cell>
        </row>
        <row r="329">
          <cell r="A329" t="str">
            <v>20/312</v>
          </cell>
        </row>
        <row r="330">
          <cell r="A330" t="str">
            <v>20/313</v>
          </cell>
        </row>
        <row r="331">
          <cell r="A331" t="str">
            <v>20/314</v>
          </cell>
        </row>
        <row r="332">
          <cell r="A332" t="str">
            <v>20/315</v>
          </cell>
        </row>
        <row r="333">
          <cell r="A333" t="str">
            <v>20/316</v>
          </cell>
        </row>
        <row r="334">
          <cell r="A334" t="str">
            <v>20/317</v>
          </cell>
          <cell r="B334" t="str">
            <v>2133/510208</v>
          </cell>
        </row>
        <row r="335">
          <cell r="A335" t="str">
            <v>20/318</v>
          </cell>
          <cell r="B335" t="str">
            <v>BT1213365.01 H020</v>
          </cell>
        </row>
        <row r="336">
          <cell r="A336" t="str">
            <v>20/319</v>
          </cell>
          <cell r="B336" t="str">
            <v>IP-008591.01.03.M01</v>
          </cell>
        </row>
        <row r="337">
          <cell r="A337" t="str">
            <v>20/320</v>
          </cell>
          <cell r="B337" t="str">
            <v>IP-012466.01.01.M01</v>
          </cell>
        </row>
        <row r="338">
          <cell r="A338" t="str">
            <v>20/321</v>
          </cell>
        </row>
        <row r="339">
          <cell r="A339" t="str">
            <v>20/322</v>
          </cell>
          <cell r="B339" t="str">
            <v>2144/501951</v>
          </cell>
        </row>
        <row r="340">
          <cell r="A340" t="str">
            <v>20/323</v>
          </cell>
        </row>
        <row r="341">
          <cell r="A341" t="str">
            <v>20/324</v>
          </cell>
        </row>
        <row r="342">
          <cell r="A342" t="str">
            <v>20/325</v>
          </cell>
          <cell r="B342" t="str">
            <v>502851 3311</v>
          </cell>
        </row>
        <row r="343">
          <cell r="A343" t="str">
            <v>20/326</v>
          </cell>
        </row>
        <row r="344">
          <cell r="A344" t="str">
            <v>20/327</v>
          </cell>
        </row>
        <row r="345">
          <cell r="A345" t="str">
            <v>20/328</v>
          </cell>
        </row>
        <row r="346">
          <cell r="A346" t="str">
            <v>20/329</v>
          </cell>
          <cell r="B346" t="str">
            <v>IP-009869.01.01.M01</v>
          </cell>
        </row>
        <row r="347">
          <cell r="A347" t="str">
            <v>20/330</v>
          </cell>
          <cell r="B347" t="str">
            <v>2412/526152</v>
          </cell>
        </row>
        <row r="348">
          <cell r="A348" t="str">
            <v>20/331</v>
          </cell>
          <cell r="B348" t="str">
            <v>502851 3311</v>
          </cell>
        </row>
        <row r="349">
          <cell r="A349" t="str">
            <v>20/332</v>
          </cell>
        </row>
        <row r="350">
          <cell r="A350" t="str">
            <v>20/333</v>
          </cell>
          <cell r="B350" t="str">
            <v>IP-008591.01.03.M01</v>
          </cell>
        </row>
        <row r="351">
          <cell r="A351" t="str">
            <v>20/334</v>
          </cell>
          <cell r="B351" t="str">
            <v>IP-010741.01.06.M01</v>
          </cell>
        </row>
        <row r="352">
          <cell r="A352" t="str">
            <v>20/335</v>
          </cell>
          <cell r="B352" t="str">
            <v>4003441 H020</v>
          </cell>
        </row>
        <row r="353">
          <cell r="A353" t="str">
            <v>20/336</v>
          </cell>
          <cell r="B353" t="str">
            <v>IP-012750.01.01.M01</v>
          </cell>
        </row>
        <row r="354">
          <cell r="A354" t="str">
            <v>20/337</v>
          </cell>
          <cell r="B354" t="str">
            <v>IP-005290.01.02.M01</v>
          </cell>
        </row>
        <row r="355">
          <cell r="A355" t="str">
            <v>20/338</v>
          </cell>
          <cell r="B355" t="str">
            <v>BT1206380.01  H020</v>
          </cell>
        </row>
        <row r="356">
          <cell r="A356" t="str">
            <v>20/339</v>
          </cell>
          <cell r="B356" t="str">
            <v>BT1207466.01 H020</v>
          </cell>
        </row>
        <row r="357">
          <cell r="A357" t="str">
            <v>20/340</v>
          </cell>
          <cell r="B357" t="str">
            <v>90000000</v>
          </cell>
        </row>
        <row r="358">
          <cell r="A358" t="str">
            <v>20/341</v>
          </cell>
          <cell r="B358" t="str">
            <v>BT1207466.01  h020</v>
          </cell>
        </row>
        <row r="359">
          <cell r="A359" t="str">
            <v>20/342</v>
          </cell>
          <cell r="B359" t="str">
            <v>2141/531725</v>
          </cell>
        </row>
        <row r="360">
          <cell r="A360" t="str">
            <v>20/343</v>
          </cell>
          <cell r="B360" t="str">
            <v>ip-010741.01.06.M01</v>
          </cell>
        </row>
        <row r="361">
          <cell r="A361" t="str">
            <v>20/344</v>
          </cell>
          <cell r="B361" t="str">
            <v>IP-003171.01.05.003</v>
          </cell>
        </row>
        <row r="362">
          <cell r="A362" t="str">
            <v>20/345</v>
          </cell>
          <cell r="B362" t="str">
            <v>IP-011150.01.01.M01</v>
          </cell>
        </row>
        <row r="363">
          <cell r="A363" t="str">
            <v>20/346</v>
          </cell>
          <cell r="B363" t="str">
            <v>IP-011151.01.01.M01</v>
          </cell>
        </row>
        <row r="364">
          <cell r="A364" t="str">
            <v>20/347</v>
          </cell>
          <cell r="B364" t="str">
            <v>4003441 h020</v>
          </cell>
        </row>
        <row r="365">
          <cell r="A365" t="str">
            <v>20/348</v>
          </cell>
          <cell r="B365" t="str">
            <v>IP-010741.01.06.M01</v>
          </cell>
        </row>
        <row r="366">
          <cell r="A366" t="str">
            <v>20/349</v>
          </cell>
          <cell r="B366" t="str">
            <v>90000000</v>
          </cell>
        </row>
        <row r="367">
          <cell r="A367" t="str">
            <v>20/350</v>
          </cell>
          <cell r="B367" t="str">
            <v>90000000</v>
          </cell>
        </row>
        <row r="368">
          <cell r="A368" t="str">
            <v>20/351</v>
          </cell>
          <cell r="B368" t="str">
            <v>90000000</v>
          </cell>
        </row>
        <row r="369">
          <cell r="A369" t="str">
            <v>20/352</v>
          </cell>
          <cell r="B369" t="str">
            <v>90000000</v>
          </cell>
        </row>
        <row r="370">
          <cell r="A370" t="str">
            <v>20/353</v>
          </cell>
          <cell r="B370" t="str">
            <v>90000000</v>
          </cell>
        </row>
        <row r="371">
          <cell r="A371" t="str">
            <v>20/354</v>
          </cell>
          <cell r="B371" t="str">
            <v>ip-012750.01.01.M01</v>
          </cell>
        </row>
        <row r="372">
          <cell r="A372" t="str">
            <v>20/355</v>
          </cell>
          <cell r="B372" t="str">
            <v>ip-008591.01.03.M01</v>
          </cell>
        </row>
        <row r="373">
          <cell r="A373" t="str">
            <v>20/356</v>
          </cell>
          <cell r="B373" t="str">
            <v>IP-008591.01.03.M01</v>
          </cell>
        </row>
        <row r="374">
          <cell r="A374" t="str">
            <v>20/357</v>
          </cell>
          <cell r="B374" t="str">
            <v>90000000</v>
          </cell>
        </row>
        <row r="375">
          <cell r="A375" t="str">
            <v>20/358</v>
          </cell>
          <cell r="B375" t="str">
            <v>IP-009445.01.02.M0</v>
          </cell>
        </row>
        <row r="376">
          <cell r="A376" t="str">
            <v>20/359</v>
          </cell>
          <cell r="B376" t="str">
            <v>90000000</v>
          </cell>
        </row>
        <row r="377">
          <cell r="A377" t="str">
            <v>20/360</v>
          </cell>
          <cell r="B377" t="str">
            <v>2111/524629</v>
          </cell>
        </row>
        <row r="378">
          <cell r="A378" t="str">
            <v>20/361</v>
          </cell>
          <cell r="B378" t="str">
            <v>BT1368460.01 h010</v>
          </cell>
        </row>
        <row r="379">
          <cell r="A379" t="str">
            <v>20/362</v>
          </cell>
          <cell r="B379" t="str">
            <v>BT1368460.01 H010</v>
          </cell>
        </row>
        <row r="380">
          <cell r="A380" t="str">
            <v>20/363</v>
          </cell>
        </row>
        <row r="381">
          <cell r="A381" t="str">
            <v>20/364</v>
          </cell>
        </row>
        <row r="382">
          <cell r="A382" t="str">
            <v>20/365</v>
          </cell>
        </row>
        <row r="383">
          <cell r="A383" t="str">
            <v>20/366</v>
          </cell>
        </row>
        <row r="384">
          <cell r="A384" t="str">
            <v>20/367</v>
          </cell>
        </row>
        <row r="385">
          <cell r="A385" t="str">
            <v>20/368</v>
          </cell>
          <cell r="B385" t="str">
            <v>IP-000571.01.02.M01</v>
          </cell>
        </row>
        <row r="386">
          <cell r="A386" t="str">
            <v>20/369</v>
          </cell>
          <cell r="B386" t="str">
            <v>90000000</v>
          </cell>
        </row>
        <row r="387">
          <cell r="A387" t="str">
            <v>20/370</v>
          </cell>
          <cell r="B387" t="str">
            <v>IP-000571.01.02.M01</v>
          </cell>
        </row>
        <row r="388">
          <cell r="A388" t="str">
            <v>20/371</v>
          </cell>
          <cell r="B388" t="str">
            <v>IP-011152.01.01.M01</v>
          </cell>
        </row>
        <row r="389">
          <cell r="A389" t="str">
            <v>20/372</v>
          </cell>
          <cell r="B389" t="str">
            <v>IP-011874.01.01.F41</v>
          </cell>
        </row>
        <row r="390">
          <cell r="A390" t="str">
            <v>20/373</v>
          </cell>
          <cell r="B390" t="str">
            <v>IP-008003.01.01.M01</v>
          </cell>
        </row>
        <row r="391">
          <cell r="A391" t="str">
            <v>20/374</v>
          </cell>
        </row>
        <row r="392">
          <cell r="A392" t="str">
            <v>20/375</v>
          </cell>
          <cell r="B392" t="str">
            <v>IP-000571.01.02.M01</v>
          </cell>
        </row>
        <row r="393">
          <cell r="A393" t="str">
            <v>20/376</v>
          </cell>
        </row>
        <row r="394">
          <cell r="A394" t="str">
            <v>20/377</v>
          </cell>
          <cell r="B394" t="str">
            <v>IP-008591.01.03.M01</v>
          </cell>
        </row>
        <row r="395">
          <cell r="A395" t="str">
            <v>20/378</v>
          </cell>
          <cell r="B395" t="str">
            <v>IP-011153.01.01.M01</v>
          </cell>
        </row>
        <row r="396">
          <cell r="A396" t="str">
            <v>20/379</v>
          </cell>
          <cell r="B396" t="str">
            <v>IP-011153.01.01.M01</v>
          </cell>
        </row>
        <row r="397">
          <cell r="A397" t="str">
            <v>20/380</v>
          </cell>
          <cell r="B397" t="str">
            <v>IP-011153.01.01.M01</v>
          </cell>
        </row>
        <row r="398">
          <cell r="A398" t="str">
            <v>20/381</v>
          </cell>
          <cell r="B398" t="str">
            <v>IP-010741.01.06.M01</v>
          </cell>
        </row>
        <row r="399">
          <cell r="A399" t="str">
            <v>20/382</v>
          </cell>
          <cell r="B399" t="str">
            <v>IP-008003.01.01.M01</v>
          </cell>
        </row>
        <row r="400">
          <cell r="A400" t="str">
            <v>20/383</v>
          </cell>
          <cell r="B400" t="str">
            <v>IP-010893.01.03.M01</v>
          </cell>
        </row>
        <row r="401">
          <cell r="A401" t="str">
            <v>20/384</v>
          </cell>
          <cell r="B401" t="str">
            <v>IP-010893.01.03.M01</v>
          </cell>
        </row>
        <row r="402">
          <cell r="A402" t="str">
            <v>20/385</v>
          </cell>
          <cell r="B402" t="str">
            <v>IP-008003.01.01.M01</v>
          </cell>
        </row>
        <row r="403">
          <cell r="A403" t="str">
            <v>20/386</v>
          </cell>
          <cell r="B403" t="str">
            <v>BT1212362.01   H020</v>
          </cell>
        </row>
        <row r="404">
          <cell r="A404" t="str">
            <v>20/387</v>
          </cell>
          <cell r="B404" t="str">
            <v>2123/526171</v>
          </cell>
        </row>
        <row r="405">
          <cell r="A405" t="str">
            <v>20/388</v>
          </cell>
          <cell r="B405" t="str">
            <v>IP-012748.01.01.M01</v>
          </cell>
        </row>
        <row r="406">
          <cell r="A406" t="str">
            <v>20/389</v>
          </cell>
          <cell r="B406" t="str">
            <v>IP-012748.01.01.M01</v>
          </cell>
        </row>
        <row r="407">
          <cell r="A407" t="str">
            <v>20/390</v>
          </cell>
          <cell r="B407" t="str">
            <v>IP-008697.02.01.M01</v>
          </cell>
        </row>
        <row r="408">
          <cell r="A408" t="str">
            <v>20/391</v>
          </cell>
          <cell r="B408" t="str">
            <v>IP-008003.01.01.M01</v>
          </cell>
        </row>
        <row r="409">
          <cell r="A409" t="str">
            <v>20/392</v>
          </cell>
          <cell r="B409" t="str">
            <v>2124/526170</v>
          </cell>
        </row>
        <row r="410">
          <cell r="A410" t="str">
            <v>20/393</v>
          </cell>
          <cell r="B410" t="str">
            <v>IP-008003.01.01.M01</v>
          </cell>
        </row>
        <row r="411">
          <cell r="A411" t="str">
            <v>20/394</v>
          </cell>
          <cell r="B411" t="str">
            <v>2111/524630</v>
          </cell>
        </row>
        <row r="412">
          <cell r="A412" t="str">
            <v>20/395</v>
          </cell>
        </row>
        <row r="413">
          <cell r="A413" t="str">
            <v>20/396</v>
          </cell>
          <cell r="B413" t="str">
            <v>IP-010741.01.06.M01</v>
          </cell>
        </row>
        <row r="414">
          <cell r="A414" t="str">
            <v>20/397</v>
          </cell>
        </row>
        <row r="415">
          <cell r="A415" t="str">
            <v>20/398</v>
          </cell>
          <cell r="B415" t="str">
            <v>90000000</v>
          </cell>
        </row>
        <row r="416">
          <cell r="A416" t="str">
            <v>20/399</v>
          </cell>
        </row>
        <row r="417">
          <cell r="A417" t="str">
            <v>20/400</v>
          </cell>
          <cell r="B417" t="str">
            <v>IP-003498.13.01.M01</v>
          </cell>
        </row>
        <row r="418">
          <cell r="A418" t="str">
            <v>20/401</v>
          </cell>
          <cell r="B418" t="str">
            <v>IP-008679.01.01.M01</v>
          </cell>
        </row>
        <row r="419">
          <cell r="A419" t="str">
            <v>20/402</v>
          </cell>
          <cell r="B419" t="str">
            <v>IP-009690.01.05.M01</v>
          </cell>
        </row>
        <row r="420">
          <cell r="A420" t="str">
            <v>20/403</v>
          </cell>
          <cell r="B420" t="str">
            <v>IP-009795.02.01.M01</v>
          </cell>
        </row>
        <row r="421">
          <cell r="A421" t="str">
            <v>20/404</v>
          </cell>
          <cell r="B421" t="str">
            <v>IP-004684.07.04.M01</v>
          </cell>
        </row>
        <row r="422">
          <cell r="A422" t="str">
            <v>20/405</v>
          </cell>
          <cell r="B422" t="str">
            <v>510179 3221</v>
          </cell>
        </row>
        <row r="423">
          <cell r="A423" t="str">
            <v>20/406</v>
          </cell>
          <cell r="B423" t="str">
            <v>BT1212362.01/H020</v>
          </cell>
        </row>
        <row r="424">
          <cell r="A424" t="str">
            <v>20/407</v>
          </cell>
          <cell r="B424" t="str">
            <v>IP-009869.01.01.M01</v>
          </cell>
        </row>
        <row r="425">
          <cell r="A425" t="str">
            <v>20/408</v>
          </cell>
        </row>
        <row r="426">
          <cell r="A426" t="str">
            <v>20/409</v>
          </cell>
          <cell r="B426" t="str">
            <v>IP-009869.01.01.M01</v>
          </cell>
        </row>
        <row r="427">
          <cell r="A427" t="str">
            <v>20/410</v>
          </cell>
          <cell r="B427" t="str">
            <v>IP-002277.01.03.003</v>
          </cell>
        </row>
        <row r="428">
          <cell r="A428" t="str">
            <v>20/411</v>
          </cell>
          <cell r="B428" t="str">
            <v>IP-005283.01.03.M01</v>
          </cell>
        </row>
        <row r="429">
          <cell r="A429" t="str">
            <v>20/412</v>
          </cell>
          <cell r="B429" t="str">
            <v>IP-008467.02.01.M01</v>
          </cell>
        </row>
        <row r="430">
          <cell r="A430" t="str">
            <v>20/413</v>
          </cell>
        </row>
        <row r="431">
          <cell r="A431" t="str">
            <v>20/414</v>
          </cell>
          <cell r="B431" t="str">
            <v>IP-011666.01.01.M01</v>
          </cell>
        </row>
        <row r="432">
          <cell r="A432" t="str">
            <v>20/415</v>
          </cell>
          <cell r="B432" t="str">
            <v>IP-009465.01.02.M01</v>
          </cell>
        </row>
        <row r="433">
          <cell r="A433" t="str">
            <v>20/416</v>
          </cell>
          <cell r="B433" t="str">
            <v>90000000</v>
          </cell>
        </row>
        <row r="434">
          <cell r="A434" t="str">
            <v>20/417</v>
          </cell>
          <cell r="B434" t="str">
            <v>ip-010741.01.03.M01</v>
          </cell>
        </row>
        <row r="435">
          <cell r="A435" t="str">
            <v>20/418</v>
          </cell>
          <cell r="B435" t="str">
            <v>IP-011666.01.01.M01</v>
          </cell>
        </row>
        <row r="436">
          <cell r="A436" t="str">
            <v>20/419</v>
          </cell>
        </row>
        <row r="437">
          <cell r="A437" t="str">
            <v>20/420</v>
          </cell>
        </row>
        <row r="438">
          <cell r="A438" t="str">
            <v>20/421</v>
          </cell>
          <cell r="B438" t="str">
            <v>502051  3221</v>
          </cell>
        </row>
        <row r="439">
          <cell r="A439" t="str">
            <v>20/422</v>
          </cell>
          <cell r="B439" t="str">
            <v>4003441 h020</v>
          </cell>
        </row>
        <row r="440">
          <cell r="A440" t="str">
            <v>20/423</v>
          </cell>
          <cell r="B440" t="str">
            <v>90000000</v>
          </cell>
        </row>
        <row r="441">
          <cell r="A441" t="str">
            <v>20/424</v>
          </cell>
          <cell r="B441" t="str">
            <v>BT1207466.01  H020</v>
          </cell>
        </row>
        <row r="442">
          <cell r="A442" t="str">
            <v>20/425</v>
          </cell>
          <cell r="B442" t="str">
            <v>IP-011153.01.01.M01</v>
          </cell>
        </row>
        <row r="443">
          <cell r="A443" t="str">
            <v>20/426</v>
          </cell>
          <cell r="B443" t="str">
            <v>IP-005281.01.03.M01</v>
          </cell>
        </row>
        <row r="444">
          <cell r="A444" t="str">
            <v>20/427</v>
          </cell>
          <cell r="B444" t="str">
            <v>IP-011153.01.01.M01</v>
          </cell>
        </row>
        <row r="445">
          <cell r="A445" t="str">
            <v>20/428</v>
          </cell>
          <cell r="B445" t="str">
            <v>BT0382902.01 H040</v>
          </cell>
        </row>
        <row r="446">
          <cell r="A446" t="str">
            <v>20/429</v>
          </cell>
          <cell r="B446" t="str">
            <v>BT1207466.01</v>
          </cell>
        </row>
        <row r="447">
          <cell r="A447" t="str">
            <v>20/430</v>
          </cell>
          <cell r="B447" t="str">
            <v>BT1207466.01</v>
          </cell>
        </row>
        <row r="448">
          <cell r="A448" t="str">
            <v>20/431</v>
          </cell>
          <cell r="B448" t="str">
            <v>ip-008003.01.01.M01</v>
          </cell>
        </row>
        <row r="449">
          <cell r="A449" t="str">
            <v>20/432</v>
          </cell>
          <cell r="B449" t="str">
            <v>ip-008003.01.01.M01</v>
          </cell>
        </row>
        <row r="450">
          <cell r="A450" t="str">
            <v>20/433</v>
          </cell>
          <cell r="B450">
            <v>90000000</v>
          </cell>
        </row>
        <row r="451">
          <cell r="A451" t="str">
            <v>20/434</v>
          </cell>
          <cell r="B451" t="str">
            <v>90000000</v>
          </cell>
        </row>
        <row r="452">
          <cell r="A452" t="str">
            <v>20/435</v>
          </cell>
          <cell r="B452" t="str">
            <v>90000000</v>
          </cell>
        </row>
        <row r="453">
          <cell r="A453" t="str">
            <v>20/436</v>
          </cell>
          <cell r="B453" t="str">
            <v>4003441 H020</v>
          </cell>
        </row>
        <row r="454">
          <cell r="A454" t="str">
            <v>20/437</v>
          </cell>
        </row>
        <row r="455">
          <cell r="A455" t="str">
            <v>20/438</v>
          </cell>
          <cell r="B455" t="str">
            <v>ip-010741.01.03.M01</v>
          </cell>
        </row>
        <row r="456">
          <cell r="A456" t="str">
            <v>20/439</v>
          </cell>
        </row>
        <row r="457">
          <cell r="A457" t="str">
            <v>20/440</v>
          </cell>
          <cell r="B457" t="str">
            <v>4003441 h020</v>
          </cell>
        </row>
        <row r="458">
          <cell r="A458" t="str">
            <v>20/441</v>
          </cell>
          <cell r="B458" t="str">
            <v>ip-010290.01.04.M01</v>
          </cell>
        </row>
        <row r="459">
          <cell r="A459" t="str">
            <v>20/442</v>
          </cell>
          <cell r="B459" t="str">
            <v>IP-010741.01.06.M01</v>
          </cell>
        </row>
        <row r="460">
          <cell r="A460" t="str">
            <v>20/443</v>
          </cell>
          <cell r="B460" t="str">
            <v>2111/524571</v>
          </cell>
        </row>
        <row r="461">
          <cell r="A461" t="str">
            <v>20/444</v>
          </cell>
        </row>
        <row r="462">
          <cell r="A462" t="str">
            <v>20/445</v>
          </cell>
          <cell r="B462" t="str">
            <v>4002608 h020</v>
          </cell>
        </row>
        <row r="463">
          <cell r="A463" t="str">
            <v>20/446</v>
          </cell>
          <cell r="B463" t="str">
            <v>4003441 h020</v>
          </cell>
        </row>
        <row r="464">
          <cell r="A464" t="str">
            <v>20/447</v>
          </cell>
          <cell r="B464" t="str">
            <v>4003441 h020</v>
          </cell>
        </row>
        <row r="465">
          <cell r="A465" t="str">
            <v>20/448</v>
          </cell>
        </row>
        <row r="466">
          <cell r="A466" t="str">
            <v>20/449</v>
          </cell>
          <cell r="B466" t="str">
            <v>4003441 h020</v>
          </cell>
        </row>
        <row r="467">
          <cell r="A467" t="str">
            <v>20/450</v>
          </cell>
          <cell r="B467" t="str">
            <v>4003441 h020</v>
          </cell>
        </row>
        <row r="468">
          <cell r="A468" t="str">
            <v>20/451</v>
          </cell>
          <cell r="B468" t="str">
            <v>IP-012428.01.01.M01</v>
          </cell>
        </row>
        <row r="469">
          <cell r="A469" t="str">
            <v>20/452</v>
          </cell>
          <cell r="B469" t="str">
            <v>ip-012046.01.01.M01</v>
          </cell>
        </row>
        <row r="470">
          <cell r="A470" t="str">
            <v>20/453</v>
          </cell>
          <cell r="B470" t="str">
            <v>ip-012046.01.01.M01</v>
          </cell>
        </row>
        <row r="471">
          <cell r="A471" t="str">
            <v>20/454</v>
          </cell>
          <cell r="B471" t="str">
            <v>ip-012046.01.01.M01</v>
          </cell>
        </row>
        <row r="472">
          <cell r="A472" t="str">
            <v>20/455</v>
          </cell>
        </row>
        <row r="473">
          <cell r="A473" t="str">
            <v>20/456</v>
          </cell>
        </row>
        <row r="474">
          <cell r="A474" t="str">
            <v>20/457</v>
          </cell>
          <cell r="B474" t="str">
            <v>IP-001058.01.02.M0</v>
          </cell>
        </row>
        <row r="475">
          <cell r="A475" t="str">
            <v>20/458</v>
          </cell>
          <cell r="B475" t="str">
            <v>ip-008003.01.01.M01</v>
          </cell>
        </row>
        <row r="476">
          <cell r="A476" t="str">
            <v>20/459</v>
          </cell>
          <cell r="B476" t="str">
            <v>IP-010856.01.02.M01</v>
          </cell>
        </row>
        <row r="477">
          <cell r="A477" t="str">
            <v>20/460</v>
          </cell>
          <cell r="B477" t="str">
            <v>IP-011147.01.01.M01</v>
          </cell>
        </row>
        <row r="478">
          <cell r="A478" t="str">
            <v>20/461</v>
          </cell>
          <cell r="B478" t="str">
            <v>IP-010741.01.06.M01</v>
          </cell>
        </row>
        <row r="479">
          <cell r="A479" t="str">
            <v>20/462</v>
          </cell>
          <cell r="B479" t="str">
            <v>BT1212362.01 H020</v>
          </cell>
        </row>
        <row r="480">
          <cell r="A480" t="str">
            <v>20/463</v>
          </cell>
          <cell r="B480" t="str">
            <v>BT0210331.01/H010</v>
          </cell>
        </row>
        <row r="481">
          <cell r="A481" t="str">
            <v>20/464</v>
          </cell>
          <cell r="B481" t="str">
            <v>Ip-009444.01.02.M01</v>
          </cell>
        </row>
        <row r="482">
          <cell r="A482" t="str">
            <v>20/465</v>
          </cell>
          <cell r="B482" t="str">
            <v>IP-008003.01.01.M01</v>
          </cell>
        </row>
        <row r="483">
          <cell r="A483" t="str">
            <v>20/466</v>
          </cell>
          <cell r="B483" t="str">
            <v>IP-008003.01.01.M01</v>
          </cell>
        </row>
        <row r="484">
          <cell r="A484" t="str">
            <v>20/467</v>
          </cell>
          <cell r="B484" t="str">
            <v>IP-008003.01.01.M01</v>
          </cell>
        </row>
        <row r="485">
          <cell r="A485" t="str">
            <v>20/468</v>
          </cell>
          <cell r="B485" t="str">
            <v>IP-008003.01.01.M01</v>
          </cell>
        </row>
        <row r="486">
          <cell r="A486" t="str">
            <v>20/469</v>
          </cell>
          <cell r="B486" t="str">
            <v>90000000</v>
          </cell>
        </row>
        <row r="487">
          <cell r="A487" t="str">
            <v>20/470</v>
          </cell>
          <cell r="B487" t="str">
            <v>IP-008003.01.01.M01</v>
          </cell>
        </row>
        <row r="488">
          <cell r="A488" t="str">
            <v>20/471</v>
          </cell>
          <cell r="B488" t="str">
            <v>IP-008003.01.01.M01</v>
          </cell>
        </row>
        <row r="489">
          <cell r="A489" t="str">
            <v>20/472</v>
          </cell>
          <cell r="B489" t="str">
            <v>IP-011153.01.01.M01</v>
          </cell>
        </row>
        <row r="490">
          <cell r="A490" t="str">
            <v>20/473</v>
          </cell>
          <cell r="B490" t="str">
            <v>IP-008003.01.01.M01</v>
          </cell>
        </row>
        <row r="491">
          <cell r="A491" t="str">
            <v>20/474</v>
          </cell>
          <cell r="B491" t="str">
            <v>IP-008003.01.01.M01</v>
          </cell>
        </row>
        <row r="492">
          <cell r="A492" t="str">
            <v>20/475</v>
          </cell>
          <cell r="B492" t="str">
            <v>IP-008003.01.01.M01</v>
          </cell>
        </row>
        <row r="493">
          <cell r="A493" t="str">
            <v>20/476</v>
          </cell>
          <cell r="B493" t="str">
            <v>IP-008003.01.01.M01</v>
          </cell>
        </row>
        <row r="494">
          <cell r="A494" t="str">
            <v>20/477</v>
          </cell>
          <cell r="B494" t="str">
            <v>90000000</v>
          </cell>
        </row>
        <row r="495">
          <cell r="A495" t="str">
            <v>20/478</v>
          </cell>
        </row>
        <row r="496">
          <cell r="A496" t="str">
            <v>20/479</v>
          </cell>
          <cell r="B496" t="str">
            <v>2223/526200</v>
          </cell>
        </row>
        <row r="497">
          <cell r="A497" t="str">
            <v>20/480</v>
          </cell>
          <cell r="B497" t="str">
            <v>ip-008591.01.03.M01</v>
          </cell>
        </row>
        <row r="498">
          <cell r="A498" t="str">
            <v>20/481</v>
          </cell>
          <cell r="B498" t="str">
            <v>IP-011153.01.01.M01</v>
          </cell>
        </row>
        <row r="499">
          <cell r="A499" t="str">
            <v>20/482</v>
          </cell>
          <cell r="B499" t="str">
            <v>90000000</v>
          </cell>
        </row>
        <row r="500">
          <cell r="A500" t="str">
            <v>20/483</v>
          </cell>
          <cell r="B500" t="str">
            <v>IP-008003.01.01.M01</v>
          </cell>
        </row>
        <row r="501">
          <cell r="A501" t="str">
            <v>20/484</v>
          </cell>
          <cell r="B501" t="str">
            <v>IP-008003.01.01.M01</v>
          </cell>
        </row>
        <row r="502">
          <cell r="A502" t="str">
            <v>20/485</v>
          </cell>
          <cell r="B502" t="str">
            <v>IP-008003.01.01.M01</v>
          </cell>
        </row>
        <row r="503">
          <cell r="A503" t="str">
            <v>20/486</v>
          </cell>
          <cell r="B503" t="str">
            <v>502591 3221</v>
          </cell>
        </row>
        <row r="504">
          <cell r="A504" t="str">
            <v>20/487</v>
          </cell>
          <cell r="B504" t="str">
            <v>3111 11330</v>
          </cell>
        </row>
        <row r="505">
          <cell r="A505" t="str">
            <v>20/488</v>
          </cell>
          <cell r="B505" t="str">
            <v>IP-004684.07.04.M01</v>
          </cell>
        </row>
        <row r="506">
          <cell r="A506" t="str">
            <v>20/489</v>
          </cell>
          <cell r="B506" t="str">
            <v>ip-008003.01.01.M01</v>
          </cell>
        </row>
        <row r="507">
          <cell r="A507" t="str">
            <v>20/490</v>
          </cell>
        </row>
        <row r="508">
          <cell r="A508" t="str">
            <v>20/491</v>
          </cell>
          <cell r="B508" t="str">
            <v>502731 3222</v>
          </cell>
        </row>
        <row r="509">
          <cell r="A509" t="str">
            <v>20/492</v>
          </cell>
          <cell r="B509" t="str">
            <v>2412/11313</v>
          </cell>
        </row>
        <row r="510">
          <cell r="A510" t="str">
            <v>20/493</v>
          </cell>
          <cell r="B510" t="str">
            <v>2111/524631</v>
          </cell>
        </row>
        <row r="511">
          <cell r="A511" t="str">
            <v>20/494</v>
          </cell>
          <cell r="B511" t="str">
            <v>2111/524529</v>
          </cell>
        </row>
        <row r="512">
          <cell r="A512" t="str">
            <v>20/495</v>
          </cell>
          <cell r="B512" t="str">
            <v>2123/526028</v>
          </cell>
        </row>
        <row r="513">
          <cell r="A513" t="str">
            <v>20/496</v>
          </cell>
          <cell r="B513" t="str">
            <v>IP-009465.01.02.M01</v>
          </cell>
        </row>
        <row r="514">
          <cell r="A514" t="str">
            <v>20/497</v>
          </cell>
          <cell r="B514" t="str">
            <v>IP-009465.01.02.M01</v>
          </cell>
        </row>
        <row r="515">
          <cell r="A515" t="str">
            <v>20/498</v>
          </cell>
          <cell r="B515" t="str">
            <v>IP-009465.01.02.M01</v>
          </cell>
        </row>
        <row r="516">
          <cell r="A516" t="str">
            <v>20/499</v>
          </cell>
          <cell r="B516" t="str">
            <v>IP-009465.01.02.M01</v>
          </cell>
        </row>
        <row r="517">
          <cell r="A517" t="str">
            <v>20/500</v>
          </cell>
          <cell r="B517" t="str">
            <v>IP-009465.01.02.M01</v>
          </cell>
        </row>
        <row r="518">
          <cell r="A518" t="str">
            <v>20/501</v>
          </cell>
          <cell r="B518" t="str">
            <v>IP-009465.01.02.M01</v>
          </cell>
        </row>
        <row r="519">
          <cell r="A519" t="str">
            <v>20/502</v>
          </cell>
          <cell r="B519" t="str">
            <v>IP-009465.01.02.M01</v>
          </cell>
        </row>
        <row r="520">
          <cell r="A520" t="str">
            <v>20/503</v>
          </cell>
          <cell r="B520" t="str">
            <v>IP-009465.01.02.M01</v>
          </cell>
        </row>
        <row r="521">
          <cell r="A521" t="str">
            <v>20/504</v>
          </cell>
          <cell r="B521" t="str">
            <v>IP-009465.01.02.M01</v>
          </cell>
        </row>
        <row r="522">
          <cell r="A522" t="str">
            <v>20/505</v>
          </cell>
          <cell r="B522" t="str">
            <v>IP-009465.01.02.M01</v>
          </cell>
        </row>
        <row r="523">
          <cell r="A523" t="str">
            <v>20/506</v>
          </cell>
          <cell r="B523" t="str">
            <v>IP-012444.01.01.M01</v>
          </cell>
        </row>
        <row r="524">
          <cell r="A524" t="str">
            <v>20/507</v>
          </cell>
          <cell r="B524" t="str">
            <v>BT1207466.01  L001</v>
          </cell>
        </row>
        <row r="525">
          <cell r="A525" t="str">
            <v>20/508</v>
          </cell>
          <cell r="B525" t="str">
            <v>ip-010741.01.06.M01</v>
          </cell>
        </row>
        <row r="526">
          <cell r="A526" t="str">
            <v>20/509</v>
          </cell>
          <cell r="B526" t="str">
            <v>IP-012428.01.01.M01</v>
          </cell>
        </row>
        <row r="527">
          <cell r="A527" t="str">
            <v>20/510</v>
          </cell>
          <cell r="B527" t="str">
            <v>502741  3224</v>
          </cell>
        </row>
        <row r="528">
          <cell r="A528" t="str">
            <v>20/511</v>
          </cell>
          <cell r="B528" t="str">
            <v>IP-012495.01.01.M01</v>
          </cell>
        </row>
        <row r="529">
          <cell r="A529" t="str">
            <v>20/512</v>
          </cell>
          <cell r="B529" t="str">
            <v>2122/525305</v>
          </cell>
        </row>
        <row r="530">
          <cell r="A530" t="str">
            <v>20/513</v>
          </cell>
          <cell r="B530" t="str">
            <v>IP-010741.01.01.M01</v>
          </cell>
        </row>
        <row r="531">
          <cell r="A531" t="str">
            <v>20/514</v>
          </cell>
        </row>
        <row r="532">
          <cell r="A532" t="str">
            <v>20/515</v>
          </cell>
        </row>
        <row r="533">
          <cell r="A533" t="str">
            <v>20/516</v>
          </cell>
          <cell r="B533" t="str">
            <v>IP-010741.01.01.M01</v>
          </cell>
        </row>
        <row r="534">
          <cell r="A534" t="str">
            <v>20/517</v>
          </cell>
          <cell r="B534" t="str">
            <v>3111 11330</v>
          </cell>
        </row>
        <row r="535">
          <cell r="A535" t="str">
            <v>20/518</v>
          </cell>
        </row>
        <row r="536">
          <cell r="A536" t="str">
            <v>20/519</v>
          </cell>
          <cell r="B536" t="str">
            <v>502591  3221</v>
          </cell>
        </row>
        <row r="537">
          <cell r="A537" t="str">
            <v>20/520</v>
          </cell>
          <cell r="B537" t="str">
            <v>2122/525305</v>
          </cell>
        </row>
        <row r="538">
          <cell r="A538" t="str">
            <v>20/521</v>
          </cell>
          <cell r="B538" t="str">
            <v>ip-08003.01.01.M01  foutief</v>
          </cell>
        </row>
        <row r="539">
          <cell r="A539" t="str">
            <v>20/522</v>
          </cell>
          <cell r="B539" t="str">
            <v>2111/524603</v>
          </cell>
        </row>
        <row r="540">
          <cell r="A540" t="str">
            <v>20/523</v>
          </cell>
          <cell r="B540" t="str">
            <v>IP-010854.01.02.M01</v>
          </cell>
        </row>
        <row r="541">
          <cell r="A541" t="str">
            <v>20/524</v>
          </cell>
          <cell r="B541" t="str">
            <v>IP-009446.01.02.M01</v>
          </cell>
        </row>
        <row r="542">
          <cell r="A542" t="str">
            <v>20/525</v>
          </cell>
          <cell r="B542" t="str">
            <v>IP-010450.01.02.M01</v>
          </cell>
        </row>
        <row r="543">
          <cell r="A543" t="str">
            <v>20/526</v>
          </cell>
          <cell r="B543" t="str">
            <v>CIC011151.01HC54</v>
          </cell>
        </row>
        <row r="544">
          <cell r="A544" t="str">
            <v>20/527</v>
          </cell>
          <cell r="B544" t="str">
            <v>90000000</v>
          </cell>
        </row>
        <row r="545">
          <cell r="A545" t="str">
            <v>20/528</v>
          </cell>
        </row>
        <row r="546">
          <cell r="A546" t="str">
            <v>20/529</v>
          </cell>
        </row>
        <row r="547">
          <cell r="A547" t="str">
            <v>20/530</v>
          </cell>
          <cell r="B547" t="str">
            <v>ip-010450.01.02.M01</v>
          </cell>
        </row>
        <row r="548">
          <cell r="A548" t="str">
            <v>20/531</v>
          </cell>
          <cell r="B548" t="str">
            <v>ip-010741.01.06.M01</v>
          </cell>
        </row>
        <row r="549">
          <cell r="A549" t="str">
            <v>20/532</v>
          </cell>
          <cell r="B549" t="str">
            <v>ip-010741.01.06.M01</v>
          </cell>
        </row>
        <row r="550">
          <cell r="A550" t="str">
            <v>20/533</v>
          </cell>
          <cell r="B550" t="str">
            <v>ip-010741.01.06.M01</v>
          </cell>
        </row>
        <row r="551">
          <cell r="A551" t="str">
            <v>20/534</v>
          </cell>
          <cell r="B551" t="str">
            <v>ip-010741.01.06.M01</v>
          </cell>
        </row>
        <row r="552">
          <cell r="A552" t="str">
            <v>20/535</v>
          </cell>
          <cell r="B552" t="str">
            <v>ip-010741.01.06.M01</v>
          </cell>
        </row>
        <row r="553">
          <cell r="A553" t="str">
            <v>20/536</v>
          </cell>
          <cell r="B553" t="str">
            <v>ip-010741.01.06.M01</v>
          </cell>
        </row>
        <row r="554">
          <cell r="A554" t="str">
            <v>20/537</v>
          </cell>
          <cell r="B554" t="str">
            <v>ip-010741.01.06.M01</v>
          </cell>
        </row>
        <row r="555">
          <cell r="A555" t="str">
            <v>20/538</v>
          </cell>
          <cell r="B555" t="str">
            <v>ip-010741.01.06.M01</v>
          </cell>
        </row>
        <row r="556">
          <cell r="A556" t="str">
            <v>20/539</v>
          </cell>
          <cell r="B556" t="str">
            <v>ip-010741.01.06.M01</v>
          </cell>
        </row>
        <row r="557">
          <cell r="A557" t="str">
            <v>20/540</v>
          </cell>
          <cell r="B557" t="str">
            <v>ip-010741.01.06.M01</v>
          </cell>
        </row>
        <row r="558">
          <cell r="A558" t="str">
            <v>20/541</v>
          </cell>
          <cell r="B558" t="str">
            <v>ip-010741.01.06.M01</v>
          </cell>
        </row>
        <row r="559">
          <cell r="A559" t="str">
            <v>20/542</v>
          </cell>
          <cell r="B559" t="str">
            <v>ip-010741.01.06.M01</v>
          </cell>
        </row>
        <row r="560">
          <cell r="A560" t="str">
            <v>20/543</v>
          </cell>
          <cell r="B560" t="str">
            <v>ip-010741.01.06.M01</v>
          </cell>
        </row>
        <row r="561">
          <cell r="A561" t="str">
            <v>20/544</v>
          </cell>
          <cell r="B561" t="str">
            <v>ip-010741.01.06.M01</v>
          </cell>
        </row>
        <row r="562">
          <cell r="A562" t="str">
            <v>20/545</v>
          </cell>
          <cell r="B562" t="str">
            <v>ip-010741.01.06.M01</v>
          </cell>
        </row>
        <row r="563">
          <cell r="A563" t="str">
            <v>20/546</v>
          </cell>
          <cell r="B563" t="str">
            <v>ip-010741.01.06.M01</v>
          </cell>
        </row>
        <row r="564">
          <cell r="A564" t="str">
            <v>20/547</v>
          </cell>
          <cell r="B564" t="str">
            <v>ip-010741.01.06.M01</v>
          </cell>
        </row>
        <row r="565">
          <cell r="A565" t="str">
            <v>20/548</v>
          </cell>
          <cell r="B565" t="str">
            <v>ip-010741.01.06.M01</v>
          </cell>
        </row>
        <row r="566">
          <cell r="A566" t="str">
            <v>20/549</v>
          </cell>
          <cell r="B566" t="str">
            <v>ip-010741.01.06.M01</v>
          </cell>
        </row>
        <row r="567">
          <cell r="A567" t="str">
            <v>20/550</v>
          </cell>
          <cell r="B567" t="str">
            <v>ip-010741.01.06.M01</v>
          </cell>
        </row>
        <row r="568">
          <cell r="A568" t="str">
            <v>20/551</v>
          </cell>
          <cell r="B568" t="str">
            <v>ip-010741.01.06.M01</v>
          </cell>
        </row>
        <row r="569">
          <cell r="A569" t="str">
            <v>20/552</v>
          </cell>
          <cell r="B569" t="str">
            <v>ip-010741.01.06.M01</v>
          </cell>
        </row>
        <row r="570">
          <cell r="A570" t="str">
            <v>20/553</v>
          </cell>
          <cell r="B570" t="str">
            <v>IP-014240.01.01.M01</v>
          </cell>
        </row>
        <row r="571">
          <cell r="A571" t="str">
            <v>20/554</v>
          </cell>
          <cell r="B571" t="str">
            <v>IP-009795.02.01.M01</v>
          </cell>
        </row>
        <row r="572">
          <cell r="A572" t="str">
            <v>20/555</v>
          </cell>
          <cell r="B572" t="str">
            <v>IP-008003.01.01.M01</v>
          </cell>
        </row>
        <row r="573">
          <cell r="A573" t="str">
            <v>20/556</v>
          </cell>
          <cell r="B573" t="str">
            <v>502591 3221</v>
          </cell>
        </row>
        <row r="574">
          <cell r="A574" t="str">
            <v>20/557</v>
          </cell>
          <cell r="B574" t="str">
            <v>IP-007321.01.02.M01</v>
          </cell>
        </row>
        <row r="575">
          <cell r="A575" t="str">
            <v>20/558</v>
          </cell>
          <cell r="B575" t="str">
            <v>IP-009465.01.02.M01</v>
          </cell>
        </row>
        <row r="576">
          <cell r="A576" t="str">
            <v>20/559</v>
          </cell>
          <cell r="B576" t="str">
            <v>IP-011127.01.01.M01</v>
          </cell>
        </row>
        <row r="577">
          <cell r="A577" t="str">
            <v>20/560</v>
          </cell>
          <cell r="B577" t="str">
            <v>IP-011126.01.01.M01</v>
          </cell>
        </row>
        <row r="578">
          <cell r="A578" t="str">
            <v>20/561</v>
          </cell>
          <cell r="B578" t="str">
            <v>IP-011127.01.01.M01</v>
          </cell>
        </row>
        <row r="579">
          <cell r="A579" t="str">
            <v>20/562</v>
          </cell>
          <cell r="B579" t="str">
            <v>IP-010450.01.02.M01</v>
          </cell>
        </row>
        <row r="580">
          <cell r="A580" t="str">
            <v>20/563</v>
          </cell>
          <cell r="B580" t="str">
            <v>2124/526171</v>
          </cell>
        </row>
        <row r="581">
          <cell r="A581" t="str">
            <v>20/564</v>
          </cell>
          <cell r="B581" t="str">
            <v>IP-010854.01.02.M01</v>
          </cell>
        </row>
        <row r="582">
          <cell r="A582" t="str">
            <v>20/565</v>
          </cell>
          <cell r="B582" t="str">
            <v>IP-010854.01.02.M01</v>
          </cell>
        </row>
        <row r="583">
          <cell r="A583" t="str">
            <v>20/566</v>
          </cell>
          <cell r="B583" t="str">
            <v>IP-013049.01.01.M01</v>
          </cell>
        </row>
        <row r="584">
          <cell r="A584" t="str">
            <v>20/567</v>
          </cell>
          <cell r="B584" t="str">
            <v>IP-010741.01.06.M01</v>
          </cell>
        </row>
        <row r="585">
          <cell r="A585" t="str">
            <v>20/568</v>
          </cell>
          <cell r="B585" t="str">
            <v>2362/531799</v>
          </cell>
        </row>
        <row r="586">
          <cell r="A586" t="str">
            <v>20/569</v>
          </cell>
          <cell r="B586" t="str">
            <v>502851 3225</v>
          </cell>
        </row>
        <row r="587">
          <cell r="A587" t="str">
            <v>20/570</v>
          </cell>
          <cell r="B587" t="str">
            <v>3111 11330</v>
          </cell>
        </row>
        <row r="588">
          <cell r="A588" t="str">
            <v>20/571</v>
          </cell>
        </row>
        <row r="589">
          <cell r="A589" t="str">
            <v>20/572</v>
          </cell>
        </row>
        <row r="590">
          <cell r="A590" t="str">
            <v>20/573</v>
          </cell>
          <cell r="B590" t="str">
            <v>ip-011788.01.01.M01</v>
          </cell>
        </row>
        <row r="591">
          <cell r="A591" t="str">
            <v>20/574</v>
          </cell>
          <cell r="B591" t="str">
            <v>IP-008467.02.01.M01</v>
          </cell>
        </row>
        <row r="592">
          <cell r="A592" t="str">
            <v>20/575</v>
          </cell>
        </row>
        <row r="593">
          <cell r="A593" t="str">
            <v>20/576</v>
          </cell>
          <cell r="B593" t="str">
            <v>ip-010741.01.06.M01</v>
          </cell>
        </row>
        <row r="594">
          <cell r="A594" t="str">
            <v>20/577</v>
          </cell>
          <cell r="B594" t="str">
            <v>IP-000571.01.02.M01</v>
          </cell>
        </row>
        <row r="595">
          <cell r="A595" t="str">
            <v>20/578</v>
          </cell>
        </row>
        <row r="596">
          <cell r="A596" t="str">
            <v>20/579</v>
          </cell>
        </row>
        <row r="597">
          <cell r="A597" t="str">
            <v>20/580</v>
          </cell>
          <cell r="B597" t="str">
            <v>BT0382404.01 H020</v>
          </cell>
        </row>
        <row r="598">
          <cell r="A598" t="str">
            <v>20/581</v>
          </cell>
          <cell r="B598" t="str">
            <v>IP-010450.01.02.M01</v>
          </cell>
        </row>
        <row r="599">
          <cell r="A599" t="str">
            <v>20/582</v>
          </cell>
          <cell r="B599" t="str">
            <v>IP-009795.02.01.M01</v>
          </cell>
        </row>
        <row r="600">
          <cell r="A600" t="str">
            <v>20/583</v>
          </cell>
          <cell r="B600" t="str">
            <v>IP-009795.02.01.M01</v>
          </cell>
        </row>
        <row r="601">
          <cell r="A601" t="str">
            <v>20/584</v>
          </cell>
          <cell r="B601" t="str">
            <v>ip-004684.07.04.M01</v>
          </cell>
        </row>
        <row r="602">
          <cell r="A602" t="str">
            <v>20/585</v>
          </cell>
          <cell r="B602" t="str">
            <v>IP-000571.01.02.M01</v>
          </cell>
        </row>
        <row r="603">
          <cell r="A603" t="str">
            <v>20/586</v>
          </cell>
        </row>
        <row r="604">
          <cell r="A604" t="str">
            <v>20/587</v>
          </cell>
          <cell r="B604" t="str">
            <v>ip-010741.01.06.M01</v>
          </cell>
        </row>
        <row r="605">
          <cell r="A605" t="str">
            <v>20/588</v>
          </cell>
        </row>
        <row r="606">
          <cell r="A606" t="str">
            <v>20/589</v>
          </cell>
          <cell r="B606" t="str">
            <v>BT1368471.01H020</v>
          </cell>
        </row>
        <row r="607">
          <cell r="A607" t="str">
            <v>20/590</v>
          </cell>
          <cell r="B607" t="str">
            <v>IP-010450.01.02.M01</v>
          </cell>
        </row>
        <row r="608">
          <cell r="A608" t="str">
            <v>20/591</v>
          </cell>
          <cell r="B608" t="str">
            <v>BT1207466.01 h020</v>
          </cell>
        </row>
        <row r="609">
          <cell r="A609" t="str">
            <v>20/592</v>
          </cell>
          <cell r="B609" t="str">
            <v>ip-008003.01.01.M01</v>
          </cell>
        </row>
        <row r="610">
          <cell r="A610" t="str">
            <v>20/593</v>
          </cell>
          <cell r="B610" t="str">
            <v>IP-010450.01.02.M01</v>
          </cell>
        </row>
        <row r="611">
          <cell r="A611" t="str">
            <v>20/594</v>
          </cell>
          <cell r="B611" t="str">
            <v xml:space="preserve">IP-010741.01.06.M01 </v>
          </cell>
        </row>
        <row r="612">
          <cell r="A612" t="str">
            <v>20/595</v>
          </cell>
          <cell r="B612" t="str">
            <v>IP-010741.01.06.M01</v>
          </cell>
        </row>
        <row r="613">
          <cell r="A613" t="str">
            <v>20/596</v>
          </cell>
          <cell r="B613" t="str">
            <v>IP-008003.01.01.M01</v>
          </cell>
        </row>
        <row r="614">
          <cell r="A614" t="str">
            <v>20/597</v>
          </cell>
          <cell r="B614" t="str">
            <v>2144/502221</v>
          </cell>
        </row>
        <row r="615">
          <cell r="A615" t="str">
            <v>20/598</v>
          </cell>
          <cell r="B615" t="str">
            <v>IP-004684.07.04.M01</v>
          </cell>
        </row>
        <row r="616">
          <cell r="A616" t="str">
            <v>20/599</v>
          </cell>
        </row>
        <row r="617">
          <cell r="A617" t="str">
            <v>20/600</v>
          </cell>
          <cell r="B617" t="str">
            <v>BT0382902.01  H040</v>
          </cell>
        </row>
        <row r="618">
          <cell r="A618" t="str">
            <v>20/601</v>
          </cell>
          <cell r="B618" t="str">
            <v>BT0382902.01 H040</v>
          </cell>
        </row>
        <row r="619">
          <cell r="A619" t="str">
            <v>20/602</v>
          </cell>
          <cell r="B619" t="str">
            <v>IP-008679.01.02.M01</v>
          </cell>
        </row>
        <row r="620">
          <cell r="A620" t="str">
            <v>20/603</v>
          </cell>
          <cell r="B620" t="str">
            <v>IP-008679.01.02.M01</v>
          </cell>
        </row>
        <row r="621">
          <cell r="A621" t="str">
            <v>20/604</v>
          </cell>
          <cell r="B621" t="str">
            <v>IP-004684.07.04.M01</v>
          </cell>
        </row>
        <row r="622">
          <cell r="A622" t="str">
            <v>20/605</v>
          </cell>
          <cell r="B622" t="str">
            <v>IP-010450.01.02.M01</v>
          </cell>
        </row>
        <row r="623">
          <cell r="A623" t="str">
            <v>20/606</v>
          </cell>
          <cell r="B623" t="str">
            <v>IP-010450.01.02.M01</v>
          </cell>
        </row>
        <row r="624">
          <cell r="A624" t="str">
            <v>20/607</v>
          </cell>
          <cell r="B624" t="str">
            <v>IP-004684.07.04.M01</v>
          </cell>
        </row>
        <row r="625">
          <cell r="A625" t="str">
            <v>20/608</v>
          </cell>
          <cell r="B625" t="str">
            <v>522120 3222</v>
          </cell>
        </row>
        <row r="626">
          <cell r="A626" t="str">
            <v>20/609</v>
          </cell>
          <cell r="B626" t="str">
            <v>11330 3111</v>
          </cell>
        </row>
        <row r="627">
          <cell r="A627" t="str">
            <v>20/610</v>
          </cell>
          <cell r="B627" t="str">
            <v>BT1207466.01 h020</v>
          </cell>
        </row>
        <row r="628">
          <cell r="A628" t="str">
            <v>20/611</v>
          </cell>
        </row>
        <row r="629">
          <cell r="A629" t="str">
            <v>20/612</v>
          </cell>
        </row>
        <row r="630">
          <cell r="A630" t="str">
            <v>20/613</v>
          </cell>
          <cell r="B630" t="str">
            <v>IP-000571.01.02.M01</v>
          </cell>
        </row>
        <row r="631">
          <cell r="A631" t="str">
            <v>20/614</v>
          </cell>
          <cell r="B631" t="str">
            <v>2144/502291</v>
          </cell>
        </row>
        <row r="632">
          <cell r="A632" t="str">
            <v>20/615</v>
          </cell>
          <cell r="B632" t="str">
            <v>IP-007321.01.02.M01</v>
          </cell>
        </row>
        <row r="633">
          <cell r="A633" t="str">
            <v>20/616</v>
          </cell>
          <cell r="B633" t="str">
            <v>IP-010893.01.03.M01</v>
          </cell>
        </row>
        <row r="634">
          <cell r="A634" t="str">
            <v>20/617</v>
          </cell>
          <cell r="B634" t="str">
            <v>IP-010893.01.03.M01</v>
          </cell>
        </row>
        <row r="635">
          <cell r="A635" t="str">
            <v>20/618</v>
          </cell>
          <cell r="B635" t="str">
            <v>ip-010741.01.06.M01</v>
          </cell>
        </row>
        <row r="636">
          <cell r="A636" t="str">
            <v>20/619</v>
          </cell>
        </row>
        <row r="637">
          <cell r="A637" t="str">
            <v>20/620</v>
          </cell>
          <cell r="B637" t="str">
            <v>IP-010463.01.01.M01</v>
          </cell>
        </row>
        <row r="638">
          <cell r="A638" t="str">
            <v>20/621</v>
          </cell>
          <cell r="B638" t="str">
            <v>BT1207466.01 h020</v>
          </cell>
        </row>
        <row r="639">
          <cell r="A639" t="str">
            <v>20/622</v>
          </cell>
          <cell r="B639" t="str">
            <v>ip-010741.01.06.M01</v>
          </cell>
        </row>
        <row r="640">
          <cell r="A640" t="str">
            <v>20/623</v>
          </cell>
          <cell r="B640" t="str">
            <v>BT1206380.01 h020</v>
          </cell>
        </row>
        <row r="641">
          <cell r="A641" t="str">
            <v>20/624</v>
          </cell>
          <cell r="B641" t="str">
            <v>ip-010741.01.06.M01</v>
          </cell>
        </row>
        <row r="642">
          <cell r="A642" t="str">
            <v>20/625</v>
          </cell>
          <cell r="B642" t="str">
            <v>2362/524213</v>
          </cell>
        </row>
        <row r="643">
          <cell r="A643" t="str">
            <v>20/626</v>
          </cell>
          <cell r="B643" t="str">
            <v>2362/524595</v>
          </cell>
        </row>
        <row r="644">
          <cell r="A644" t="str">
            <v>20/627</v>
          </cell>
          <cell r="B644" t="str">
            <v>2162/524217</v>
          </cell>
        </row>
        <row r="645">
          <cell r="A645" t="str">
            <v>20/628</v>
          </cell>
          <cell r="B645" t="str">
            <v>IP-010741.01.03.M01</v>
          </cell>
        </row>
        <row r="646">
          <cell r="A646" t="str">
            <v>20/629</v>
          </cell>
          <cell r="B646" t="str">
            <v>502851 3225</v>
          </cell>
        </row>
        <row r="647">
          <cell r="A647" t="str">
            <v>20/630</v>
          </cell>
          <cell r="B647" t="str">
            <v>ip-010450.01.02.M01</v>
          </cell>
        </row>
        <row r="648">
          <cell r="A648" t="str">
            <v>20/631</v>
          </cell>
          <cell r="B648" t="str">
            <v xml:space="preserve">IP-000526.04.01.M01  </v>
          </cell>
        </row>
        <row r="649">
          <cell r="A649" t="str">
            <v>20/632</v>
          </cell>
          <cell r="B649" t="str">
            <v>2244/501991</v>
          </cell>
        </row>
        <row r="650">
          <cell r="A650" t="str">
            <v>20/633</v>
          </cell>
          <cell r="B650" t="str">
            <v>2244/510021</v>
          </cell>
        </row>
        <row r="651">
          <cell r="A651" t="str">
            <v>20/634</v>
          </cell>
          <cell r="B651" t="str">
            <v>IP-011126.01.01.M01</v>
          </cell>
        </row>
        <row r="652">
          <cell r="A652" t="str">
            <v>20/635</v>
          </cell>
          <cell r="B652" t="str">
            <v>BT0382902.01 h040</v>
          </cell>
        </row>
        <row r="653">
          <cell r="A653" t="str">
            <v>20/636</v>
          </cell>
          <cell r="B653" t="str">
            <v>IP-000571.01.02.M01</v>
          </cell>
        </row>
        <row r="654">
          <cell r="A654" t="str">
            <v>20/637</v>
          </cell>
          <cell r="B654" t="str">
            <v>IP-010854.01.02.M01</v>
          </cell>
        </row>
        <row r="655">
          <cell r="A655" t="str">
            <v>20/638</v>
          </cell>
        </row>
        <row r="656">
          <cell r="A656" t="str">
            <v>20/639</v>
          </cell>
          <cell r="B656" t="str">
            <v>IP-010450.01.02.M01</v>
          </cell>
        </row>
        <row r="657">
          <cell r="A657" t="str">
            <v>20/640</v>
          </cell>
          <cell r="B657" t="str">
            <v>IP-010450.01.02.M01</v>
          </cell>
        </row>
        <row r="658">
          <cell r="A658" t="str">
            <v>20/641</v>
          </cell>
          <cell r="B658" t="str">
            <v>BT1207466.01 H020</v>
          </cell>
        </row>
        <row r="659">
          <cell r="A659" t="str">
            <v>20/642</v>
          </cell>
          <cell r="B659" t="str">
            <v>IP-003498.02.01.M01</v>
          </cell>
        </row>
        <row r="660">
          <cell r="A660" t="str">
            <v>20/643</v>
          </cell>
          <cell r="B660" t="str">
            <v>IP-013351.01.01.M01</v>
          </cell>
        </row>
        <row r="661">
          <cell r="A661" t="str">
            <v>20/644</v>
          </cell>
          <cell r="B661" t="str">
            <v>ip-010741.01.06.M01</v>
          </cell>
        </row>
        <row r="662">
          <cell r="A662" t="str">
            <v>20/645</v>
          </cell>
          <cell r="B662" t="str">
            <v>ip-010741.01.06.M01</v>
          </cell>
        </row>
        <row r="663">
          <cell r="A663" t="str">
            <v>20/646</v>
          </cell>
          <cell r="B663" t="str">
            <v>2244/510029</v>
          </cell>
        </row>
        <row r="664">
          <cell r="A664" t="str">
            <v>20/647</v>
          </cell>
          <cell r="B664" t="str">
            <v>2111/524632</v>
          </cell>
        </row>
        <row r="665">
          <cell r="A665" t="str">
            <v>20/648</v>
          </cell>
          <cell r="B665" t="str">
            <v>IP-007322.01.02.M01</v>
          </cell>
        </row>
        <row r="666">
          <cell r="A666" t="str">
            <v>20/649</v>
          </cell>
          <cell r="B666" t="str">
            <v>IP-007322.01.02.M01</v>
          </cell>
        </row>
        <row r="667">
          <cell r="A667" t="str">
            <v>20/650</v>
          </cell>
          <cell r="B667" t="str">
            <v>IP-007322.01.02.M01</v>
          </cell>
        </row>
        <row r="668">
          <cell r="A668" t="str">
            <v>20/651</v>
          </cell>
          <cell r="B668" t="str">
            <v>IP-007322.01.02.M01</v>
          </cell>
        </row>
        <row r="669">
          <cell r="A669" t="str">
            <v>20/652</v>
          </cell>
          <cell r="B669" t="str">
            <v>IP-007322.01.02.M01</v>
          </cell>
        </row>
        <row r="670">
          <cell r="A670" t="str">
            <v>20/653</v>
          </cell>
          <cell r="B670" t="str">
            <v>IP-007322.01.02.M01</v>
          </cell>
        </row>
        <row r="671">
          <cell r="A671" t="str">
            <v>20/654</v>
          </cell>
          <cell r="B671" t="str">
            <v>IP-007322.01.02.M01</v>
          </cell>
        </row>
        <row r="672">
          <cell r="A672" t="str">
            <v>20/655</v>
          </cell>
          <cell r="B672" t="str">
            <v>IP-007322.01.02.M01</v>
          </cell>
        </row>
        <row r="673">
          <cell r="A673" t="str">
            <v>20/656</v>
          </cell>
          <cell r="B673" t="str">
            <v>IP-007322.01.02.M01</v>
          </cell>
        </row>
        <row r="674">
          <cell r="A674" t="str">
            <v>20/657</v>
          </cell>
          <cell r="B674" t="str">
            <v>IP-007322.01.02.M01</v>
          </cell>
        </row>
        <row r="675">
          <cell r="A675" t="str">
            <v>20/658</v>
          </cell>
          <cell r="B675" t="str">
            <v>IP-007322.01.02.M01</v>
          </cell>
        </row>
        <row r="676">
          <cell r="A676" t="str">
            <v>20/659</v>
          </cell>
          <cell r="B676" t="str">
            <v>IP-007322.01.02.M01</v>
          </cell>
        </row>
        <row r="677">
          <cell r="A677" t="str">
            <v>20/660</v>
          </cell>
          <cell r="B677" t="str">
            <v>IP-007322.01.02.M01</v>
          </cell>
        </row>
        <row r="678">
          <cell r="A678" t="str">
            <v>20/661</v>
          </cell>
          <cell r="B678" t="str">
            <v>IP-007322.01.02.M01</v>
          </cell>
        </row>
        <row r="679">
          <cell r="A679" t="str">
            <v>20/662</v>
          </cell>
          <cell r="B679" t="str">
            <v>IP-007322.01.02.M01</v>
          </cell>
        </row>
        <row r="680">
          <cell r="A680" t="str">
            <v>20/663</v>
          </cell>
          <cell r="B680" t="str">
            <v>IP-007322.01.02.M01</v>
          </cell>
        </row>
        <row r="681">
          <cell r="A681" t="str">
            <v>20/664</v>
          </cell>
          <cell r="B681" t="str">
            <v>IP-007322.01.02.M01</v>
          </cell>
        </row>
        <row r="682">
          <cell r="A682" t="str">
            <v>20/665</v>
          </cell>
          <cell r="B682" t="str">
            <v>IP-007322.01.02.M01</v>
          </cell>
        </row>
        <row r="683">
          <cell r="A683" t="str">
            <v>20/666</v>
          </cell>
          <cell r="B683" t="str">
            <v>2121/522163</v>
          </cell>
        </row>
        <row r="684">
          <cell r="A684" t="str">
            <v>20/667</v>
          </cell>
          <cell r="B684" t="str">
            <v>IP-010741.01.06.M01</v>
          </cell>
        </row>
        <row r="685">
          <cell r="A685" t="str">
            <v>20/668</v>
          </cell>
          <cell r="B685" t="str">
            <v>BT038240401 H001 (foutief)</v>
          </cell>
        </row>
        <row r="686">
          <cell r="A686" t="str">
            <v>20/669</v>
          </cell>
        </row>
        <row r="687">
          <cell r="A687" t="str">
            <v>20/670</v>
          </cell>
          <cell r="B687" t="str">
            <v>IP-005190.03.01.M01</v>
          </cell>
        </row>
        <row r="688">
          <cell r="A688" t="str">
            <v>20/671</v>
          </cell>
          <cell r="B688" t="str">
            <v>ip-010133.01.03.M01</v>
          </cell>
        </row>
        <row r="689">
          <cell r="A689" t="str">
            <v>20/672</v>
          </cell>
          <cell r="B689" t="str">
            <v>4002608 h020</v>
          </cell>
        </row>
        <row r="690">
          <cell r="A690" t="str">
            <v>20/673</v>
          </cell>
          <cell r="B690" t="str">
            <v>BT1212462.01 L001</v>
          </cell>
        </row>
        <row r="691">
          <cell r="A691" t="str">
            <v>20/674</v>
          </cell>
          <cell r="B691" t="str">
            <v>BT0210331.01 h010</v>
          </cell>
        </row>
        <row r="692">
          <cell r="A692" t="str">
            <v>20/675</v>
          </cell>
          <cell r="B692" t="str">
            <v>BT0210331.01  h010</v>
          </cell>
        </row>
        <row r="693">
          <cell r="A693" t="str">
            <v>20/676</v>
          </cell>
          <cell r="B693" t="str">
            <v>IP-010450.01.02.M01</v>
          </cell>
        </row>
        <row r="694">
          <cell r="A694" t="str">
            <v>20/677</v>
          </cell>
          <cell r="B694" t="str">
            <v>501961 3222</v>
          </cell>
        </row>
        <row r="695">
          <cell r="A695" t="str">
            <v>20/678</v>
          </cell>
          <cell r="B695" t="str">
            <v>IP-011127.01.01.M01</v>
          </cell>
        </row>
        <row r="696">
          <cell r="A696" t="str">
            <v>20/679</v>
          </cell>
        </row>
        <row r="697">
          <cell r="A697" t="str">
            <v>20/680</v>
          </cell>
          <cell r="B697" t="str">
            <v>BT1207466.01 h020</v>
          </cell>
        </row>
        <row r="698">
          <cell r="A698" t="str">
            <v>20/681</v>
          </cell>
          <cell r="B698" t="str">
            <v>IP-007322.01.02.M01</v>
          </cell>
        </row>
        <row r="699">
          <cell r="A699" t="str">
            <v>20/682</v>
          </cell>
          <cell r="B699" t="str">
            <v>IP-010154.01.01.M01</v>
          </cell>
        </row>
        <row r="700">
          <cell r="A700" t="str">
            <v>20/683</v>
          </cell>
          <cell r="B700" t="str">
            <v>2144/510023</v>
          </cell>
        </row>
        <row r="701">
          <cell r="A701" t="str">
            <v>20/684</v>
          </cell>
          <cell r="B701" t="str">
            <v>2111/524230</v>
          </cell>
        </row>
        <row r="702">
          <cell r="A702" t="str">
            <v>20/685</v>
          </cell>
          <cell r="B702" t="str">
            <v>IP-010450.01.02.M01</v>
          </cell>
        </row>
        <row r="703">
          <cell r="A703" t="str">
            <v>20/686</v>
          </cell>
          <cell r="B703" t="str">
            <v>IP-012748.01.01.M01</v>
          </cell>
        </row>
        <row r="704">
          <cell r="A704" t="str">
            <v>20/687</v>
          </cell>
          <cell r="B704" t="str">
            <v>IP-012748.01.01.M01</v>
          </cell>
        </row>
        <row r="705">
          <cell r="A705" t="str">
            <v>20/688</v>
          </cell>
          <cell r="B705" t="str">
            <v xml:space="preserve">IP-010741.01.06.M01 </v>
          </cell>
        </row>
        <row r="706">
          <cell r="A706" t="str">
            <v>20/689</v>
          </cell>
        </row>
        <row r="707">
          <cell r="A707" t="str">
            <v>20/690</v>
          </cell>
        </row>
        <row r="708">
          <cell r="A708" t="str">
            <v>20/691</v>
          </cell>
          <cell r="B708" t="str">
            <v>BT1213365.01H010</v>
          </cell>
        </row>
        <row r="709">
          <cell r="A709" t="str">
            <v>20/692</v>
          </cell>
          <cell r="B709" t="str">
            <v>IP-011126.01.01.M01</v>
          </cell>
        </row>
        <row r="710">
          <cell r="A710" t="str">
            <v>20/693</v>
          </cell>
          <cell r="B710" t="str">
            <v>0000/000000</v>
          </cell>
        </row>
        <row r="711">
          <cell r="A711" t="str">
            <v>20/694</v>
          </cell>
          <cell r="B711" t="str">
            <v>0000/000000</v>
          </cell>
        </row>
        <row r="712">
          <cell r="A712" t="str">
            <v>20/695</v>
          </cell>
          <cell r="B712" t="str">
            <v>2141/531375</v>
          </cell>
        </row>
        <row r="713">
          <cell r="A713" t="str">
            <v>20/696</v>
          </cell>
          <cell r="B713" t="str">
            <v>3111 11330</v>
          </cell>
        </row>
        <row r="714">
          <cell r="A714" t="str">
            <v>20/697</v>
          </cell>
          <cell r="B714" t="str">
            <v>IP-008003.01.01.M01</v>
          </cell>
        </row>
        <row r="715">
          <cell r="A715" t="str">
            <v>20/698</v>
          </cell>
          <cell r="B715" t="str">
            <v>IP-010133.01.03.M01</v>
          </cell>
        </row>
        <row r="716">
          <cell r="A716" t="str">
            <v>20/699</v>
          </cell>
          <cell r="B716" t="str">
            <v>IP-008003.01.01.M01</v>
          </cell>
        </row>
        <row r="717">
          <cell r="A717" t="str">
            <v>20/700</v>
          </cell>
          <cell r="B717" t="str">
            <v>IP-009465.01.02.M01</v>
          </cell>
        </row>
        <row r="718">
          <cell r="A718" t="str">
            <v>20/701</v>
          </cell>
        </row>
        <row r="719">
          <cell r="A719" t="str">
            <v>20/702</v>
          </cell>
          <cell r="B719" t="str">
            <v>BT1207466.01  h020</v>
          </cell>
        </row>
        <row r="720">
          <cell r="A720" t="str">
            <v>20/703</v>
          </cell>
          <cell r="B720" t="str">
            <v>IP-005190.01.02.M01</v>
          </cell>
        </row>
        <row r="721">
          <cell r="A721" t="str">
            <v>20/704</v>
          </cell>
        </row>
        <row r="722">
          <cell r="A722" t="str">
            <v>20/705</v>
          </cell>
          <cell r="B722" t="str">
            <v>IP-000571.01.02.M01</v>
          </cell>
        </row>
        <row r="723">
          <cell r="A723" t="str">
            <v>20/706</v>
          </cell>
          <cell r="B723" t="str">
            <v>IP-008679.01.01.M01</v>
          </cell>
        </row>
        <row r="724">
          <cell r="A724" t="str">
            <v>20/707</v>
          </cell>
          <cell r="B724" t="str">
            <v>IP-007321.01.02.M01</v>
          </cell>
        </row>
        <row r="725">
          <cell r="A725" t="str">
            <v>20/708</v>
          </cell>
          <cell r="B725" t="str">
            <v>IP-007321.01.02.M01</v>
          </cell>
        </row>
        <row r="726">
          <cell r="A726" t="str">
            <v>20/709</v>
          </cell>
          <cell r="B726" t="str">
            <v>IP-010741.01.06.M01</v>
          </cell>
        </row>
        <row r="727">
          <cell r="A727" t="str">
            <v>20/710</v>
          </cell>
          <cell r="B727" t="str">
            <v>IP-008003.01.01.M01</v>
          </cell>
        </row>
        <row r="728">
          <cell r="A728" t="str">
            <v>20/711</v>
          </cell>
          <cell r="B728" t="str">
            <v>IP-008003.01.01.M01</v>
          </cell>
        </row>
        <row r="729">
          <cell r="A729" t="str">
            <v>20/712</v>
          </cell>
          <cell r="B729" t="str">
            <v>BT0106496.01 h020</v>
          </cell>
        </row>
        <row r="730">
          <cell r="A730" t="str">
            <v>20/713</v>
          </cell>
          <cell r="B730" t="str">
            <v>BT1207466.01 h020</v>
          </cell>
        </row>
        <row r="731">
          <cell r="A731" t="str">
            <v>20/714</v>
          </cell>
          <cell r="B731" t="str">
            <v>IP-010854.01.02.M01</v>
          </cell>
        </row>
        <row r="732">
          <cell r="A732" t="str">
            <v>20/715</v>
          </cell>
          <cell r="B732" t="str">
            <v>510468 3222</v>
          </cell>
        </row>
        <row r="733">
          <cell r="A733" t="str">
            <v>20/716</v>
          </cell>
          <cell r="B733" t="str">
            <v>2123/52187</v>
          </cell>
        </row>
        <row r="734">
          <cell r="A734" t="str">
            <v>20/717</v>
          </cell>
          <cell r="B734" t="str">
            <v>2123/526450</v>
          </cell>
        </row>
        <row r="735">
          <cell r="A735" t="str">
            <v>20/718</v>
          </cell>
          <cell r="B735" t="str">
            <v>IP-009869.01.01.M01</v>
          </cell>
        </row>
        <row r="736">
          <cell r="A736" t="str">
            <v>20/719</v>
          </cell>
        </row>
        <row r="737">
          <cell r="A737" t="str">
            <v>20/720</v>
          </cell>
        </row>
        <row r="738">
          <cell r="A738" t="str">
            <v>20/721</v>
          </cell>
          <cell r="B738" t="str">
            <v>2144/510181</v>
          </cell>
        </row>
        <row r="739">
          <cell r="A739" t="str">
            <v>20/722</v>
          </cell>
        </row>
        <row r="740">
          <cell r="A740" t="str">
            <v>20/723</v>
          </cell>
          <cell r="B740" t="str">
            <v>IP-010624.01.01.M01</v>
          </cell>
        </row>
        <row r="741">
          <cell r="A741" t="str">
            <v>20/724</v>
          </cell>
          <cell r="B741" t="str">
            <v>502591 3221</v>
          </cell>
        </row>
        <row r="742">
          <cell r="A742" t="str">
            <v>20/725</v>
          </cell>
          <cell r="B742" t="str">
            <v xml:space="preserve"> BT1207466.01 H020</v>
          </cell>
        </row>
        <row r="743">
          <cell r="A743" t="str">
            <v>20/726</v>
          </cell>
          <cell r="B743" t="str">
            <v>BT1212362.01 h020</v>
          </cell>
        </row>
        <row r="744">
          <cell r="A744" t="str">
            <v>20/727</v>
          </cell>
          <cell r="B744" t="str">
            <v>IP-008679.01.01.M01</v>
          </cell>
        </row>
        <row r="745">
          <cell r="A745" t="str">
            <v>20/728</v>
          </cell>
          <cell r="B745" t="str">
            <v>IP-007322.01.02.M01</v>
          </cell>
        </row>
        <row r="746">
          <cell r="A746" t="str">
            <v>20/729</v>
          </cell>
          <cell r="B746" t="str">
            <v>IP-007322.01.02.M01</v>
          </cell>
        </row>
        <row r="747">
          <cell r="A747" t="str">
            <v>20/730</v>
          </cell>
          <cell r="B747" t="str">
            <v>IP-007322.01.02.M01</v>
          </cell>
        </row>
        <row r="748">
          <cell r="A748" t="str">
            <v>20/731</v>
          </cell>
          <cell r="B748" t="str">
            <v>IP-009465.01.02.M01</v>
          </cell>
        </row>
        <row r="749">
          <cell r="A749" t="str">
            <v>20/732</v>
          </cell>
          <cell r="B749" t="str">
            <v>IP-010741.01.06.M01</v>
          </cell>
        </row>
        <row r="750">
          <cell r="A750" t="str">
            <v>20/733</v>
          </cell>
          <cell r="B750" t="str">
            <v>IP-010741.01.06.M01</v>
          </cell>
        </row>
        <row r="751">
          <cell r="A751" t="str">
            <v>20/734</v>
          </cell>
        </row>
        <row r="752">
          <cell r="A752" t="str">
            <v>20/735</v>
          </cell>
          <cell r="B752" t="str">
            <v>IP-007321.01.02.M01</v>
          </cell>
        </row>
        <row r="753">
          <cell r="A753" t="str">
            <v>20/736</v>
          </cell>
          <cell r="B753" t="str">
            <v>BT1213465.01 h020</v>
          </cell>
        </row>
        <row r="754">
          <cell r="A754" t="str">
            <v>20/737</v>
          </cell>
          <cell r="B754" t="str">
            <v>IP-009465.01.02.M01</v>
          </cell>
        </row>
        <row r="755">
          <cell r="A755" t="str">
            <v>20/738</v>
          </cell>
          <cell r="B755" t="str">
            <v>BT0382902.01 h020</v>
          </cell>
        </row>
        <row r="756">
          <cell r="A756" t="str">
            <v>20/739</v>
          </cell>
          <cell r="B756" t="str">
            <v>IP-008003.01.01.M01</v>
          </cell>
        </row>
        <row r="757">
          <cell r="A757" t="str">
            <v>20/740</v>
          </cell>
          <cell r="B757" t="str">
            <v>BT0382404.01 h020</v>
          </cell>
        </row>
        <row r="758">
          <cell r="A758" t="str">
            <v>20/741</v>
          </cell>
          <cell r="B758" t="str">
            <v>IP-010450.01.02.M01</v>
          </cell>
        </row>
        <row r="759">
          <cell r="A759" t="str">
            <v>20/742</v>
          </cell>
          <cell r="B759" t="str">
            <v>IP-010741.01.06.M01</v>
          </cell>
        </row>
        <row r="760">
          <cell r="A760" t="str">
            <v>20/743</v>
          </cell>
          <cell r="B760" t="str">
            <v>IP-012748.01.01.M01</v>
          </cell>
        </row>
        <row r="761">
          <cell r="A761" t="str">
            <v>20/744</v>
          </cell>
          <cell r="B761" t="str">
            <v>IP-010741.01.06.M01</v>
          </cell>
        </row>
        <row r="762">
          <cell r="A762" t="str">
            <v>20/745</v>
          </cell>
          <cell r="B762" t="str">
            <v>2124/526166</v>
          </cell>
        </row>
        <row r="763">
          <cell r="A763" t="str">
            <v>20/746</v>
          </cell>
          <cell r="B763" t="str">
            <v>2124/526170</v>
          </cell>
        </row>
        <row r="764">
          <cell r="A764" t="str">
            <v>20/747</v>
          </cell>
          <cell r="B764" t="str">
            <v>2141/531724</v>
          </cell>
        </row>
        <row r="765">
          <cell r="A765" t="str">
            <v>20/748</v>
          </cell>
          <cell r="B765" t="str">
            <v>IP-008679.01.01.M01</v>
          </cell>
        </row>
        <row r="766">
          <cell r="A766" t="str">
            <v>20/749</v>
          </cell>
          <cell r="B766" t="str">
            <v>IP-008679.01.01.M01</v>
          </cell>
        </row>
        <row r="767">
          <cell r="A767" t="str">
            <v>20/750</v>
          </cell>
          <cell r="B767" t="str">
            <v>IP-008679.01.01.M01</v>
          </cell>
        </row>
        <row r="768">
          <cell r="A768" t="str">
            <v>20/751</v>
          </cell>
          <cell r="B768" t="str">
            <v>IP-008679.01.01.M01</v>
          </cell>
        </row>
        <row r="769">
          <cell r="A769" t="str">
            <v>20/752</v>
          </cell>
        </row>
        <row r="770">
          <cell r="A770" t="str">
            <v>20/753</v>
          </cell>
          <cell r="B770" t="str">
            <v>IP-008679.01.01.M01</v>
          </cell>
        </row>
        <row r="771">
          <cell r="A771" t="str">
            <v>20/754</v>
          </cell>
          <cell r="B771" t="str">
            <v>IP-008679.01.01.M01</v>
          </cell>
        </row>
        <row r="772">
          <cell r="A772" t="str">
            <v>20/755</v>
          </cell>
        </row>
        <row r="773">
          <cell r="A773" t="str">
            <v>20/756</v>
          </cell>
          <cell r="B773" t="str">
            <v>IP-008679.01.01.M01</v>
          </cell>
        </row>
        <row r="774">
          <cell r="A774" t="str">
            <v>20/757</v>
          </cell>
          <cell r="B774" t="str">
            <v>IP-008679.01.01.M01</v>
          </cell>
        </row>
        <row r="775">
          <cell r="A775" t="str">
            <v>20/758</v>
          </cell>
          <cell r="B775" t="str">
            <v>IP-008679.01.01.M01</v>
          </cell>
        </row>
        <row r="776">
          <cell r="A776" t="str">
            <v>20/759</v>
          </cell>
          <cell r="B776" t="str">
            <v>IP-007321.01.02.M01</v>
          </cell>
        </row>
        <row r="777">
          <cell r="A777" t="str">
            <v>20/760</v>
          </cell>
          <cell r="B777" t="str">
            <v>IP-007321.01.02.M01</v>
          </cell>
        </row>
        <row r="778">
          <cell r="A778" t="str">
            <v>20/761</v>
          </cell>
        </row>
        <row r="779">
          <cell r="A779" t="str">
            <v>20/762</v>
          </cell>
          <cell r="B779" t="str">
            <v>IP-010450.01.02.M01</v>
          </cell>
        </row>
        <row r="780">
          <cell r="A780" t="str">
            <v>20/763</v>
          </cell>
        </row>
        <row r="781">
          <cell r="A781" t="str">
            <v>20/764</v>
          </cell>
          <cell r="B781" t="str">
            <v>IP-010450.01.02.M01</v>
          </cell>
        </row>
        <row r="782">
          <cell r="A782" t="str">
            <v>20/765</v>
          </cell>
          <cell r="B782" t="str">
            <v>IP-001058.01.01.M01</v>
          </cell>
        </row>
        <row r="783">
          <cell r="A783" t="str">
            <v>20/766</v>
          </cell>
          <cell r="B783" t="str">
            <v>IP-010450.01.02.M01</v>
          </cell>
        </row>
        <row r="784">
          <cell r="A784" t="str">
            <v>20/767</v>
          </cell>
          <cell r="B784" t="str">
            <v>502591 3221</v>
          </cell>
        </row>
        <row r="785">
          <cell r="A785" t="str">
            <v>20/768</v>
          </cell>
          <cell r="B785" t="str">
            <v>0000/000000</v>
          </cell>
        </row>
        <row r="786">
          <cell r="A786" t="str">
            <v>20/769</v>
          </cell>
          <cell r="B786" t="str">
            <v>IP-011126.01.01.M01</v>
          </cell>
        </row>
        <row r="787">
          <cell r="A787" t="str">
            <v>20/770</v>
          </cell>
          <cell r="B787" t="str">
            <v>2144/526451</v>
          </cell>
        </row>
        <row r="788">
          <cell r="A788" t="str">
            <v>20/771</v>
          </cell>
          <cell r="B788" t="str">
            <v>IP-007322.01.02.M01</v>
          </cell>
        </row>
        <row r="789">
          <cell r="A789" t="str">
            <v>20/772</v>
          </cell>
          <cell r="B789" t="str">
            <v>IP-007322.01.02.M01</v>
          </cell>
        </row>
        <row r="790">
          <cell r="A790" t="str">
            <v>20/773</v>
          </cell>
          <cell r="B790" t="str">
            <v>IP-012046.01.01.M01</v>
          </cell>
        </row>
        <row r="791">
          <cell r="A791" t="str">
            <v>20/774</v>
          </cell>
          <cell r="B791" t="str">
            <v>IP-004901.01.02.M01</v>
          </cell>
        </row>
        <row r="792">
          <cell r="A792" t="str">
            <v>20/775</v>
          </cell>
          <cell r="B792" t="str">
            <v>IP-010450.01.02.M01</v>
          </cell>
        </row>
        <row r="793">
          <cell r="A793" t="str">
            <v>20/776</v>
          </cell>
        </row>
        <row r="794">
          <cell r="A794" t="str">
            <v>20/777</v>
          </cell>
        </row>
        <row r="795">
          <cell r="A795" t="str">
            <v>20/778</v>
          </cell>
          <cell r="B795" t="str">
            <v>IP-011873.01.01.M01</v>
          </cell>
        </row>
        <row r="796">
          <cell r="A796" t="str">
            <v>20/779</v>
          </cell>
          <cell r="B796" t="str">
            <v>502851 3221</v>
          </cell>
        </row>
        <row r="797">
          <cell r="A797" t="str">
            <v>20/780</v>
          </cell>
          <cell r="B797" t="str">
            <v>2123/526441</v>
          </cell>
        </row>
        <row r="798">
          <cell r="A798" t="str">
            <v>20/781</v>
          </cell>
          <cell r="B798" t="str">
            <v>BT1212462.01 L001</v>
          </cell>
        </row>
        <row r="799">
          <cell r="A799" t="str">
            <v>20/782</v>
          </cell>
        </row>
        <row r="800">
          <cell r="A800" t="str">
            <v>20/783</v>
          </cell>
          <cell r="B800" t="str">
            <v>IP-010741.01.06.M01</v>
          </cell>
        </row>
        <row r="801">
          <cell r="A801" t="str">
            <v>20/784</v>
          </cell>
          <cell r="B801" t="str">
            <v>IP-010741.01.06.M01</v>
          </cell>
        </row>
        <row r="802">
          <cell r="A802" t="str">
            <v>20/785</v>
          </cell>
          <cell r="B802" t="str">
            <v>IP-010741.01.06.M01</v>
          </cell>
        </row>
        <row r="803">
          <cell r="A803" t="str">
            <v>20/786</v>
          </cell>
          <cell r="B803" t="str">
            <v>IP-010741.01.06.M01</v>
          </cell>
        </row>
        <row r="804">
          <cell r="A804" t="str">
            <v>20/787</v>
          </cell>
          <cell r="B804" t="str">
            <v>IP-010741.01.06.M01</v>
          </cell>
        </row>
        <row r="805">
          <cell r="A805" t="str">
            <v>20/788</v>
          </cell>
          <cell r="B805" t="str">
            <v>IP-010741.01.06.M01</v>
          </cell>
        </row>
        <row r="806">
          <cell r="A806" t="str">
            <v>20/789</v>
          </cell>
          <cell r="B806" t="str">
            <v>IP-012046.01.01.M01</v>
          </cell>
        </row>
        <row r="807">
          <cell r="A807" t="str">
            <v>20/790</v>
          </cell>
          <cell r="B807" t="str">
            <v>2144/502061</v>
          </cell>
        </row>
        <row r="808">
          <cell r="A808" t="str">
            <v>20/791</v>
          </cell>
          <cell r="B808" t="str">
            <v>2144/502061</v>
          </cell>
        </row>
        <row r="809">
          <cell r="A809" t="str">
            <v>20/792</v>
          </cell>
          <cell r="B809" t="str">
            <v>IP-011126-01.01.M01</v>
          </cell>
        </row>
        <row r="810">
          <cell r="A810" t="str">
            <v>20/793</v>
          </cell>
          <cell r="B810" t="str">
            <v>IP-010893.01.03.M01</v>
          </cell>
        </row>
        <row r="811">
          <cell r="A811" t="str">
            <v>20/794</v>
          </cell>
          <cell r="B811" t="str">
            <v>IP-010893.01.03.M01</v>
          </cell>
        </row>
        <row r="812">
          <cell r="A812" t="str">
            <v>20/795</v>
          </cell>
          <cell r="B812" t="str">
            <v>2145/510224</v>
          </cell>
        </row>
        <row r="813">
          <cell r="A813" t="str">
            <v>20/796</v>
          </cell>
        </row>
        <row r="814">
          <cell r="A814" t="str">
            <v>20/797</v>
          </cell>
          <cell r="B814" t="str">
            <v>BT1206380.01 H020</v>
          </cell>
        </row>
        <row r="815">
          <cell r="A815" t="str">
            <v>20/798</v>
          </cell>
          <cell r="B815" t="str">
            <v>2122/525080</v>
          </cell>
        </row>
        <row r="816">
          <cell r="A816" t="str">
            <v>20/799</v>
          </cell>
        </row>
        <row r="817">
          <cell r="A817" t="str">
            <v>20/800</v>
          </cell>
        </row>
        <row r="818">
          <cell r="A818" t="str">
            <v>20/801</v>
          </cell>
        </row>
        <row r="819">
          <cell r="A819" t="str">
            <v>20/802</v>
          </cell>
        </row>
        <row r="820">
          <cell r="A820" t="str">
            <v>20/803</v>
          </cell>
        </row>
        <row r="821">
          <cell r="A821" t="str">
            <v>20/804</v>
          </cell>
        </row>
        <row r="822">
          <cell r="A822" t="str">
            <v>20/805</v>
          </cell>
        </row>
        <row r="823">
          <cell r="A823" t="str">
            <v>20/806</v>
          </cell>
        </row>
        <row r="824">
          <cell r="A824" t="str">
            <v>20/807</v>
          </cell>
        </row>
        <row r="825">
          <cell r="A825" t="str">
            <v>20/808</v>
          </cell>
        </row>
        <row r="826">
          <cell r="A826" t="str">
            <v>20/809</v>
          </cell>
        </row>
        <row r="827">
          <cell r="A827" t="str">
            <v>20/810</v>
          </cell>
        </row>
        <row r="828">
          <cell r="A828" t="str">
            <v>20/811</v>
          </cell>
        </row>
        <row r="829">
          <cell r="A829" t="str">
            <v>20/812</v>
          </cell>
        </row>
        <row r="830">
          <cell r="A830" t="str">
            <v>20/813</v>
          </cell>
        </row>
        <row r="831">
          <cell r="A831" t="str">
            <v>20/814</v>
          </cell>
        </row>
        <row r="832">
          <cell r="A832" t="str">
            <v>20/815</v>
          </cell>
        </row>
        <row r="833">
          <cell r="A833" t="str">
            <v>20/816</v>
          </cell>
        </row>
        <row r="834">
          <cell r="A834" t="str">
            <v>20/817</v>
          </cell>
        </row>
        <row r="835">
          <cell r="A835" t="str">
            <v>20/818</v>
          </cell>
        </row>
        <row r="836">
          <cell r="A836" t="str">
            <v>20/819</v>
          </cell>
        </row>
        <row r="837">
          <cell r="A837" t="str">
            <v>20/820</v>
          </cell>
        </row>
        <row r="838">
          <cell r="A838" t="str">
            <v>20/821</v>
          </cell>
        </row>
        <row r="839">
          <cell r="A839" t="str">
            <v>20/822</v>
          </cell>
        </row>
        <row r="840">
          <cell r="A840" t="str">
            <v>20/823</v>
          </cell>
        </row>
        <row r="841">
          <cell r="A841" t="str">
            <v>20/824</v>
          </cell>
        </row>
        <row r="842">
          <cell r="A842" t="str">
            <v>20/825</v>
          </cell>
        </row>
        <row r="843">
          <cell r="A843" t="str">
            <v>20/826</v>
          </cell>
        </row>
        <row r="844">
          <cell r="A844" t="str">
            <v>20/88/1</v>
          </cell>
          <cell r="B844" t="str">
            <v>IP-010741.01.06.M01</v>
          </cell>
        </row>
        <row r="845">
          <cell r="A845" t="str">
            <v>20/88/2</v>
          </cell>
          <cell r="B845" t="str">
            <v>IP-010741.01.06.M01</v>
          </cell>
        </row>
        <row r="846">
          <cell r="A846" t="str">
            <v>20/93/1</v>
          </cell>
          <cell r="B846" t="str">
            <v>IP-010741.01.06.M01</v>
          </cell>
        </row>
        <row r="847">
          <cell r="A847" t="str">
            <v>20/93/2</v>
          </cell>
          <cell r="B847" t="str">
            <v>IP-010741.01.06.M01</v>
          </cell>
        </row>
        <row r="848">
          <cell r="A848" t="str">
            <v>20/A01</v>
          </cell>
          <cell r="B848" t="str">
            <v>800660/11300</v>
          </cell>
        </row>
        <row r="849">
          <cell r="A849" t="str">
            <v>21/1</v>
          </cell>
          <cell r="B849" t="str">
            <v>BT1212362.01 H020</v>
          </cell>
        </row>
        <row r="850">
          <cell r="A850" t="str">
            <v>21/2</v>
          </cell>
          <cell r="B850" t="str">
            <v>IP-011147.01.01.M01</v>
          </cell>
        </row>
        <row r="851">
          <cell r="A851" t="str">
            <v>21/3</v>
          </cell>
        </row>
        <row r="852">
          <cell r="A852" t="str">
            <v>21/4</v>
          </cell>
        </row>
        <row r="853">
          <cell r="A853" t="str">
            <v>21/5</v>
          </cell>
          <cell r="B853" t="str">
            <v>2144/502881</v>
          </cell>
        </row>
        <row r="854">
          <cell r="A854" t="str">
            <v>21/6</v>
          </cell>
        </row>
        <row r="855">
          <cell r="A855" t="str">
            <v>21/7</v>
          </cell>
          <cell r="B855" t="str">
            <v>IP-010741.01.06.M01</v>
          </cell>
        </row>
        <row r="856">
          <cell r="A856" t="str">
            <v>21/8</v>
          </cell>
        </row>
        <row r="857">
          <cell r="A857" t="str">
            <v>21/9</v>
          </cell>
          <cell r="B857" t="str">
            <v>ip-010741.01.06.M01</v>
          </cell>
        </row>
        <row r="858">
          <cell r="A858" t="str">
            <v>21/10</v>
          </cell>
          <cell r="B858" t="str">
            <v>IP-010741.01.06.M01</v>
          </cell>
        </row>
        <row r="859">
          <cell r="A859" t="str">
            <v>21/11</v>
          </cell>
          <cell r="B859" t="str">
            <v>IP-010741.01.06.M01</v>
          </cell>
        </row>
        <row r="860">
          <cell r="A860" t="str">
            <v>21/12</v>
          </cell>
          <cell r="B860" t="str">
            <v>IP-010741.01.06.M01</v>
          </cell>
        </row>
        <row r="861">
          <cell r="A861" t="str">
            <v>21/13</v>
          </cell>
          <cell r="B861" t="str">
            <v>IP-010741.01.06.M01</v>
          </cell>
        </row>
        <row r="862">
          <cell r="A862" t="str">
            <v>21/14</v>
          </cell>
          <cell r="B862" t="str">
            <v>IP-010741.01.06.M01</v>
          </cell>
        </row>
        <row r="863">
          <cell r="A863" t="str">
            <v>21/15</v>
          </cell>
          <cell r="B863" t="str">
            <v>IP-010741.01.06.M01</v>
          </cell>
        </row>
        <row r="864">
          <cell r="A864" t="str">
            <v>21/16</v>
          </cell>
          <cell r="B864" t="str">
            <v>IP-010741.01.06.M01</v>
          </cell>
        </row>
        <row r="865">
          <cell r="A865" t="str">
            <v>21/17</v>
          </cell>
          <cell r="B865" t="str">
            <v>IP-010741.01.06.M01</v>
          </cell>
        </row>
        <row r="866">
          <cell r="A866" t="str">
            <v>21/18</v>
          </cell>
          <cell r="B866" t="str">
            <v>IP-010741.01.06.M01</v>
          </cell>
        </row>
        <row r="867">
          <cell r="A867" t="str">
            <v>21/19</v>
          </cell>
          <cell r="B867" t="str">
            <v>IP-010741.01.06.M01</v>
          </cell>
        </row>
        <row r="868">
          <cell r="A868" t="str">
            <v>21/20</v>
          </cell>
          <cell r="B868" t="str">
            <v>IP-010741.01.06.M01</v>
          </cell>
        </row>
        <row r="869">
          <cell r="A869" t="str">
            <v>21/21</v>
          </cell>
          <cell r="B869" t="str">
            <v>IP-010741.01.06.M01</v>
          </cell>
        </row>
        <row r="870">
          <cell r="A870" t="str">
            <v>21/22</v>
          </cell>
          <cell r="B870" t="str">
            <v>IP-010741.01.06.M01</v>
          </cell>
        </row>
        <row r="871">
          <cell r="A871" t="str">
            <v>21/23</v>
          </cell>
          <cell r="B871" t="str">
            <v>IP-010741.01.06.M01</v>
          </cell>
        </row>
        <row r="872">
          <cell r="A872" t="str">
            <v>21/24</v>
          </cell>
          <cell r="B872" t="str">
            <v>IP-010741.01.06.M01</v>
          </cell>
        </row>
        <row r="873">
          <cell r="A873" t="str">
            <v>21/25</v>
          </cell>
          <cell r="B873" t="str">
            <v>IP-010741.01.06.M01</v>
          </cell>
        </row>
        <row r="874">
          <cell r="A874" t="str">
            <v>21/26</v>
          </cell>
          <cell r="B874" t="str">
            <v>IP-011905.01.01.M01</v>
          </cell>
        </row>
        <row r="875">
          <cell r="A875" t="str">
            <v>21/27</v>
          </cell>
          <cell r="B875" t="str">
            <v>BT1206380.01 h020</v>
          </cell>
        </row>
        <row r="876">
          <cell r="A876" t="str">
            <v>21/28</v>
          </cell>
          <cell r="B876" t="str">
            <v>2111/524205</v>
          </cell>
        </row>
        <row r="877">
          <cell r="A877" t="str">
            <v>21/29</v>
          </cell>
          <cell r="B877" t="str">
            <v>IP-006713.01.06.M01</v>
          </cell>
        </row>
        <row r="878">
          <cell r="A878" t="str">
            <v>21/30</v>
          </cell>
          <cell r="B878" t="str">
            <v>IP-009444.01.02.M01</v>
          </cell>
        </row>
        <row r="879">
          <cell r="A879" t="str">
            <v>21/31</v>
          </cell>
          <cell r="B879" t="str">
            <v>IP-008003.01.01.M01</v>
          </cell>
        </row>
        <row r="880">
          <cell r="A880" t="str">
            <v>21/32</v>
          </cell>
          <cell r="B880" t="str">
            <v>IP-012750.01.01.M01</v>
          </cell>
        </row>
        <row r="881">
          <cell r="A881" t="str">
            <v>21/33</v>
          </cell>
          <cell r="B881" t="str">
            <v>IP-008003.01.01.M01</v>
          </cell>
        </row>
        <row r="882">
          <cell r="A882" t="str">
            <v>21/34</v>
          </cell>
          <cell r="B882" t="str">
            <v>IP-000571.01.02.M01</v>
          </cell>
        </row>
        <row r="883">
          <cell r="A883" t="str">
            <v>21/35</v>
          </cell>
          <cell r="B883" t="str">
            <v>IP-010741.01.06.M01</v>
          </cell>
        </row>
        <row r="884">
          <cell r="A884" t="str">
            <v>21/36</v>
          </cell>
        </row>
        <row r="885">
          <cell r="A885" t="str">
            <v>21/37</v>
          </cell>
          <cell r="B885" t="str">
            <v>2141/531375</v>
          </cell>
        </row>
        <row r="886">
          <cell r="A886" t="str">
            <v>21/38</v>
          </cell>
          <cell r="B886" t="str">
            <v>BT1206380.01 h020</v>
          </cell>
        </row>
        <row r="887">
          <cell r="A887" t="str">
            <v>21/39</v>
          </cell>
          <cell r="B887" t="str">
            <v>IP-004901.01.02.M01</v>
          </cell>
        </row>
        <row r="888">
          <cell r="A888" t="str">
            <v>21/40</v>
          </cell>
          <cell r="B888" t="str">
            <v>2241/510228</v>
          </cell>
        </row>
        <row r="889">
          <cell r="A889" t="str">
            <v>21/41</v>
          </cell>
        </row>
        <row r="890">
          <cell r="A890" t="str">
            <v>21/42</v>
          </cell>
          <cell r="B890" t="str">
            <v>BT1206380.01   h020</v>
          </cell>
        </row>
        <row r="891">
          <cell r="A891" t="str">
            <v>21/43</v>
          </cell>
        </row>
        <row r="892">
          <cell r="A892" t="str">
            <v>21/44</v>
          </cell>
          <cell r="B892" t="str">
            <v>IP-008003.01.01.M01</v>
          </cell>
        </row>
        <row r="893">
          <cell r="A893" t="str">
            <v>21/45</v>
          </cell>
          <cell r="B893" t="str">
            <v>510470  5211</v>
          </cell>
        </row>
        <row r="894">
          <cell r="A894" t="str">
            <v>21/46</v>
          </cell>
          <cell r="B894" t="str">
            <v>BT1206380.01  H020</v>
          </cell>
        </row>
        <row r="895">
          <cell r="A895" t="str">
            <v>21/47</v>
          </cell>
          <cell r="B895" t="str">
            <v>2133/510220</v>
          </cell>
        </row>
        <row r="896">
          <cell r="A896" t="str">
            <v>21/48</v>
          </cell>
        </row>
        <row r="897">
          <cell r="A897" t="str">
            <v>21/49</v>
          </cell>
        </row>
        <row r="898">
          <cell r="A898" t="str">
            <v>21/50</v>
          </cell>
          <cell r="B898" t="str">
            <v>IP-007322.01.02.M01</v>
          </cell>
        </row>
        <row r="899">
          <cell r="A899" t="str">
            <v>21/51</v>
          </cell>
          <cell r="B899" t="str">
            <v>IP-012046.01.01.M01</v>
          </cell>
        </row>
        <row r="900">
          <cell r="A900" t="str">
            <v>21/52</v>
          </cell>
          <cell r="B900" t="str">
            <v>IP-008679.01.02.M01</v>
          </cell>
        </row>
        <row r="901">
          <cell r="A901" t="str">
            <v>21/53</v>
          </cell>
          <cell r="B901" t="str">
            <v>IP-007321.01.02.M01</v>
          </cell>
        </row>
        <row r="902">
          <cell r="A902" t="str">
            <v>21/54</v>
          </cell>
          <cell r="B902" t="str">
            <v>IP-008003.01.01.M01</v>
          </cell>
        </row>
        <row r="903">
          <cell r="A903" t="str">
            <v>21/55</v>
          </cell>
          <cell r="B903" t="str">
            <v>IP-009465.01.02.M01</v>
          </cell>
        </row>
        <row r="904">
          <cell r="A904" t="str">
            <v>21/56</v>
          </cell>
        </row>
        <row r="905">
          <cell r="A905" t="str">
            <v>21/57</v>
          </cell>
          <cell r="B905" t="str">
            <v>BT1212362.01  H020</v>
          </cell>
        </row>
        <row r="906">
          <cell r="A906" t="str">
            <v>21/58</v>
          </cell>
          <cell r="B906" t="str">
            <v>CIC012296.01 HC54</v>
          </cell>
        </row>
        <row r="907">
          <cell r="A907" t="str">
            <v>21/59</v>
          </cell>
          <cell r="B907" t="str">
            <v>BT1206380.01 H020</v>
          </cell>
        </row>
        <row r="908">
          <cell r="A908" t="str">
            <v>21/60</v>
          </cell>
          <cell r="B908" t="str">
            <v>BT1206380.01 h020</v>
          </cell>
        </row>
        <row r="909">
          <cell r="A909" t="str">
            <v>21/61</v>
          </cell>
          <cell r="B909" t="str">
            <v>BT1206380.01 H020</v>
          </cell>
        </row>
        <row r="910">
          <cell r="A910" t="str">
            <v>21/62</v>
          </cell>
          <cell r="B910" t="str">
            <v>-B878IP-012750.01.01.M01</v>
          </cell>
        </row>
        <row r="911">
          <cell r="A911" t="str">
            <v>21/63</v>
          </cell>
          <cell r="B911" t="str">
            <v>IP-010447.01.01.M01</v>
          </cell>
        </row>
        <row r="912">
          <cell r="A912" t="str">
            <v>21/64</v>
          </cell>
          <cell r="B912" t="str">
            <v>IP-009795.02.01.M01</v>
          </cell>
        </row>
        <row r="913">
          <cell r="A913" t="str">
            <v>21/65</v>
          </cell>
          <cell r="B913" t="str">
            <v>IP-10447.01.01.M01</v>
          </cell>
        </row>
        <row r="914">
          <cell r="A914" t="str">
            <v>21/66</v>
          </cell>
          <cell r="B914" t="str">
            <v>BT0382402  L001 (foutief?)</v>
          </cell>
        </row>
        <row r="915">
          <cell r="A915" t="str">
            <v>21/67</v>
          </cell>
        </row>
        <row r="916">
          <cell r="A916" t="str">
            <v>21/68</v>
          </cell>
          <cell r="B916" t="str">
            <v>IP-010893.01.03.M01</v>
          </cell>
        </row>
        <row r="917">
          <cell r="A917" t="str">
            <v>21/69</v>
          </cell>
          <cell r="B917" t="str">
            <v>2166/510831</v>
          </cell>
        </row>
        <row r="918">
          <cell r="A918" t="str">
            <v>21/70</v>
          </cell>
          <cell r="B918" t="str">
            <v>IP-013665.01.01.M01</v>
          </cell>
        </row>
        <row r="919">
          <cell r="A919" t="str">
            <v>21/71</v>
          </cell>
          <cell r="B919" t="str">
            <v>IP-010447.01.01.M01</v>
          </cell>
        </row>
        <row r="920">
          <cell r="A920" t="str">
            <v>21/72</v>
          </cell>
          <cell r="B920" t="str">
            <v>4213/527110</v>
          </cell>
        </row>
        <row r="921">
          <cell r="A921" t="str">
            <v>21/73</v>
          </cell>
          <cell r="B921" t="str">
            <v>4213/527110</v>
          </cell>
        </row>
        <row r="922">
          <cell r="A922" t="str">
            <v>21/74</v>
          </cell>
          <cell r="B922" t="str">
            <v>IP-013665.01.01.M01</v>
          </cell>
        </row>
        <row r="923">
          <cell r="A923" t="str">
            <v>21/75</v>
          </cell>
          <cell r="B923" t="str">
            <v>IP-008003.01.01.M01</v>
          </cell>
        </row>
        <row r="924">
          <cell r="A924" t="str">
            <v>21/76</v>
          </cell>
        </row>
        <row r="925">
          <cell r="A925" t="str">
            <v>21/77</v>
          </cell>
          <cell r="B925" t="str">
            <v>BT1206380.01 h020</v>
          </cell>
        </row>
        <row r="926">
          <cell r="A926" t="str">
            <v>21/78</v>
          </cell>
        </row>
        <row r="927">
          <cell r="A927" t="str">
            <v>21/79</v>
          </cell>
        </row>
        <row r="928">
          <cell r="A928" t="str">
            <v>21/80</v>
          </cell>
          <cell r="B928" t="str">
            <v>2133/510831</v>
          </cell>
        </row>
        <row r="929">
          <cell r="A929" t="str">
            <v>21/81</v>
          </cell>
          <cell r="B929" t="str">
            <v>BT1207466.01  H020</v>
          </cell>
        </row>
        <row r="930">
          <cell r="A930" t="str">
            <v>21/82</v>
          </cell>
          <cell r="B930" t="str">
            <v>2145/510227</v>
          </cell>
        </row>
        <row r="931">
          <cell r="A931" t="str">
            <v>21/83</v>
          </cell>
          <cell r="B931" t="str">
            <v>2145/510227</v>
          </cell>
        </row>
        <row r="932">
          <cell r="A932" t="str">
            <v>21/84</v>
          </cell>
          <cell r="B932" t="str">
            <v>2145/510227</v>
          </cell>
        </row>
        <row r="933">
          <cell r="A933" t="str">
            <v>21/85</v>
          </cell>
          <cell r="B933" t="str">
            <v>2145/510227</v>
          </cell>
        </row>
        <row r="934">
          <cell r="A934" t="str">
            <v>21/86</v>
          </cell>
          <cell r="B934" t="str">
            <v>2145/510227</v>
          </cell>
        </row>
        <row r="935">
          <cell r="A935" t="str">
            <v>21/87</v>
          </cell>
          <cell r="B935" t="str">
            <v>2145/531647</v>
          </cell>
        </row>
        <row r="936">
          <cell r="A936" t="str">
            <v>21/88</v>
          </cell>
          <cell r="B936" t="str">
            <v>2144/502201</v>
          </cell>
        </row>
        <row r="937">
          <cell r="A937" t="str">
            <v>21/89</v>
          </cell>
          <cell r="B937" t="str">
            <v>2145/510227</v>
          </cell>
        </row>
        <row r="938">
          <cell r="A938" t="str">
            <v>21/90</v>
          </cell>
          <cell r="B938" t="str">
            <v>2144/502201</v>
          </cell>
        </row>
        <row r="939">
          <cell r="A939" t="str">
            <v>21/91</v>
          </cell>
          <cell r="B939" t="str">
            <v>2144/502201</v>
          </cell>
        </row>
        <row r="940">
          <cell r="A940" t="str">
            <v>21/92</v>
          </cell>
          <cell r="B940" t="str">
            <v>IP-010450.01.02.M01</v>
          </cell>
        </row>
        <row r="941">
          <cell r="A941" t="str">
            <v>21/93</v>
          </cell>
          <cell r="B941" t="str">
            <v>IP-010450.01.02.M01</v>
          </cell>
        </row>
        <row r="942">
          <cell r="A942" t="str">
            <v>21/94</v>
          </cell>
          <cell r="B942" t="str">
            <v>BT1206380.01 H020</v>
          </cell>
        </row>
        <row r="943">
          <cell r="A943" t="str">
            <v>21/95</v>
          </cell>
          <cell r="B943" t="str">
            <v>IP-010450.01.02.M01</v>
          </cell>
        </row>
        <row r="944">
          <cell r="A944" t="str">
            <v>21/96</v>
          </cell>
          <cell r="B944" t="str">
            <v>IP-010450.01.02.M01</v>
          </cell>
        </row>
        <row r="945">
          <cell r="A945" t="str">
            <v>21/97</v>
          </cell>
          <cell r="B945" t="str">
            <v>IP-010450.01.02.M01</v>
          </cell>
        </row>
        <row r="946">
          <cell r="A946" t="str">
            <v>21/98</v>
          </cell>
          <cell r="B946" t="str">
            <v>IP-010450.01.02.M01</v>
          </cell>
        </row>
        <row r="947">
          <cell r="A947" t="str">
            <v>21/99</v>
          </cell>
          <cell r="B947" t="str">
            <v>2123/526449</v>
          </cell>
        </row>
        <row r="948">
          <cell r="A948" t="str">
            <v>21/100</v>
          </cell>
          <cell r="B948" t="str">
            <v>IP-010450.01.02.M01</v>
          </cell>
        </row>
        <row r="949">
          <cell r="A949" t="str">
            <v>21/101</v>
          </cell>
        </row>
        <row r="950">
          <cell r="A950" t="str">
            <v>21/102</v>
          </cell>
          <cell r="B950" t="str">
            <v>IP-010450.01.02.M01</v>
          </cell>
        </row>
        <row r="951">
          <cell r="A951" t="str">
            <v>21/103</v>
          </cell>
          <cell r="B951" t="str">
            <v>IP-010450.01.02.M01</v>
          </cell>
        </row>
        <row r="952">
          <cell r="A952" t="str">
            <v>21/104</v>
          </cell>
          <cell r="B952" t="str">
            <v>IP-010450.01.02.M01</v>
          </cell>
        </row>
        <row r="953">
          <cell r="A953" t="str">
            <v>21/105</v>
          </cell>
          <cell r="B953" t="str">
            <v>2111/524241</v>
          </cell>
        </row>
        <row r="954">
          <cell r="A954" t="str">
            <v>21/106</v>
          </cell>
          <cell r="B954" t="str">
            <v>IP-011126.01.01.M01</v>
          </cell>
        </row>
        <row r="955">
          <cell r="A955" t="str">
            <v>21/107</v>
          </cell>
          <cell r="B955" t="str">
            <v>IP-011127.01.01.M01</v>
          </cell>
        </row>
        <row r="956">
          <cell r="A956" t="str">
            <v>21/108</v>
          </cell>
          <cell r="B956" t="str">
            <v>2111/524238</v>
          </cell>
        </row>
        <row r="957">
          <cell r="A957" t="str">
            <v>21/109</v>
          </cell>
          <cell r="B957" t="str">
            <v>IP-008003.01.01.M01</v>
          </cell>
        </row>
        <row r="958">
          <cell r="A958" t="str">
            <v>21/110</v>
          </cell>
          <cell r="B958" t="str">
            <v>2111/524233</v>
          </cell>
        </row>
        <row r="959">
          <cell r="A959" t="str">
            <v>21/111</v>
          </cell>
          <cell r="B959" t="str">
            <v>2145/531642</v>
          </cell>
        </row>
        <row r="960">
          <cell r="A960" t="str">
            <v>21/112</v>
          </cell>
          <cell r="B960" t="str">
            <v>2141/531568</v>
          </cell>
        </row>
        <row r="961">
          <cell r="A961" t="str">
            <v>21/113</v>
          </cell>
          <cell r="B961" t="str">
            <v>4217/527115</v>
          </cell>
        </row>
        <row r="962">
          <cell r="A962" t="str">
            <v>21/114</v>
          </cell>
          <cell r="B962" t="str">
            <v>2145/525081</v>
          </cell>
        </row>
        <row r="963">
          <cell r="A963" t="str">
            <v>21/115</v>
          </cell>
          <cell r="B963" t="str">
            <v>IP-010741.01.06.M01</v>
          </cell>
        </row>
        <row r="964">
          <cell r="A964" t="str">
            <v>21/116</v>
          </cell>
          <cell r="B964" t="str">
            <v>2111/524240</v>
          </cell>
        </row>
        <row r="965">
          <cell r="A965" t="str">
            <v>21/117</v>
          </cell>
        </row>
        <row r="966">
          <cell r="A966" t="str">
            <v>21/118</v>
          </cell>
          <cell r="B966" t="str">
            <v>2141/531568</v>
          </cell>
        </row>
        <row r="967">
          <cell r="A967" t="str">
            <v>21/119</v>
          </cell>
          <cell r="B967" t="str">
            <v>2111/524241</v>
          </cell>
        </row>
        <row r="968">
          <cell r="A968" t="str">
            <v>21/120</v>
          </cell>
        </row>
        <row r="969">
          <cell r="A969" t="str">
            <v>21/121</v>
          </cell>
        </row>
        <row r="970">
          <cell r="A970" t="str">
            <v>21/122</v>
          </cell>
        </row>
        <row r="971">
          <cell r="A971" t="str">
            <v>21/123</v>
          </cell>
          <cell r="B971" t="str">
            <v>2123/526186</v>
          </cell>
        </row>
        <row r="972">
          <cell r="A972" t="str">
            <v>21/124</v>
          </cell>
          <cell r="B972" t="str">
            <v>IP-010741.01.06.M01</v>
          </cell>
        </row>
        <row r="973">
          <cell r="A973" t="str">
            <v>21/125</v>
          </cell>
        </row>
        <row r="974">
          <cell r="A974" t="str">
            <v>21/126</v>
          </cell>
          <cell r="B974" t="str">
            <v>BT0382404.01 H020</v>
          </cell>
        </row>
        <row r="975">
          <cell r="A975" t="str">
            <v>21/127</v>
          </cell>
          <cell r="B975" t="str">
            <v>BT0382404.01 H020</v>
          </cell>
        </row>
        <row r="976">
          <cell r="A976" t="str">
            <v>21/128</v>
          </cell>
          <cell r="B976" t="str">
            <v>BT0382404.01 H020</v>
          </cell>
        </row>
        <row r="977">
          <cell r="A977" t="str">
            <v>21/129</v>
          </cell>
          <cell r="B977" t="str">
            <v>BT0382402.01 L001 (foutief)</v>
          </cell>
        </row>
        <row r="978">
          <cell r="A978" t="str">
            <v>21/130</v>
          </cell>
          <cell r="B978" t="str">
            <v>IP-009465.01.02.M01</v>
          </cell>
        </row>
        <row r="979">
          <cell r="A979" t="str">
            <v>21/131</v>
          </cell>
        </row>
        <row r="980">
          <cell r="A980" t="str">
            <v>21/132</v>
          </cell>
        </row>
        <row r="981">
          <cell r="A981" t="str">
            <v>21/133</v>
          </cell>
        </row>
        <row r="982">
          <cell r="A982" t="str">
            <v>21/134</v>
          </cell>
          <cell r="B982" t="str">
            <v>IP-008003.01.01.M01</v>
          </cell>
        </row>
        <row r="983">
          <cell r="A983" t="str">
            <v>21/135</v>
          </cell>
          <cell r="B983" t="str">
            <v>2122/525074</v>
          </cell>
        </row>
        <row r="984">
          <cell r="A984" t="str">
            <v>21/136</v>
          </cell>
        </row>
        <row r="985">
          <cell r="A985" t="str">
            <v>21/137</v>
          </cell>
          <cell r="B985" t="str">
            <v>2122/525072</v>
          </cell>
        </row>
        <row r="986">
          <cell r="A986" t="str">
            <v>21/138</v>
          </cell>
          <cell r="B986" t="str">
            <v>2122/525283</v>
          </cell>
        </row>
        <row r="987">
          <cell r="A987" t="str">
            <v>21/139</v>
          </cell>
          <cell r="B987" t="str">
            <v>2122/525286</v>
          </cell>
        </row>
        <row r="988">
          <cell r="A988" t="str">
            <v>21/140</v>
          </cell>
          <cell r="B988" t="str">
            <v>2122/525284</v>
          </cell>
        </row>
        <row r="989">
          <cell r="A989" t="str">
            <v>21/141</v>
          </cell>
          <cell r="B989" t="str">
            <v>2122/525292</v>
          </cell>
        </row>
        <row r="990">
          <cell r="A990" t="str">
            <v>21/142</v>
          </cell>
          <cell r="B990" t="str">
            <v>2122/525073</v>
          </cell>
        </row>
        <row r="991">
          <cell r="A991" t="str">
            <v>21/143</v>
          </cell>
          <cell r="B991" t="str">
            <v>IP-001058.01.02.M01</v>
          </cell>
        </row>
        <row r="992">
          <cell r="A992" t="str">
            <v>21/144</v>
          </cell>
          <cell r="B992" t="str">
            <v>IP-008003.01.01.M01</v>
          </cell>
        </row>
        <row r="993">
          <cell r="A993" t="str">
            <v>21/145</v>
          </cell>
          <cell r="B993" t="str">
            <v>BT0382402.01 L001 (foutief)</v>
          </cell>
        </row>
        <row r="994">
          <cell r="A994" t="str">
            <v>21/146</v>
          </cell>
          <cell r="B994" t="str">
            <v>IP-008003.01.01.M01</v>
          </cell>
        </row>
        <row r="995">
          <cell r="A995" t="str">
            <v>21/147</v>
          </cell>
          <cell r="B995" t="str">
            <v>IP-000571.01.02.M01</v>
          </cell>
        </row>
        <row r="996">
          <cell r="A996" t="str">
            <v>21/148</v>
          </cell>
          <cell r="B996" t="str">
            <v>3222 502871</v>
          </cell>
        </row>
        <row r="997">
          <cell r="A997" t="str">
            <v>21/149</v>
          </cell>
        </row>
        <row r="998">
          <cell r="A998" t="str">
            <v>21/150</v>
          </cell>
          <cell r="B998" t="str">
            <v>510470  3221</v>
          </cell>
        </row>
        <row r="999">
          <cell r="A999" t="str">
            <v>21/151</v>
          </cell>
          <cell r="B999" t="str">
            <v>BT0382402.01 L001 (foutief)</v>
          </cell>
        </row>
        <row r="1000">
          <cell r="A1000" t="str">
            <v>21/152</v>
          </cell>
          <cell r="B1000" t="str">
            <v>BT1206380.01 H020</v>
          </cell>
        </row>
        <row r="1001">
          <cell r="A1001" t="str">
            <v>21/153</v>
          </cell>
          <cell r="B1001" t="str">
            <v>BT1206380.01 H020</v>
          </cell>
        </row>
        <row r="1002">
          <cell r="A1002" t="str">
            <v>21/154</v>
          </cell>
          <cell r="B1002" t="str">
            <v>4217//527132</v>
          </cell>
        </row>
        <row r="1003">
          <cell r="A1003" t="str">
            <v>21/155</v>
          </cell>
          <cell r="B1003" t="str">
            <v>IP-010447.01.01.M01</v>
          </cell>
        </row>
        <row r="1004">
          <cell r="A1004" t="str">
            <v>21/156</v>
          </cell>
          <cell r="B1004" t="str">
            <v>IP-010447.01.01.M01</v>
          </cell>
        </row>
        <row r="1005">
          <cell r="A1005" t="str">
            <v>21/157</v>
          </cell>
          <cell r="B1005" t="str">
            <v>BT1212362.01 H020</v>
          </cell>
        </row>
        <row r="1006">
          <cell r="A1006" t="str">
            <v>21/158</v>
          </cell>
        </row>
        <row r="1007">
          <cell r="A1007" t="str">
            <v>21/159</v>
          </cell>
        </row>
        <row r="1008">
          <cell r="A1008" t="str">
            <v>21/160</v>
          </cell>
          <cell r="B1008" t="str">
            <v>IP-010447.01.01.M01</v>
          </cell>
        </row>
        <row r="1009">
          <cell r="A1009" t="str">
            <v>21/161</v>
          </cell>
          <cell r="B1009" t="str">
            <v>IP-010624.01.01.M01</v>
          </cell>
        </row>
        <row r="1010">
          <cell r="A1010" t="str">
            <v>21/162</v>
          </cell>
          <cell r="B1010" t="str">
            <v>IP-011147.01.01.M01</v>
          </cell>
        </row>
        <row r="1011">
          <cell r="A1011" t="str">
            <v>21/163</v>
          </cell>
          <cell r="B1011" t="str">
            <v>BT1368470.01 H020</v>
          </cell>
        </row>
        <row r="1012">
          <cell r="A1012" t="str">
            <v>21/164</v>
          </cell>
          <cell r="B1012" t="str">
            <v>BT1206380.01 H020</v>
          </cell>
        </row>
        <row r="1013">
          <cell r="A1013" t="str">
            <v>21/165</v>
          </cell>
          <cell r="B1013" t="str">
            <v>IP-007322.01.02.M01</v>
          </cell>
        </row>
        <row r="1014">
          <cell r="A1014" t="str">
            <v>21/166</v>
          </cell>
          <cell r="B1014" t="str">
            <v>IP-011666.01.01.M01</v>
          </cell>
        </row>
        <row r="1015">
          <cell r="A1015" t="str">
            <v>21/167</v>
          </cell>
          <cell r="B1015" t="str">
            <v>3221502591  (taak ontbreekt</v>
          </cell>
        </row>
        <row r="1016">
          <cell r="A1016" t="str">
            <v>21/168</v>
          </cell>
          <cell r="B1016" t="str">
            <v>BT1206380.01 H020</v>
          </cell>
        </row>
        <row r="1017">
          <cell r="A1017" t="str">
            <v>21/169</v>
          </cell>
          <cell r="B1017" t="str">
            <v>IP-004901.01.02.M01</v>
          </cell>
        </row>
        <row r="1018">
          <cell r="A1018" t="str">
            <v>21/170</v>
          </cell>
          <cell r="B1018" t="str">
            <v xml:space="preserve">IP-014442.01.01.M01  </v>
          </cell>
        </row>
        <row r="1019">
          <cell r="A1019" t="str">
            <v>21/171</v>
          </cell>
          <cell r="B1019" t="str">
            <v>2111/524629</v>
          </cell>
        </row>
        <row r="1020">
          <cell r="A1020" t="str">
            <v>21/172</v>
          </cell>
          <cell r="B1020" t="str">
            <v>IP-004684.07.04.M01</v>
          </cell>
        </row>
        <row r="1021">
          <cell r="A1021" t="str">
            <v>21/173</v>
          </cell>
          <cell r="B1021" t="str">
            <v>IP-010741.01.03.M01</v>
          </cell>
        </row>
        <row r="1022">
          <cell r="A1022" t="str">
            <v>21/174</v>
          </cell>
          <cell r="B1022" t="str">
            <v>4217/527087</v>
          </cell>
        </row>
        <row r="1023">
          <cell r="A1023" t="str">
            <v>21/175</v>
          </cell>
        </row>
        <row r="1024">
          <cell r="A1024" t="str">
            <v>21/176</v>
          </cell>
        </row>
        <row r="1025">
          <cell r="A1025" t="str">
            <v>21/177</v>
          </cell>
          <cell r="B1025" t="str">
            <v>BT0382326  H010</v>
          </cell>
        </row>
        <row r="1026">
          <cell r="A1026" t="str">
            <v>21/178</v>
          </cell>
          <cell r="B1026" t="str">
            <v>2111/524254</v>
          </cell>
        </row>
        <row r="1027">
          <cell r="A1027" t="str">
            <v>21/179</v>
          </cell>
        </row>
        <row r="1028">
          <cell r="A1028" t="str">
            <v>21/180</v>
          </cell>
        </row>
        <row r="1029">
          <cell r="A1029" t="str">
            <v>21/181</v>
          </cell>
        </row>
        <row r="1030">
          <cell r="A1030" t="str">
            <v>21/182</v>
          </cell>
          <cell r="B1030" t="str">
            <v>IP-009444.01.02.M01</v>
          </cell>
        </row>
        <row r="1031">
          <cell r="A1031" t="str">
            <v>21/183</v>
          </cell>
          <cell r="B1031" t="str">
            <v>BT1368470.01 H020</v>
          </cell>
        </row>
        <row r="1032">
          <cell r="A1032" t="str">
            <v>21/184</v>
          </cell>
          <cell r="B1032" t="str">
            <v>IP-004901.01.02.M01</v>
          </cell>
        </row>
        <row r="1033">
          <cell r="A1033" t="str">
            <v>21/185</v>
          </cell>
        </row>
        <row r="1034">
          <cell r="A1034" t="str">
            <v>21/186</v>
          </cell>
          <cell r="B1034" t="str">
            <v>IP-007321.01.02.M01</v>
          </cell>
        </row>
        <row r="1035">
          <cell r="A1035" t="str">
            <v>21/187</v>
          </cell>
          <cell r="B1035" t="str">
            <v>BT1212462.01 H010</v>
          </cell>
        </row>
        <row r="1036">
          <cell r="A1036" t="str">
            <v>21/188</v>
          </cell>
          <cell r="B1036" t="str">
            <v>BT1212362.01 H020</v>
          </cell>
        </row>
        <row r="1037">
          <cell r="A1037" t="str">
            <v>21/189</v>
          </cell>
          <cell r="B1037" t="str">
            <v>BT1212362.01 H020</v>
          </cell>
        </row>
        <row r="1038">
          <cell r="A1038" t="str">
            <v>21/190</v>
          </cell>
          <cell r="B1038" t="str">
            <v>IP-010741.01.06.M01</v>
          </cell>
        </row>
        <row r="1039">
          <cell r="A1039" t="str">
            <v>21/191</v>
          </cell>
          <cell r="B1039" t="str">
            <v>BT0382902.01 H040</v>
          </cell>
        </row>
        <row r="1040">
          <cell r="A1040" t="str">
            <v>21/192</v>
          </cell>
          <cell r="B1040" t="str">
            <v>IP-010741.01.06.M01</v>
          </cell>
        </row>
        <row r="1041">
          <cell r="A1041" t="str">
            <v>21/193</v>
          </cell>
        </row>
        <row r="1042">
          <cell r="A1042" t="str">
            <v>21/194</v>
          </cell>
          <cell r="B1042" t="str">
            <v>IP-010741.01.06.M01</v>
          </cell>
        </row>
        <row r="1043">
          <cell r="A1043" t="str">
            <v>21/195</v>
          </cell>
        </row>
        <row r="1044">
          <cell r="A1044" t="str">
            <v>21/196</v>
          </cell>
        </row>
        <row r="1045">
          <cell r="A1045" t="str">
            <v>21/197</v>
          </cell>
          <cell r="B1045" t="str">
            <v>IP-010450.01.02.M01</v>
          </cell>
        </row>
        <row r="1046">
          <cell r="A1046" t="str">
            <v>21/198</v>
          </cell>
          <cell r="B1046" t="str">
            <v>2144/510212</v>
          </cell>
        </row>
        <row r="1047">
          <cell r="A1047" t="str">
            <v>21/199</v>
          </cell>
          <cell r="B1047" t="str">
            <v>IP-007321.01.02.M01</v>
          </cell>
        </row>
        <row r="1048">
          <cell r="A1048" t="str">
            <v>21/200</v>
          </cell>
          <cell r="B1048" t="str">
            <v>21/22/510212</v>
          </cell>
        </row>
        <row r="1049">
          <cell r="A1049" t="str">
            <v>21/201</v>
          </cell>
          <cell r="B1049" t="str">
            <v>2122/510212</v>
          </cell>
        </row>
        <row r="1050">
          <cell r="A1050" t="str">
            <v>21/202</v>
          </cell>
          <cell r="B1050" t="str">
            <v>2122/510212</v>
          </cell>
        </row>
        <row r="1051">
          <cell r="A1051" t="str">
            <v>21/203</v>
          </cell>
        </row>
        <row r="1052">
          <cell r="A1052" t="str">
            <v>21/204</v>
          </cell>
        </row>
        <row r="1053">
          <cell r="A1053" t="str">
            <v>21/205</v>
          </cell>
        </row>
        <row r="1054">
          <cell r="A1054" t="str">
            <v>21/206</v>
          </cell>
        </row>
        <row r="1055">
          <cell r="A1055" t="str">
            <v>21/207</v>
          </cell>
        </row>
        <row r="1056">
          <cell r="A1056" t="str">
            <v>21/208</v>
          </cell>
        </row>
        <row r="1057">
          <cell r="A1057" t="str">
            <v>21/209</v>
          </cell>
        </row>
        <row r="1058">
          <cell r="A1058" t="str">
            <v>21/210</v>
          </cell>
          <cell r="B1058" t="str">
            <v>IP-000165.01.01</v>
          </cell>
        </row>
        <row r="1059">
          <cell r="A1059" t="str">
            <v>21/211</v>
          </cell>
          <cell r="B1059" t="str">
            <v>IP-004901.01.02.M01</v>
          </cell>
        </row>
        <row r="1060">
          <cell r="A1060" t="str">
            <v>21/212</v>
          </cell>
          <cell r="B1060" t="str">
            <v>BT1206380.01 H020</v>
          </cell>
        </row>
        <row r="1061">
          <cell r="A1061" t="str">
            <v>21/213</v>
          </cell>
          <cell r="B1061" t="str">
            <v>BT1212362.01 H020</v>
          </cell>
        </row>
        <row r="1062">
          <cell r="A1062" t="str">
            <v>21/214</v>
          </cell>
        </row>
        <row r="1063">
          <cell r="A1063" t="str">
            <v>21/215</v>
          </cell>
        </row>
        <row r="1064">
          <cell r="A1064" t="str">
            <v>21/216</v>
          </cell>
        </row>
        <row r="1065">
          <cell r="A1065" t="str">
            <v>21/217</v>
          </cell>
        </row>
        <row r="1066">
          <cell r="A1066" t="str">
            <v>21/218</v>
          </cell>
        </row>
        <row r="1067">
          <cell r="A1067" t="str">
            <v>21/219</v>
          </cell>
        </row>
        <row r="1068">
          <cell r="A1068" t="str">
            <v>21/220</v>
          </cell>
          <cell r="B1068" t="str">
            <v>IP-004901.01.02.M01</v>
          </cell>
        </row>
        <row r="1069">
          <cell r="A1069" t="str">
            <v>21/221</v>
          </cell>
          <cell r="B1069" t="str">
            <v>IP-010868.01.02.M01</v>
          </cell>
        </row>
        <row r="1070">
          <cell r="A1070" t="str">
            <v>21/222</v>
          </cell>
          <cell r="B1070" t="str">
            <v>IP-010868.01.02.M01</v>
          </cell>
        </row>
        <row r="1071">
          <cell r="A1071" t="str">
            <v>21/223</v>
          </cell>
          <cell r="B1071" t="str">
            <v xml:space="preserve">IP-010741.01.06.M01 </v>
          </cell>
        </row>
        <row r="1072">
          <cell r="A1072" t="str">
            <v>21/224</v>
          </cell>
          <cell r="B1072" t="str">
            <v>2123/526185</v>
          </cell>
        </row>
        <row r="1073">
          <cell r="A1073" t="str">
            <v>21/225</v>
          </cell>
        </row>
        <row r="1074">
          <cell r="A1074" t="str">
            <v>21/226</v>
          </cell>
          <cell r="B1074" t="str">
            <v>2144/510212</v>
          </cell>
        </row>
        <row r="1075">
          <cell r="A1075" t="str">
            <v>21/227</v>
          </cell>
          <cell r="B1075" t="str">
            <v>3221 502591</v>
          </cell>
        </row>
        <row r="1076">
          <cell r="A1076" t="str">
            <v>21/228</v>
          </cell>
        </row>
        <row r="1077">
          <cell r="A1077" t="str">
            <v>21/229</v>
          </cell>
          <cell r="B1077" t="str">
            <v>4002301/0070</v>
          </cell>
        </row>
        <row r="1078">
          <cell r="A1078" t="str">
            <v>21/230</v>
          </cell>
          <cell r="B1078" t="str">
            <v>502591 3221</v>
          </cell>
        </row>
        <row r="1079">
          <cell r="A1079" t="str">
            <v>21/231</v>
          </cell>
          <cell r="B1079" t="str">
            <v>502591 3221</v>
          </cell>
        </row>
        <row r="1080">
          <cell r="A1080" t="str">
            <v>21/232</v>
          </cell>
          <cell r="B1080" t="str">
            <v>4002300/0070</v>
          </cell>
        </row>
        <row r="1081">
          <cell r="A1081" t="str">
            <v>21/233</v>
          </cell>
          <cell r="B1081" t="str">
            <v>4001/6020070</v>
          </cell>
        </row>
        <row r="1082">
          <cell r="A1082" t="str">
            <v>21/234</v>
          </cell>
          <cell r="B1082" t="str">
            <v>2111/524230</v>
          </cell>
        </row>
        <row r="1083">
          <cell r="A1083" t="str">
            <v>21/235</v>
          </cell>
          <cell r="B1083" t="str">
            <v>2123/526028</v>
          </cell>
        </row>
        <row r="1084">
          <cell r="A1084" t="str">
            <v>21/236</v>
          </cell>
          <cell r="B1084" t="str">
            <v>IP-004901.01.02.M01</v>
          </cell>
        </row>
        <row r="1085">
          <cell r="A1085" t="str">
            <v>21/237</v>
          </cell>
        </row>
        <row r="1086">
          <cell r="A1086" t="str">
            <v>21/238</v>
          </cell>
          <cell r="B1086" t="str">
            <v>BT1206380.01 H020</v>
          </cell>
        </row>
        <row r="1087">
          <cell r="A1087" t="str">
            <v>21/239</v>
          </cell>
        </row>
        <row r="1088">
          <cell r="A1088" t="str">
            <v>21/240</v>
          </cell>
        </row>
        <row r="1089">
          <cell r="A1089" t="str">
            <v>21/241</v>
          </cell>
          <cell r="B1089" t="str">
            <v>BT1207440.01 H010</v>
          </cell>
        </row>
        <row r="1090">
          <cell r="A1090" t="str">
            <v>21/242</v>
          </cell>
        </row>
        <row r="1091">
          <cell r="A1091" t="str">
            <v>21/243</v>
          </cell>
          <cell r="B1091" t="str">
            <v>4219/527104</v>
          </cell>
        </row>
        <row r="1092">
          <cell r="A1092" t="str">
            <v>21/244</v>
          </cell>
          <cell r="B1092" t="str">
            <v>IP-014479.01.01.M01 (niet geldig)</v>
          </cell>
        </row>
        <row r="1093">
          <cell r="A1093" t="str">
            <v>21/245</v>
          </cell>
          <cell r="B1093" t="str">
            <v>IP-014479.01.01.M01 (niet geldig)</v>
          </cell>
        </row>
        <row r="1094">
          <cell r="A1094" t="str">
            <v>21/246</v>
          </cell>
          <cell r="B1094" t="str">
            <v>IP-014479.01.01.M01 (niet geldig  pfff)</v>
          </cell>
        </row>
        <row r="1095">
          <cell r="A1095" t="str">
            <v>21/247</v>
          </cell>
          <cell r="B1095" t="str">
            <v>BT0382902.01 H040</v>
          </cell>
        </row>
        <row r="1096">
          <cell r="A1096" t="str">
            <v>21/248</v>
          </cell>
          <cell r="B1096" t="str">
            <v>IP-004901.01.02.M01</v>
          </cell>
        </row>
        <row r="1097">
          <cell r="A1097" t="str">
            <v>21/249</v>
          </cell>
          <cell r="B1097" t="str">
            <v>4219/527119</v>
          </cell>
        </row>
        <row r="1098">
          <cell r="A1098" t="str">
            <v>21/250</v>
          </cell>
          <cell r="B1098" t="str">
            <v>4219/527128</v>
          </cell>
        </row>
        <row r="1099">
          <cell r="A1099" t="str">
            <v>21/251</v>
          </cell>
          <cell r="B1099" t="str">
            <v>4219/527085</v>
          </cell>
        </row>
        <row r="1100">
          <cell r="A1100" t="str">
            <v>21/252</v>
          </cell>
          <cell r="B1100" t="str">
            <v>4219/527131</v>
          </cell>
        </row>
        <row r="1101">
          <cell r="A1101" t="str">
            <v>21/253</v>
          </cell>
          <cell r="B1101" t="str">
            <v>4219/527131</v>
          </cell>
        </row>
        <row r="1102">
          <cell r="A1102" t="str">
            <v>21/254</v>
          </cell>
          <cell r="B1102" t="str">
            <v>IP-004901.01.02.M01</v>
          </cell>
        </row>
        <row r="1103">
          <cell r="A1103" t="str">
            <v>21/255</v>
          </cell>
          <cell r="B1103" t="str">
            <v>IP-004901.01.02.M01</v>
          </cell>
        </row>
        <row r="1104">
          <cell r="A1104" t="str">
            <v>21/256</v>
          </cell>
          <cell r="B1104" t="str">
            <v>4219/527112</v>
          </cell>
        </row>
        <row r="1105">
          <cell r="A1105" t="str">
            <v>21/257</v>
          </cell>
          <cell r="B1105" t="str">
            <v>IP-009465.01.02.M01</v>
          </cell>
        </row>
        <row r="1106">
          <cell r="A1106" t="str">
            <v>21/258</v>
          </cell>
          <cell r="B1106" t="str">
            <v>IP-009465.01.02.M01</v>
          </cell>
        </row>
        <row r="1107">
          <cell r="A1107" t="str">
            <v>21/259</v>
          </cell>
          <cell r="B1107" t="str">
            <v>IP-008679.01.02.M01</v>
          </cell>
        </row>
        <row r="1108">
          <cell r="A1108" t="str">
            <v>21/260</v>
          </cell>
          <cell r="B1108" t="str">
            <v>3221 502591</v>
          </cell>
        </row>
        <row r="1109">
          <cell r="A1109" t="str">
            <v>21/261</v>
          </cell>
          <cell r="B1109" t="str">
            <v>2341/538296</v>
          </cell>
        </row>
        <row r="1110">
          <cell r="A1110" t="str">
            <v>21/262</v>
          </cell>
          <cell r="B1110" t="str">
            <v>BT1206380.01 H020</v>
          </cell>
        </row>
        <row r="1111">
          <cell r="A1111" t="str">
            <v>21/263</v>
          </cell>
          <cell r="B1111" t="str">
            <v>IP-008003.01.01.M01</v>
          </cell>
        </row>
        <row r="1112">
          <cell r="A1112" t="str">
            <v>21/264</v>
          </cell>
          <cell r="B1112" t="str">
            <v>IP-014293.01.02.M01 niet geldig</v>
          </cell>
        </row>
        <row r="1113">
          <cell r="A1113" t="str">
            <v>21/265</v>
          </cell>
          <cell r="B1113" t="str">
            <v>IP-014293.01.02.M01 niet geldig</v>
          </cell>
        </row>
        <row r="1114">
          <cell r="A1114" t="str">
            <v>21/266</v>
          </cell>
          <cell r="B1114" t="str">
            <v>IP-014293.01.02.M01 niet geldig</v>
          </cell>
        </row>
        <row r="1115">
          <cell r="A1115" t="str">
            <v>21/267</v>
          </cell>
          <cell r="B1115" t="str">
            <v>IP-014293.01.02.M01 niet geldig</v>
          </cell>
        </row>
        <row r="1116">
          <cell r="A1116" t="str">
            <v>21/268</v>
          </cell>
          <cell r="B1116" t="str">
            <v>IP-014293.01.02.M01 niet geldig</v>
          </cell>
        </row>
        <row r="1117">
          <cell r="A1117" t="str">
            <v>21/269</v>
          </cell>
          <cell r="B1117" t="str">
            <v>IP-010741.01.06.M01</v>
          </cell>
        </row>
        <row r="1118">
          <cell r="A1118" t="str">
            <v>21/270</v>
          </cell>
          <cell r="B1118" t="str">
            <v>IP-007321.01.02.M01</v>
          </cell>
        </row>
        <row r="1119">
          <cell r="A1119" t="str">
            <v>21/271</v>
          </cell>
          <cell r="B1119" t="str">
            <v>IP-000571.01.02.M01</v>
          </cell>
        </row>
        <row r="1120">
          <cell r="A1120" t="str">
            <v>21/272</v>
          </cell>
          <cell r="B1120" t="str">
            <v>CIC012296.01 HC54</v>
          </cell>
        </row>
        <row r="1121">
          <cell r="A1121" t="str">
            <v>21/273</v>
          </cell>
          <cell r="B1121" t="str">
            <v>BT1368470.01 H020</v>
          </cell>
        </row>
        <row r="1122">
          <cell r="A1122" t="str">
            <v>21/274</v>
          </cell>
          <cell r="B1122" t="str">
            <v>4219/527117</v>
          </cell>
        </row>
        <row r="1123">
          <cell r="A1123" t="str">
            <v>21/275</v>
          </cell>
          <cell r="B1123" t="str">
            <v>4219/527117</v>
          </cell>
        </row>
        <row r="1124">
          <cell r="A1124" t="str">
            <v>21/276</v>
          </cell>
          <cell r="B1124" t="str">
            <v>IP-013250.01.01.M01</v>
          </cell>
        </row>
        <row r="1125">
          <cell r="A1125" t="str">
            <v>21/277</v>
          </cell>
          <cell r="B1125" t="str">
            <v>IP-000571.01.02.M01</v>
          </cell>
        </row>
        <row r="1126">
          <cell r="A1126" t="str">
            <v>21/278</v>
          </cell>
          <cell r="B1126" t="str">
            <v>IP-010893.01.03.M01</v>
          </cell>
        </row>
        <row r="1127">
          <cell r="A1127" t="str">
            <v>21/279</v>
          </cell>
        </row>
        <row r="1128">
          <cell r="A1128" t="str">
            <v>21/280</v>
          </cell>
          <cell r="B1128" t="str">
            <v>IP-010854.01.02.M01</v>
          </cell>
        </row>
        <row r="1129">
          <cell r="A1129" t="str">
            <v>21/281</v>
          </cell>
          <cell r="B1129" t="str">
            <v>IP-010854.01.02.M01</v>
          </cell>
        </row>
        <row r="1130">
          <cell r="A1130" t="str">
            <v>21/282</v>
          </cell>
          <cell r="B1130" t="str">
            <v>IP-010854.01.02.M01</v>
          </cell>
        </row>
        <row r="1131">
          <cell r="A1131" t="str">
            <v>21/283</v>
          </cell>
          <cell r="B1131" t="str">
            <v>IP-005359.01.02.M01</v>
          </cell>
        </row>
        <row r="1132">
          <cell r="A1132" t="str">
            <v>21/284</v>
          </cell>
          <cell r="B1132" t="str">
            <v>IP-009465.01.02.M01</v>
          </cell>
        </row>
        <row r="1133">
          <cell r="A1133" t="str">
            <v>21/285</v>
          </cell>
          <cell r="B1133" t="str">
            <v>IP-007321.01.02.M01</v>
          </cell>
        </row>
        <row r="1134">
          <cell r="A1134" t="str">
            <v>21/286</v>
          </cell>
          <cell r="B1134" t="str">
            <v>IP-010893.01.03.M01</v>
          </cell>
        </row>
        <row r="1135">
          <cell r="A1135" t="str">
            <v>21/287</v>
          </cell>
        </row>
        <row r="1136">
          <cell r="A1136" t="str">
            <v>21/288</v>
          </cell>
          <cell r="B1136" t="str">
            <v>4219/527105</v>
          </cell>
        </row>
        <row r="1137">
          <cell r="A1137" t="str">
            <v>21/289</v>
          </cell>
          <cell r="B1137" t="str">
            <v>4219/527126</v>
          </cell>
        </row>
        <row r="1138">
          <cell r="A1138" t="str">
            <v>21/290</v>
          </cell>
          <cell r="B1138" t="str">
            <v>4219/527117</v>
          </cell>
        </row>
        <row r="1139">
          <cell r="A1139" t="str">
            <v>21/291</v>
          </cell>
          <cell r="B1139" t="str">
            <v>4219/527122</v>
          </cell>
        </row>
        <row r="1140">
          <cell r="A1140" t="str">
            <v>21/292</v>
          </cell>
          <cell r="B1140" t="str">
            <v>IP-008679.01.02.M01</v>
          </cell>
        </row>
        <row r="1141">
          <cell r="A1141" t="str">
            <v>21/293</v>
          </cell>
          <cell r="B1141" t="str">
            <v>IP-010741.01.03.M01</v>
          </cell>
        </row>
        <row r="1142">
          <cell r="A1142" t="str">
            <v>21/294</v>
          </cell>
          <cell r="B1142" t="str">
            <v>4219/527097</v>
          </cell>
        </row>
        <row r="1143">
          <cell r="A1143" t="str">
            <v>21/295</v>
          </cell>
          <cell r="B1143" t="str">
            <v>4219/527106</v>
          </cell>
        </row>
        <row r="1144">
          <cell r="A1144" t="str">
            <v>21/296</v>
          </cell>
        </row>
        <row r="1145">
          <cell r="A1145" t="str">
            <v>21/297</v>
          </cell>
        </row>
        <row r="1146">
          <cell r="A1146" t="str">
            <v>21/298</v>
          </cell>
          <cell r="B1146" t="str">
            <v>502911 3311</v>
          </cell>
        </row>
        <row r="1147">
          <cell r="A1147" t="str">
            <v>21/299</v>
          </cell>
          <cell r="B1147" t="str">
            <v>IP-007321.01.02.M01</v>
          </cell>
        </row>
        <row r="1148">
          <cell r="A1148" t="str">
            <v>21/300</v>
          </cell>
          <cell r="B1148" t="str">
            <v>CIC012296.01 HC54</v>
          </cell>
        </row>
        <row r="1149">
          <cell r="A1149" t="str">
            <v>21/301</v>
          </cell>
          <cell r="B1149" t="str">
            <v>IP-011147.01.01.M01</v>
          </cell>
        </row>
        <row r="1150">
          <cell r="A1150" t="str">
            <v>21/302</v>
          </cell>
        </row>
        <row r="1151">
          <cell r="A1151" t="str">
            <v>21/303</v>
          </cell>
          <cell r="B1151" t="str">
            <v>IP-009465.01.02.M01</v>
          </cell>
        </row>
        <row r="1152">
          <cell r="A1152" t="str">
            <v>21/304</v>
          </cell>
        </row>
        <row r="1153">
          <cell r="A1153" t="str">
            <v>21/305</v>
          </cell>
        </row>
        <row r="1154">
          <cell r="A1154" t="str">
            <v>21/306</v>
          </cell>
          <cell r="B1154" t="str">
            <v>BT1368471.01H010</v>
          </cell>
        </row>
        <row r="1155">
          <cell r="A1155" t="str">
            <v>21/307</v>
          </cell>
        </row>
        <row r="1156">
          <cell r="A1156" t="str">
            <v>21/308</v>
          </cell>
          <cell r="B1156" t="str">
            <v>IP-010447.01.01.M01</v>
          </cell>
        </row>
        <row r="1157">
          <cell r="A1157" t="str">
            <v>21/309</v>
          </cell>
          <cell r="B1157" t="str">
            <v>BT1368471.01H010</v>
          </cell>
        </row>
        <row r="1158">
          <cell r="A1158" t="str">
            <v>21/310</v>
          </cell>
          <cell r="B1158" t="str">
            <v>4219/527087</v>
          </cell>
        </row>
        <row r="1159">
          <cell r="A1159" t="str">
            <v>21/311</v>
          </cell>
          <cell r="B1159" t="str">
            <v>4219/527095</v>
          </cell>
        </row>
        <row r="1160">
          <cell r="A1160" t="str">
            <v>21/312</v>
          </cell>
          <cell r="B1160" t="str">
            <v>4219/527115</v>
          </cell>
        </row>
        <row r="1161">
          <cell r="A1161" t="str">
            <v>21/313</v>
          </cell>
          <cell r="B1161" t="str">
            <v>4219/527114</v>
          </cell>
        </row>
        <row r="1162">
          <cell r="A1162" t="str">
            <v>21/314</v>
          </cell>
          <cell r="B1162" t="str">
            <v>BT1368470.01 H020</v>
          </cell>
        </row>
        <row r="1163">
          <cell r="A1163" t="str">
            <v>21/315</v>
          </cell>
          <cell r="B1163" t="str">
            <v>IP-013674.01.01.M01</v>
          </cell>
        </row>
        <row r="1164">
          <cell r="A1164" t="str">
            <v>21/316</v>
          </cell>
        </row>
        <row r="1165">
          <cell r="A1165" t="str">
            <v>21/317</v>
          </cell>
          <cell r="B1165" t="str">
            <v>IP-010450.01.02.M01</v>
          </cell>
        </row>
        <row r="1166">
          <cell r="A1166" t="str">
            <v>21/318</v>
          </cell>
        </row>
        <row r="1167">
          <cell r="A1167" t="str">
            <v>21/319</v>
          </cell>
          <cell r="B1167" t="str">
            <v>IP-009465.01.02.M01</v>
          </cell>
        </row>
        <row r="1168">
          <cell r="A1168" t="str">
            <v>21/320</v>
          </cell>
        </row>
        <row r="1169">
          <cell r="A1169" t="str">
            <v>21/321</v>
          </cell>
          <cell r="B1169" t="str">
            <v>IP-009465.01.02.M01</v>
          </cell>
        </row>
        <row r="1170">
          <cell r="A1170" t="str">
            <v>21/322</v>
          </cell>
          <cell r="B1170" t="str">
            <v>IP-010854.01.02.M01</v>
          </cell>
        </row>
        <row r="1171">
          <cell r="A1171" t="str">
            <v>21/323</v>
          </cell>
        </row>
        <row r="1172">
          <cell r="A1172" t="str">
            <v>21/324</v>
          </cell>
        </row>
        <row r="1173">
          <cell r="A1173" t="str">
            <v>21/325</v>
          </cell>
          <cell r="B1173" t="str">
            <v>IP-010450.01.02.M01</v>
          </cell>
        </row>
        <row r="1174">
          <cell r="A1174" t="str">
            <v>21/326</v>
          </cell>
          <cell r="B1174" t="str">
            <v>BT1206303.01 H020</v>
          </cell>
        </row>
        <row r="1175">
          <cell r="A1175" t="str">
            <v>21/327</v>
          </cell>
          <cell r="B1175" t="str">
            <v>IP-004901.01.02.M01</v>
          </cell>
        </row>
        <row r="1176">
          <cell r="A1176" t="str">
            <v>21/328</v>
          </cell>
          <cell r="B1176" t="str">
            <v>502851 3224</v>
          </cell>
        </row>
        <row r="1177">
          <cell r="A1177" t="str">
            <v>21/329</v>
          </cell>
          <cell r="B1177" t="str">
            <v>502851 3224</v>
          </cell>
        </row>
        <row r="1178">
          <cell r="A1178" t="str">
            <v>21/330</v>
          </cell>
          <cell r="B1178" t="str">
            <v>2111/524200</v>
          </cell>
        </row>
        <row r="1179">
          <cell r="A1179" t="str">
            <v>21/331</v>
          </cell>
          <cell r="B1179" t="str">
            <v>BT0382326 H010</v>
          </cell>
        </row>
        <row r="1180">
          <cell r="A1180" t="str">
            <v>21/332</v>
          </cell>
          <cell r="B1180" t="str">
            <v>502851 3224</v>
          </cell>
        </row>
        <row r="1181">
          <cell r="A1181" t="str">
            <v>21/333</v>
          </cell>
          <cell r="B1181" t="str">
            <v>ip-010450.01.02.M01</v>
          </cell>
        </row>
        <row r="1182">
          <cell r="A1182" t="str">
            <v>21/334</v>
          </cell>
          <cell r="B1182" t="str">
            <v>ip0104500102M01</v>
          </cell>
        </row>
        <row r="1183">
          <cell r="A1183" t="str">
            <v>21/335</v>
          </cell>
        </row>
        <row r="1184">
          <cell r="A1184" t="str">
            <v>21/336</v>
          </cell>
          <cell r="B1184" t="str">
            <v xml:space="preserve">4002611 H020 </v>
          </cell>
        </row>
        <row r="1185">
          <cell r="A1185" t="str">
            <v>21/337</v>
          </cell>
          <cell r="B1185" t="str">
            <v>502841  3222</v>
          </cell>
        </row>
        <row r="1186">
          <cell r="A1186" t="str">
            <v>21/338</v>
          </cell>
        </row>
        <row r="1187">
          <cell r="A1187" t="str">
            <v>21/339</v>
          </cell>
          <cell r="B1187" t="str">
            <v>ip0104500102M01</v>
          </cell>
        </row>
        <row r="1188">
          <cell r="A1188" t="str">
            <v>21/340</v>
          </cell>
          <cell r="B1188" t="str">
            <v>4216/527106</v>
          </cell>
        </row>
        <row r="1189">
          <cell r="A1189" t="str">
            <v>21/341</v>
          </cell>
          <cell r="B1189" t="str">
            <v>ip0104500102M01</v>
          </cell>
        </row>
        <row r="1190">
          <cell r="A1190" t="str">
            <v>21/342</v>
          </cell>
          <cell r="B1190" t="str">
            <v>IP-010450.01.02.M01</v>
          </cell>
        </row>
        <row r="1191">
          <cell r="A1191" t="str">
            <v>21/343</v>
          </cell>
          <cell r="B1191" t="str">
            <v>3221 502591</v>
          </cell>
        </row>
        <row r="1192">
          <cell r="A1192" t="str">
            <v>21/344</v>
          </cell>
        </row>
        <row r="1193">
          <cell r="A1193" t="str">
            <v>21/345</v>
          </cell>
          <cell r="B1193" t="str">
            <v>3221 502591</v>
          </cell>
        </row>
        <row r="1194">
          <cell r="A1194" t="str">
            <v>21/346</v>
          </cell>
          <cell r="B1194" t="str">
            <v>IP-010741.01.06.M01</v>
          </cell>
        </row>
        <row r="1195">
          <cell r="A1195" t="str">
            <v>21/347</v>
          </cell>
        </row>
        <row r="1196">
          <cell r="A1196" t="str">
            <v>21/348</v>
          </cell>
          <cell r="B1196" t="str">
            <v>IP-010893.01.03.M01</v>
          </cell>
        </row>
        <row r="1197">
          <cell r="A1197" t="str">
            <v>21/349</v>
          </cell>
          <cell r="B1197" t="str">
            <v>IP-010893.01.03.M01</v>
          </cell>
        </row>
        <row r="1198">
          <cell r="A1198" t="str">
            <v>21/350</v>
          </cell>
        </row>
        <row r="1199">
          <cell r="A1199" t="str">
            <v>21/351</v>
          </cell>
        </row>
        <row r="1200">
          <cell r="A1200" t="str">
            <v>21/352</v>
          </cell>
          <cell r="B1200" t="str">
            <v>4219/527094</v>
          </cell>
        </row>
        <row r="1201">
          <cell r="A1201" t="str">
            <v>21/353</v>
          </cell>
          <cell r="B1201" t="str">
            <v>4219/527110</v>
          </cell>
        </row>
        <row r="1202">
          <cell r="A1202" t="str">
            <v>21/354</v>
          </cell>
        </row>
        <row r="1203">
          <cell r="A1203" t="str">
            <v>21/355</v>
          </cell>
          <cell r="B1203" t="str">
            <v>4219/527121</v>
          </cell>
        </row>
        <row r="1204">
          <cell r="A1204" t="str">
            <v>21/356</v>
          </cell>
          <cell r="B1204" t="str">
            <v>4219/527109</v>
          </cell>
        </row>
        <row r="1205">
          <cell r="A1205" t="str">
            <v>21/357</v>
          </cell>
        </row>
        <row r="1206">
          <cell r="A1206" t="str">
            <v>21/358</v>
          </cell>
          <cell r="B1206" t="str">
            <v>IP-008003.01.01.M01</v>
          </cell>
        </row>
        <row r="1207">
          <cell r="A1207" t="str">
            <v>21/359</v>
          </cell>
        </row>
        <row r="1208">
          <cell r="A1208" t="str">
            <v>21/360</v>
          </cell>
          <cell r="B1208" t="str">
            <v>522118 3212</v>
          </cell>
        </row>
        <row r="1209">
          <cell r="A1209" t="str">
            <v>21/361</v>
          </cell>
          <cell r="B1209" t="str">
            <v>IP-004901.01.02.M01</v>
          </cell>
        </row>
        <row r="1210">
          <cell r="A1210" t="str">
            <v>21/362</v>
          </cell>
          <cell r="B1210" t="str">
            <v>BT1212362.01 H020</v>
          </cell>
        </row>
        <row r="1211">
          <cell r="A1211" t="str">
            <v>21/363</v>
          </cell>
          <cell r="B1211" t="str">
            <v>IP-004901.01.02.M01</v>
          </cell>
        </row>
        <row r="1212">
          <cell r="A1212" t="str">
            <v>21/364</v>
          </cell>
          <cell r="B1212" t="str">
            <v>IP-000571.01.02.M01</v>
          </cell>
        </row>
        <row r="1213">
          <cell r="A1213" t="str">
            <v>21/365</v>
          </cell>
          <cell r="B1213" t="str">
            <v>IP-010741.01.06.M01</v>
          </cell>
        </row>
        <row r="1214">
          <cell r="A1214" t="str">
            <v>21/366</v>
          </cell>
          <cell r="B1214" t="str">
            <v>IP-010450.01.02.M01</v>
          </cell>
        </row>
        <row r="1215">
          <cell r="A1215" t="str">
            <v>21/367</v>
          </cell>
          <cell r="B1215" t="str">
            <v>IP-010450.01.02.M01</v>
          </cell>
        </row>
        <row r="1216">
          <cell r="A1216" t="str">
            <v>21/368</v>
          </cell>
        </row>
        <row r="1217">
          <cell r="A1217" t="str">
            <v>21/369</v>
          </cell>
        </row>
        <row r="1218">
          <cell r="A1218" t="str">
            <v>21/370</v>
          </cell>
          <cell r="B1218" t="str">
            <v>3221 502591</v>
          </cell>
        </row>
        <row r="1219">
          <cell r="A1219" t="str">
            <v>21/371</v>
          </cell>
          <cell r="B1219" t="str">
            <v>IP-010741.01.03.M01</v>
          </cell>
        </row>
        <row r="1220">
          <cell r="A1220" t="str">
            <v>21/372</v>
          </cell>
          <cell r="B1220" t="str">
            <v>3111.11330</v>
          </cell>
        </row>
        <row r="1221">
          <cell r="A1221" t="str">
            <v>21/373</v>
          </cell>
        </row>
        <row r="1222">
          <cell r="A1222" t="str">
            <v>21/374</v>
          </cell>
          <cell r="B1222" t="str">
            <v>IP-010854.01.02.M01</v>
          </cell>
        </row>
        <row r="1223">
          <cell r="A1223" t="str">
            <v>21/375</v>
          </cell>
        </row>
        <row r="1224">
          <cell r="A1224" t="str">
            <v>21/376</v>
          </cell>
        </row>
        <row r="1225">
          <cell r="A1225" t="str">
            <v>21/377</v>
          </cell>
        </row>
        <row r="1226">
          <cell r="A1226" t="str">
            <v>21/378</v>
          </cell>
        </row>
        <row r="1227">
          <cell r="A1227" t="str">
            <v>21/379</v>
          </cell>
        </row>
        <row r="1228">
          <cell r="A1228" t="str">
            <v>21/380</v>
          </cell>
          <cell r="B1228" t="str">
            <v>IP-009694.02.02.M01</v>
          </cell>
        </row>
        <row r="1229">
          <cell r="A1229" t="str">
            <v>21/381</v>
          </cell>
        </row>
        <row r="1230">
          <cell r="A1230" t="str">
            <v>21/382</v>
          </cell>
        </row>
        <row r="1231">
          <cell r="A1231" t="str">
            <v>21/383</v>
          </cell>
        </row>
        <row r="1232">
          <cell r="A1232" t="str">
            <v>21/384</v>
          </cell>
          <cell r="B1232" t="str">
            <v>BT1206380.01   H020</v>
          </cell>
        </row>
        <row r="1233">
          <cell r="A1233" t="str">
            <v>21/385</v>
          </cell>
          <cell r="B1233" t="str">
            <v>IP-011974.01.01.M01</v>
          </cell>
        </row>
        <row r="1234">
          <cell r="A1234" t="str">
            <v>21/386</v>
          </cell>
        </row>
        <row r="1235">
          <cell r="A1235" t="str">
            <v>21/387</v>
          </cell>
          <cell r="B1235" t="str">
            <v>2124/526144</v>
          </cell>
        </row>
        <row r="1236">
          <cell r="A1236" t="str">
            <v>21/388</v>
          </cell>
          <cell r="B1236" t="str">
            <v>IP-014329.01.01.M01</v>
          </cell>
        </row>
        <row r="1237">
          <cell r="A1237" t="str">
            <v>21/389</v>
          </cell>
          <cell r="B1237" t="str">
            <v>IP-014329.01.01.M01</v>
          </cell>
        </row>
        <row r="1238">
          <cell r="A1238" t="str">
            <v>21/390</v>
          </cell>
          <cell r="B1238" t="str">
            <v>IP-004684.07.04.M01</v>
          </cell>
        </row>
        <row r="1239">
          <cell r="A1239" t="str">
            <v>21/391</v>
          </cell>
          <cell r="B1239" t="str">
            <v>IP-004684.07.04.M01</v>
          </cell>
        </row>
        <row r="1240">
          <cell r="A1240" t="str">
            <v>21/392</v>
          </cell>
          <cell r="B1240" t="str">
            <v>IP-011974.01.01.M01</v>
          </cell>
        </row>
        <row r="1241">
          <cell r="A1241" t="str">
            <v>21/393</v>
          </cell>
          <cell r="B1241" t="str">
            <v>IP-008679.01.02.M01</v>
          </cell>
        </row>
        <row r="1242">
          <cell r="A1242" t="str">
            <v>21/394</v>
          </cell>
          <cell r="B1242" t="str">
            <v>5225  502591</v>
          </cell>
        </row>
        <row r="1243">
          <cell r="A1243" t="str">
            <v>21/395</v>
          </cell>
        </row>
        <row r="1244">
          <cell r="A1244" t="str">
            <v>21/396</v>
          </cell>
        </row>
        <row r="1245">
          <cell r="A1245" t="str">
            <v>21/397</v>
          </cell>
          <cell r="B1245" t="str">
            <v>BT1207466.01   h020</v>
          </cell>
        </row>
        <row r="1246">
          <cell r="A1246" t="str">
            <v>21/398</v>
          </cell>
          <cell r="B1246" t="str">
            <v>BT1212362.01 h020</v>
          </cell>
        </row>
        <row r="1247">
          <cell r="A1247" t="str">
            <v>21/399</v>
          </cell>
          <cell r="B1247" t="str">
            <v>BT1212462.01  H020</v>
          </cell>
        </row>
        <row r="1248">
          <cell r="A1248" t="str">
            <v>21/400</v>
          </cell>
        </row>
        <row r="1249">
          <cell r="A1249" t="str">
            <v>21/401</v>
          </cell>
          <cell r="B1249" t="str">
            <v>502591 3221</v>
          </cell>
        </row>
        <row r="1250">
          <cell r="A1250" t="str">
            <v>21/402</v>
          </cell>
        </row>
        <row r="1251">
          <cell r="A1251" t="str">
            <v>21/403</v>
          </cell>
        </row>
        <row r="1252">
          <cell r="A1252" t="str">
            <v>21/404</v>
          </cell>
        </row>
        <row r="1253">
          <cell r="A1253" t="str">
            <v>21/405</v>
          </cell>
        </row>
        <row r="1254">
          <cell r="A1254" t="str">
            <v>21/406</v>
          </cell>
          <cell r="B1254" t="str">
            <v>IP-008003.01.01.M01</v>
          </cell>
        </row>
        <row r="1255">
          <cell r="A1255" t="str">
            <v>21/407</v>
          </cell>
          <cell r="B1255" t="str">
            <v>IP-005359.01.02.M01</v>
          </cell>
        </row>
        <row r="1256">
          <cell r="A1256" t="str">
            <v>21/408</v>
          </cell>
          <cell r="B1256" t="str">
            <v>IP-010741.01.06.M01</v>
          </cell>
        </row>
        <row r="1257">
          <cell r="A1257" t="str">
            <v>21/409</v>
          </cell>
          <cell r="B1257" t="str">
            <v>IP-010741.01.06.M01</v>
          </cell>
        </row>
        <row r="1258">
          <cell r="A1258" t="str">
            <v>21/410</v>
          </cell>
          <cell r="B1258" t="str">
            <v>IP-010450.01.02.M01</v>
          </cell>
        </row>
        <row r="1259">
          <cell r="A1259" t="str">
            <v>21/411</v>
          </cell>
        </row>
        <row r="1260">
          <cell r="A1260" t="str">
            <v>21/412</v>
          </cell>
          <cell r="B1260" t="str">
            <v>IP-010450.01.02.M01</v>
          </cell>
        </row>
        <row r="1261">
          <cell r="A1261" t="str">
            <v>21/413</v>
          </cell>
          <cell r="B1261" t="str">
            <v>IP-005290.01.03.M01</v>
          </cell>
        </row>
        <row r="1262">
          <cell r="A1262" t="str">
            <v>21/414</v>
          </cell>
        </row>
        <row r="1263">
          <cell r="A1263" t="str">
            <v>21/415</v>
          </cell>
        </row>
        <row r="1264">
          <cell r="A1264" t="str">
            <v>21/416</v>
          </cell>
          <cell r="B1264" t="str">
            <v>2124/526173</v>
          </cell>
        </row>
        <row r="1265">
          <cell r="A1265" t="str">
            <v>21/417</v>
          </cell>
        </row>
        <row r="1266">
          <cell r="A1266" t="str">
            <v>21/418</v>
          </cell>
        </row>
        <row r="1267">
          <cell r="A1267" t="str">
            <v>21/419</v>
          </cell>
        </row>
        <row r="1268">
          <cell r="A1268" t="str">
            <v>21/420</v>
          </cell>
        </row>
        <row r="1269">
          <cell r="A1269" t="str">
            <v>21/421</v>
          </cell>
        </row>
        <row r="1270">
          <cell r="A1270" t="str">
            <v>21/422</v>
          </cell>
        </row>
        <row r="1271">
          <cell r="A1271" t="str">
            <v>21/423</v>
          </cell>
          <cell r="B1271" t="str">
            <v>IP-013645.01.01.M01</v>
          </cell>
        </row>
        <row r="1272">
          <cell r="A1272" t="str">
            <v>21/424</v>
          </cell>
          <cell r="B1272" t="str">
            <v>2341/531856</v>
          </cell>
        </row>
        <row r="1273">
          <cell r="A1273" t="str">
            <v>21/425</v>
          </cell>
        </row>
        <row r="1274">
          <cell r="A1274" t="str">
            <v>21/426</v>
          </cell>
          <cell r="B1274" t="str">
            <v>IP-012750.01.01.M01</v>
          </cell>
        </row>
        <row r="1275">
          <cell r="A1275" t="str">
            <v>21/427</v>
          </cell>
          <cell r="B1275" t="str">
            <v>IP-005290.01.03.M01</v>
          </cell>
        </row>
        <row r="1276">
          <cell r="A1276" t="str">
            <v>21/428</v>
          </cell>
        </row>
        <row r="1277">
          <cell r="A1277" t="str">
            <v>21/429</v>
          </cell>
        </row>
        <row r="1278">
          <cell r="A1278" t="str">
            <v>21/430</v>
          </cell>
          <cell r="B1278" t="str">
            <v>IP-010741.01.03.M01</v>
          </cell>
        </row>
        <row r="1279">
          <cell r="A1279" t="str">
            <v>21/431</v>
          </cell>
        </row>
        <row r="1280">
          <cell r="A1280" t="str">
            <v>21/432</v>
          </cell>
          <cell r="B1280" t="str">
            <v>BT1212362.01 H020</v>
          </cell>
        </row>
        <row r="1281">
          <cell r="A1281" t="str">
            <v>21/433</v>
          </cell>
        </row>
        <row r="1282">
          <cell r="A1282" t="str">
            <v>21/434</v>
          </cell>
        </row>
        <row r="1283">
          <cell r="A1283" t="str">
            <v>21/435</v>
          </cell>
        </row>
        <row r="1284">
          <cell r="A1284" t="str">
            <v>21/436</v>
          </cell>
        </row>
        <row r="1285">
          <cell r="A1285" t="str">
            <v>21/437</v>
          </cell>
        </row>
        <row r="1286">
          <cell r="A1286" t="str">
            <v>21/438</v>
          </cell>
        </row>
        <row r="1287">
          <cell r="A1287" t="str">
            <v>21/439</v>
          </cell>
        </row>
        <row r="1288">
          <cell r="A1288" t="str">
            <v>21/440</v>
          </cell>
        </row>
        <row r="1289">
          <cell r="A1289" t="str">
            <v>21/441</v>
          </cell>
          <cell r="B1289" t="str">
            <v>IP-010741.01.06.M01</v>
          </cell>
        </row>
        <row r="1290">
          <cell r="A1290" t="str">
            <v>21/442</v>
          </cell>
          <cell r="B1290" t="str">
            <v>BT0382306.01  HC01</v>
          </cell>
        </row>
        <row r="1291">
          <cell r="A1291" t="str">
            <v>21/443</v>
          </cell>
          <cell r="B1291" t="str">
            <v>IP-008679.01.02.M01</v>
          </cell>
        </row>
        <row r="1292">
          <cell r="A1292" t="str">
            <v>21/444</v>
          </cell>
        </row>
        <row r="1293">
          <cell r="A1293" t="str">
            <v>21/445</v>
          </cell>
          <cell r="B1293" t="str">
            <v>IP-010463.01.01.M01</v>
          </cell>
        </row>
        <row r="1294">
          <cell r="A1294" t="str">
            <v>21/446</v>
          </cell>
        </row>
        <row r="1295">
          <cell r="A1295" t="str">
            <v>21/447</v>
          </cell>
        </row>
        <row r="1296">
          <cell r="A1296" t="str">
            <v>21/448</v>
          </cell>
          <cell r="B1296" t="str">
            <v>IP-008003.01.01.M01</v>
          </cell>
        </row>
        <row r="1297">
          <cell r="A1297" t="str">
            <v>21/449</v>
          </cell>
          <cell r="B1297" t="str">
            <v>IP-008003.01.01.M01</v>
          </cell>
        </row>
        <row r="1298">
          <cell r="A1298" t="str">
            <v>21/450</v>
          </cell>
          <cell r="B1298" t="str">
            <v>IP-010893.01.03.M01</v>
          </cell>
        </row>
        <row r="1299">
          <cell r="A1299" t="str">
            <v>21/451</v>
          </cell>
          <cell r="B1299" t="str">
            <v>IP-010854.01.02.M01</v>
          </cell>
        </row>
        <row r="1300">
          <cell r="A1300" t="str">
            <v>21/452</v>
          </cell>
          <cell r="B1300" t="str">
            <v>BT1212462.01 H020</v>
          </cell>
        </row>
        <row r="1301">
          <cell r="A1301" t="str">
            <v>21/453</v>
          </cell>
          <cell r="B1301" t="str">
            <v>IP-010133.01.03.M01</v>
          </cell>
        </row>
        <row r="1302">
          <cell r="A1302" t="str">
            <v>21/454</v>
          </cell>
          <cell r="B1302" t="str">
            <v>IP-008003.01.01.M01</v>
          </cell>
        </row>
        <row r="1303">
          <cell r="A1303" t="str">
            <v>21/455</v>
          </cell>
        </row>
        <row r="1304">
          <cell r="A1304" t="str">
            <v>21/456</v>
          </cell>
        </row>
        <row r="1305">
          <cell r="A1305" t="str">
            <v>21/457</v>
          </cell>
          <cell r="B1305" t="str">
            <v>IP-009869.01.01.M01</v>
          </cell>
        </row>
        <row r="1306">
          <cell r="A1306" t="str">
            <v>21/458</v>
          </cell>
        </row>
        <row r="1307">
          <cell r="A1307" t="str">
            <v>21/459</v>
          </cell>
          <cell r="B1307" t="str">
            <v>IP-000571.01.02.M01</v>
          </cell>
        </row>
        <row r="1308">
          <cell r="A1308" t="str">
            <v>21/460</v>
          </cell>
          <cell r="B1308" t="str">
            <v>2122/525311</v>
          </cell>
        </row>
        <row r="1309">
          <cell r="A1309" t="str">
            <v>21/461</v>
          </cell>
        </row>
        <row r="1310">
          <cell r="A1310" t="str">
            <v>21/462</v>
          </cell>
        </row>
        <row r="1311">
          <cell r="A1311" t="str">
            <v>21/463</v>
          </cell>
        </row>
        <row r="1312">
          <cell r="A1312" t="str">
            <v>21/464</v>
          </cell>
        </row>
        <row r="1313">
          <cell r="A1313" t="str">
            <v>21/465</v>
          </cell>
        </row>
        <row r="1314">
          <cell r="A1314" t="str">
            <v>21/466</v>
          </cell>
          <cell r="B1314" t="str">
            <v>2144/510068</v>
          </cell>
        </row>
        <row r="1315">
          <cell r="A1315" t="str">
            <v>21/467</v>
          </cell>
          <cell r="B1315" t="str">
            <v>IP-010854.01.02.M01</v>
          </cell>
        </row>
        <row r="1316">
          <cell r="A1316" t="str">
            <v>21/468</v>
          </cell>
          <cell r="B1316" t="str">
            <v>IP-010854.01.02.M01</v>
          </cell>
        </row>
        <row r="1317">
          <cell r="A1317" t="str">
            <v>21/469</v>
          </cell>
        </row>
        <row r="1318">
          <cell r="A1318" t="str">
            <v>21/470</v>
          </cell>
        </row>
        <row r="1319">
          <cell r="A1319" t="str">
            <v>21/471</v>
          </cell>
        </row>
        <row r="1320">
          <cell r="A1320" t="str">
            <v>21/472</v>
          </cell>
        </row>
        <row r="1321">
          <cell r="A1321" t="str">
            <v>21/473</v>
          </cell>
        </row>
        <row r="1322">
          <cell r="A1322" t="str">
            <v>21/474</v>
          </cell>
          <cell r="B1322" t="str">
            <v>BT1368470.01 H020</v>
          </cell>
        </row>
        <row r="1323">
          <cell r="A1323" t="str">
            <v>21/475</v>
          </cell>
          <cell r="B1323" t="str">
            <v>IP-014329.01.01.M01</v>
          </cell>
        </row>
        <row r="1324">
          <cell r="A1324" t="str">
            <v>21/476</v>
          </cell>
          <cell r="B1324" t="str">
            <v>4001602 0070</v>
          </cell>
        </row>
        <row r="1325">
          <cell r="A1325" t="str">
            <v>21/477</v>
          </cell>
          <cell r="B1325" t="str">
            <v xml:space="preserve">  4002301  0120</v>
          </cell>
        </row>
        <row r="1326">
          <cell r="A1326" t="str">
            <v>21/478</v>
          </cell>
          <cell r="B1326" t="str">
            <v>IP-010741.01.06.M01</v>
          </cell>
        </row>
        <row r="1327">
          <cell r="A1327" t="str">
            <v>21/479</v>
          </cell>
          <cell r="B1327" t="str">
            <v>67005500   niet correct</v>
          </cell>
        </row>
        <row r="1328">
          <cell r="A1328" t="str">
            <v>21/480</v>
          </cell>
        </row>
        <row r="1329">
          <cell r="A1329" t="str">
            <v>21/481</v>
          </cell>
        </row>
        <row r="1330">
          <cell r="A1330" t="str">
            <v>21/482</v>
          </cell>
        </row>
        <row r="1331">
          <cell r="A1331" t="str">
            <v>21/483</v>
          </cell>
        </row>
        <row r="1332">
          <cell r="A1332" t="str">
            <v>21/484</v>
          </cell>
          <cell r="B1332" t="str">
            <v>2141/524218</v>
          </cell>
        </row>
        <row r="1333">
          <cell r="A1333" t="str">
            <v>21/485</v>
          </cell>
          <cell r="B1333" t="str">
            <v>IP-008003.01.01.M01</v>
          </cell>
        </row>
        <row r="1334">
          <cell r="A1334" t="str">
            <v>21/486</v>
          </cell>
          <cell r="B1334" t="str">
            <v>3111   11330</v>
          </cell>
        </row>
        <row r="1335">
          <cell r="A1335" t="str">
            <v>21/487</v>
          </cell>
        </row>
        <row r="1336">
          <cell r="A1336" t="str">
            <v>21/488</v>
          </cell>
          <cell r="B1336" t="str">
            <v>2244/502371</v>
          </cell>
        </row>
        <row r="1337">
          <cell r="A1337" t="str">
            <v>21/489</v>
          </cell>
        </row>
        <row r="1338">
          <cell r="A1338" t="str">
            <v>21/490</v>
          </cell>
          <cell r="B1338" t="str">
            <v>2244/502391</v>
          </cell>
        </row>
        <row r="1339">
          <cell r="A1339" t="str">
            <v>21/491</v>
          </cell>
        </row>
        <row r="1340">
          <cell r="A1340" t="str">
            <v>21/492</v>
          </cell>
        </row>
        <row r="1341">
          <cell r="A1341" t="str">
            <v>21/493</v>
          </cell>
        </row>
        <row r="1342">
          <cell r="A1342" t="str">
            <v>21/494</v>
          </cell>
          <cell r="B1342" t="str">
            <v>2211/524266</v>
          </cell>
        </row>
        <row r="1343">
          <cell r="A1343" t="str">
            <v>21/495</v>
          </cell>
          <cell r="B1343" t="str">
            <v>IP-010741.01.02.M01</v>
          </cell>
        </row>
        <row r="1344">
          <cell r="A1344" t="str">
            <v>21/496</v>
          </cell>
          <cell r="B1344" t="str">
            <v>IP-010741.01.02.M01</v>
          </cell>
        </row>
        <row r="1345">
          <cell r="A1345" t="str">
            <v>21/497</v>
          </cell>
        </row>
        <row r="1346">
          <cell r="A1346" t="str">
            <v>21/498</v>
          </cell>
          <cell r="B1346" t="str">
            <v>BT1206380.01 H020</v>
          </cell>
        </row>
        <row r="1347">
          <cell r="A1347" t="str">
            <v>21/499</v>
          </cell>
          <cell r="B1347" t="str">
            <v>IP-009210.01.01.M01</v>
          </cell>
        </row>
        <row r="1348">
          <cell r="A1348" t="str">
            <v>21/500</v>
          </cell>
          <cell r="B1348" t="str">
            <v>4002301 0070</v>
          </cell>
        </row>
        <row r="1349">
          <cell r="A1349" t="str">
            <v>21/501</v>
          </cell>
        </row>
        <row r="1350">
          <cell r="A1350" t="str">
            <v>21/502</v>
          </cell>
          <cell r="B1350" t="str">
            <v>IP-009694.02.02.M01</v>
          </cell>
        </row>
        <row r="1351">
          <cell r="A1351" t="str">
            <v>21/503</v>
          </cell>
          <cell r="B1351" t="str">
            <v>IP-010741.01.02.M01</v>
          </cell>
        </row>
        <row r="1352">
          <cell r="A1352" t="str">
            <v>21/504</v>
          </cell>
        </row>
        <row r="1353">
          <cell r="A1353" t="str">
            <v>21/505</v>
          </cell>
        </row>
        <row r="1354">
          <cell r="A1354" t="str">
            <v>21/506</v>
          </cell>
          <cell r="B1354" t="str">
            <v xml:space="preserve">IP-010741.01.02.M01 </v>
          </cell>
        </row>
        <row r="1355">
          <cell r="A1355" t="str">
            <v>21/507</v>
          </cell>
          <cell r="B1355" t="str">
            <v xml:space="preserve">IP-010741.01.02.M01 </v>
          </cell>
        </row>
        <row r="1356">
          <cell r="A1356" t="str">
            <v>21/508</v>
          </cell>
          <cell r="B1356" t="str">
            <v>IP-008679.01.02.M01</v>
          </cell>
        </row>
        <row r="1357">
          <cell r="A1357" t="str">
            <v>21/509</v>
          </cell>
        </row>
        <row r="1358">
          <cell r="A1358" t="str">
            <v>21/510</v>
          </cell>
          <cell r="B1358" t="str">
            <v>IP-009465.01.02.M01</v>
          </cell>
        </row>
        <row r="1359">
          <cell r="A1359" t="str">
            <v>21/511</v>
          </cell>
        </row>
        <row r="1360">
          <cell r="A1360" t="str">
            <v>21/512</v>
          </cell>
        </row>
        <row r="1361">
          <cell r="A1361" t="str">
            <v>21/513</v>
          </cell>
          <cell r="B1361" t="str">
            <v>BT1206380.01 h020</v>
          </cell>
        </row>
        <row r="1362">
          <cell r="A1362" t="str">
            <v>21/514</v>
          </cell>
          <cell r="B1362" t="str">
            <v>012046.01.01.M01</v>
          </cell>
        </row>
        <row r="1363">
          <cell r="A1363" t="str">
            <v>21/515</v>
          </cell>
          <cell r="B1363" t="str">
            <v>IP-010741.01.06.M01</v>
          </cell>
        </row>
        <row r="1364">
          <cell r="A1364" t="str">
            <v>21/516</v>
          </cell>
        </row>
        <row r="1365">
          <cell r="A1365" t="str">
            <v>21/517</v>
          </cell>
          <cell r="B1365" t="str">
            <v>IP-012046.01.01.M01</v>
          </cell>
        </row>
        <row r="1366">
          <cell r="A1366" t="str">
            <v>21/518</v>
          </cell>
        </row>
        <row r="1367">
          <cell r="A1367" t="str">
            <v>21/519</v>
          </cell>
        </row>
        <row r="1368">
          <cell r="A1368" t="str">
            <v>21/520</v>
          </cell>
        </row>
        <row r="1369">
          <cell r="A1369" t="str">
            <v>21/521</v>
          </cell>
          <cell r="B1369" t="str">
            <v>BT0382404.01 H020</v>
          </cell>
        </row>
        <row r="1370">
          <cell r="A1370" t="str">
            <v>21/522</v>
          </cell>
        </row>
        <row r="1371">
          <cell r="A1371" t="str">
            <v>21/523</v>
          </cell>
          <cell r="B1371" t="str">
            <v>IP-008003.01.01.M01</v>
          </cell>
        </row>
        <row r="1372">
          <cell r="A1372" t="str">
            <v>21/524</v>
          </cell>
          <cell r="B1372" t="str">
            <v>502851 3222</v>
          </cell>
        </row>
        <row r="1373">
          <cell r="A1373" t="str">
            <v>21/525</v>
          </cell>
          <cell r="B1373" t="str">
            <v>IP-010864.01.02.M01</v>
          </cell>
        </row>
        <row r="1374">
          <cell r="A1374" t="str">
            <v>21/526</v>
          </cell>
        </row>
        <row r="1375">
          <cell r="A1375" t="str">
            <v>21/527</v>
          </cell>
        </row>
        <row r="1376">
          <cell r="A1376" t="str">
            <v>21/528</v>
          </cell>
        </row>
        <row r="1377">
          <cell r="A1377" t="str">
            <v>21/529</v>
          </cell>
        </row>
        <row r="1378">
          <cell r="A1378" t="str">
            <v>21/530</v>
          </cell>
        </row>
        <row r="1379">
          <cell r="A1379" t="str">
            <v>21/531</v>
          </cell>
        </row>
        <row r="1380">
          <cell r="A1380" t="str">
            <v>21/532</v>
          </cell>
        </row>
        <row r="1381">
          <cell r="A1381" t="str">
            <v>21/533</v>
          </cell>
        </row>
        <row r="1382">
          <cell r="A1382" t="str">
            <v>21/534</v>
          </cell>
          <cell r="B1382" t="str">
            <v>IP-011153.01.01.M01</v>
          </cell>
        </row>
        <row r="1383">
          <cell r="A1383" t="str">
            <v>21/535</v>
          </cell>
          <cell r="B1383" t="str">
            <v>BT1368460.01 H010</v>
          </cell>
        </row>
        <row r="1384">
          <cell r="A1384" t="str">
            <v>21/536</v>
          </cell>
          <cell r="B1384" t="str">
            <v>IP-011656.01.03.M01</v>
          </cell>
        </row>
        <row r="1385">
          <cell r="A1385" t="str">
            <v>21/537</v>
          </cell>
          <cell r="B1385" t="str">
            <v>3111.11330</v>
          </cell>
        </row>
        <row r="1386">
          <cell r="A1386" t="str">
            <v>21/538</v>
          </cell>
          <cell r="B1386" t="str">
            <v>IP-000571.01.02.M01</v>
          </cell>
        </row>
        <row r="1387">
          <cell r="A1387" t="str">
            <v>21/539</v>
          </cell>
          <cell r="B1387" t="str">
            <v>IP-008003.01.01.M01</v>
          </cell>
        </row>
        <row r="1388">
          <cell r="A1388" t="str">
            <v>21/540</v>
          </cell>
        </row>
        <row r="1389">
          <cell r="A1389" t="str">
            <v>21/541</v>
          </cell>
        </row>
        <row r="1390">
          <cell r="A1390" t="str">
            <v>21/542</v>
          </cell>
        </row>
        <row r="1391">
          <cell r="A1391" t="str">
            <v>21/543</v>
          </cell>
        </row>
        <row r="1392">
          <cell r="A1392" t="str">
            <v>21/544</v>
          </cell>
        </row>
        <row r="1393">
          <cell r="A1393" t="str">
            <v>21/545</v>
          </cell>
          <cell r="B1393" t="str">
            <v>502851 3224</v>
          </cell>
        </row>
        <row r="1394">
          <cell r="A1394" t="str">
            <v>21/546</v>
          </cell>
        </row>
        <row r="1395">
          <cell r="A1395" t="str">
            <v>21/547</v>
          </cell>
        </row>
        <row r="1396">
          <cell r="A1396" t="str">
            <v>21/548</v>
          </cell>
          <cell r="B1396" t="str">
            <v>IP-011974.01.01.M01</v>
          </cell>
        </row>
        <row r="1397">
          <cell r="A1397" t="str">
            <v>21/549</v>
          </cell>
          <cell r="B1397" t="str">
            <v>IP-009914.01.01.M01</v>
          </cell>
        </row>
        <row r="1398">
          <cell r="A1398" t="str">
            <v>21/550</v>
          </cell>
          <cell r="B1398" t="str">
            <v>BT1212362.01  h020</v>
          </cell>
        </row>
        <row r="1399">
          <cell r="A1399" t="str">
            <v>21/551</v>
          </cell>
          <cell r="B1399" t="str">
            <v>IP-013645.01.01.M01</v>
          </cell>
        </row>
        <row r="1400">
          <cell r="A1400" t="str">
            <v>21/552</v>
          </cell>
        </row>
        <row r="1401">
          <cell r="A1401" t="str">
            <v>21/553</v>
          </cell>
          <cell r="B1401" t="str">
            <v>IP-008679.01.02.M01</v>
          </cell>
        </row>
        <row r="1402">
          <cell r="A1402" t="str">
            <v>21/554</v>
          </cell>
          <cell r="B1402" t="str">
            <v>IP-008679.01.02.M01</v>
          </cell>
        </row>
        <row r="1403">
          <cell r="A1403" t="str">
            <v>21/555</v>
          </cell>
        </row>
        <row r="1404">
          <cell r="A1404" t="str">
            <v>21/556</v>
          </cell>
        </row>
        <row r="1405">
          <cell r="A1405" t="str">
            <v>21/557</v>
          </cell>
        </row>
        <row r="1406">
          <cell r="A1406" t="str">
            <v>21/558</v>
          </cell>
        </row>
        <row r="1407">
          <cell r="A1407" t="str">
            <v>21/559</v>
          </cell>
        </row>
        <row r="1408">
          <cell r="A1408" t="str">
            <v>21/560</v>
          </cell>
          <cell r="B1408" t="str">
            <v>BT0382326.01 H010  FOUTIEVE</v>
          </cell>
        </row>
        <row r="1409">
          <cell r="A1409" t="str">
            <v>21/561</v>
          </cell>
          <cell r="B1409" t="str">
            <v>IP-008679.01.02.M01</v>
          </cell>
        </row>
        <row r="1410">
          <cell r="A1410" t="str">
            <v>21/562</v>
          </cell>
          <cell r="B1410" t="str">
            <v>IP-008679.01.02.M01</v>
          </cell>
        </row>
        <row r="1411">
          <cell r="A1411" t="str">
            <v>21/563</v>
          </cell>
          <cell r="B1411" t="str">
            <v>IP-008679.01.02.M01</v>
          </cell>
        </row>
        <row r="1412">
          <cell r="A1412" t="str">
            <v>21/564</v>
          </cell>
          <cell r="B1412" t="str">
            <v>IP-008679.01.02.M01</v>
          </cell>
        </row>
        <row r="1413">
          <cell r="A1413" t="str">
            <v>21/565</v>
          </cell>
          <cell r="B1413" t="str">
            <v>IP-008679.01.02.M01</v>
          </cell>
        </row>
        <row r="1414">
          <cell r="A1414" t="str">
            <v>21/566</v>
          </cell>
          <cell r="B1414" t="str">
            <v>IP-008679.01.02.M01</v>
          </cell>
        </row>
        <row r="1415">
          <cell r="A1415" t="str">
            <v>21/567</v>
          </cell>
          <cell r="B1415" t="str">
            <v>IP-001058.01.02.M01</v>
          </cell>
        </row>
        <row r="1416">
          <cell r="A1416" t="str">
            <v>21/568</v>
          </cell>
          <cell r="B1416" t="str">
            <v>IP-008679.01.02.M01</v>
          </cell>
        </row>
        <row r="1417">
          <cell r="A1417" t="str">
            <v>21/569</v>
          </cell>
          <cell r="B1417" t="str">
            <v>IP-008679.01.02.M01</v>
          </cell>
        </row>
        <row r="1418">
          <cell r="A1418" t="str">
            <v>21/570</v>
          </cell>
          <cell r="B1418" t="str">
            <v>IP-008679.01.02.M01</v>
          </cell>
        </row>
        <row r="1419">
          <cell r="A1419" t="str">
            <v>21/571</v>
          </cell>
          <cell r="B1419" t="str">
            <v>IP-008679.01.02.M01</v>
          </cell>
        </row>
        <row r="1420">
          <cell r="A1420" t="str">
            <v>21/572</v>
          </cell>
        </row>
        <row r="1421">
          <cell r="A1421" t="str">
            <v>21/573</v>
          </cell>
        </row>
        <row r="1422">
          <cell r="A1422" t="str">
            <v>21/574</v>
          </cell>
        </row>
        <row r="1423">
          <cell r="A1423" t="str">
            <v>21/575</v>
          </cell>
        </row>
        <row r="1424">
          <cell r="A1424" t="str">
            <v>21/576</v>
          </cell>
          <cell r="B1424" t="str">
            <v>IP-011740.01.01.M01</v>
          </cell>
        </row>
        <row r="1425">
          <cell r="A1425" t="str">
            <v>21/577</v>
          </cell>
          <cell r="B1425" t="str">
            <v>IP-011740.01.01.M01</v>
          </cell>
        </row>
        <row r="1426">
          <cell r="A1426" t="str">
            <v>21/578</v>
          </cell>
          <cell r="B1426" t="str">
            <v>IP-011740.01.01.M01</v>
          </cell>
        </row>
        <row r="1427">
          <cell r="A1427" t="str">
            <v>21/579</v>
          </cell>
          <cell r="B1427" t="str">
            <v>IP-009694.02.02.M01</v>
          </cell>
        </row>
        <row r="1428">
          <cell r="A1428" t="str">
            <v>21/580</v>
          </cell>
          <cell r="B1428" t="str">
            <v>BT1368470.01 H020</v>
          </cell>
        </row>
        <row r="1429">
          <cell r="A1429" t="str">
            <v>21/581</v>
          </cell>
          <cell r="B1429" t="str">
            <v xml:space="preserve">502471  3222    </v>
          </cell>
        </row>
        <row r="1430">
          <cell r="A1430" t="str">
            <v>21/582</v>
          </cell>
          <cell r="B1430" t="str">
            <v xml:space="preserve">IP-010893.01.03.M01   </v>
          </cell>
        </row>
        <row r="1431">
          <cell r="A1431" t="str">
            <v>21/583</v>
          </cell>
          <cell r="B1431" t="str">
            <v xml:space="preserve">IP-001058.01.02.M01     </v>
          </cell>
        </row>
        <row r="1432">
          <cell r="A1432" t="str">
            <v>21/584</v>
          </cell>
        </row>
        <row r="1433">
          <cell r="A1433" t="str">
            <v>21/585</v>
          </cell>
          <cell r="B1433" t="str">
            <v xml:space="preserve">BT1212362.01   h020  </v>
          </cell>
        </row>
        <row r="1434">
          <cell r="A1434" t="str">
            <v>21/586</v>
          </cell>
          <cell r="B1434" t="str">
            <v>IP-010741.01.06.M01</v>
          </cell>
        </row>
        <row r="1435">
          <cell r="A1435" t="str">
            <v>21/587</v>
          </cell>
        </row>
        <row r="1436">
          <cell r="A1436" t="str">
            <v>21/588</v>
          </cell>
          <cell r="B1436" t="str">
            <v xml:space="preserve">IP-010741.01.06.M01              </v>
          </cell>
        </row>
        <row r="1437">
          <cell r="A1437" t="str">
            <v>21/589</v>
          </cell>
          <cell r="B1437" t="str">
            <v>IP-013645.01.01.M01</v>
          </cell>
        </row>
        <row r="1438">
          <cell r="A1438" t="str">
            <v>21/590</v>
          </cell>
          <cell r="B1438" t="str">
            <v xml:space="preserve">IP-010741.01.06.M01 </v>
          </cell>
        </row>
        <row r="1439">
          <cell r="A1439" t="str">
            <v>21/591</v>
          </cell>
        </row>
        <row r="1440">
          <cell r="A1440" t="str">
            <v>21/592</v>
          </cell>
        </row>
        <row r="1441">
          <cell r="A1441" t="str">
            <v>21/593</v>
          </cell>
        </row>
        <row r="1442">
          <cell r="A1442" t="str">
            <v>21/594</v>
          </cell>
        </row>
        <row r="1443">
          <cell r="A1443" t="str">
            <v>21/595</v>
          </cell>
          <cell r="B1443" t="str">
            <v>IP-010741.01.06.M01</v>
          </cell>
        </row>
        <row r="1444">
          <cell r="A1444" t="str">
            <v>21/596</v>
          </cell>
          <cell r="B1444" t="str">
            <v>IP-009465.01.02.M01</v>
          </cell>
        </row>
        <row r="1445">
          <cell r="A1445" t="str">
            <v>21/597</v>
          </cell>
          <cell r="B1445" t="str">
            <v>IP-014135.01.01.M01</v>
          </cell>
        </row>
        <row r="1446">
          <cell r="A1446" t="str">
            <v>21/598</v>
          </cell>
        </row>
        <row r="1447">
          <cell r="A1447" t="str">
            <v>21/599</v>
          </cell>
        </row>
        <row r="1448">
          <cell r="A1448" t="str">
            <v>21/600</v>
          </cell>
        </row>
        <row r="1449">
          <cell r="A1449" t="str">
            <v>21/601</v>
          </cell>
        </row>
        <row r="1450">
          <cell r="A1450" t="str">
            <v>21/602</v>
          </cell>
        </row>
        <row r="1451">
          <cell r="A1451" t="str">
            <v>21/603</v>
          </cell>
        </row>
        <row r="1452">
          <cell r="A1452" t="str">
            <v>21/604</v>
          </cell>
          <cell r="B1452" t="str">
            <v>IP-004901.01.02.M01</v>
          </cell>
        </row>
        <row r="1453">
          <cell r="A1453" t="str">
            <v>21/605</v>
          </cell>
          <cell r="B1453" t="str">
            <v>IP-013645.01.01.M01</v>
          </cell>
        </row>
        <row r="1454">
          <cell r="A1454" t="str">
            <v>21/606</v>
          </cell>
        </row>
        <row r="1455">
          <cell r="A1455" t="str">
            <v>21/607</v>
          </cell>
          <cell r="B1455" t="str">
            <v>IP-007322.01.02.M01</v>
          </cell>
        </row>
        <row r="1456">
          <cell r="A1456" t="str">
            <v>21/608</v>
          </cell>
        </row>
        <row r="1457">
          <cell r="A1457" t="str">
            <v>21/609</v>
          </cell>
          <cell r="B1457" t="str">
            <v>IP-010741.01.06.M01</v>
          </cell>
        </row>
        <row r="1458">
          <cell r="A1458" t="str">
            <v>21/610</v>
          </cell>
          <cell r="B1458" t="str">
            <v>IP-011656.01.03.M01</v>
          </cell>
        </row>
        <row r="1459">
          <cell r="A1459" t="str">
            <v>21/611</v>
          </cell>
          <cell r="B1459" t="str">
            <v>IP-009210.01.01.M01</v>
          </cell>
        </row>
        <row r="1460">
          <cell r="A1460" t="str">
            <v>21/612</v>
          </cell>
        </row>
        <row r="1461">
          <cell r="A1461" t="str">
            <v>21/613</v>
          </cell>
          <cell r="B1461" t="str">
            <v>AIP009157.01/H010</v>
          </cell>
        </row>
        <row r="1462">
          <cell r="A1462" t="str">
            <v>21/614</v>
          </cell>
        </row>
        <row r="1463">
          <cell r="A1463" t="str">
            <v>21/615</v>
          </cell>
          <cell r="B1463" t="str">
            <v>BT1207466.01 H020</v>
          </cell>
        </row>
        <row r="1464">
          <cell r="A1464" t="str">
            <v>21/616</v>
          </cell>
          <cell r="B1464" t="str">
            <v xml:space="preserve">BT1207466.01  H020   </v>
          </cell>
        </row>
        <row r="1465">
          <cell r="A1465" t="str">
            <v>21/617</v>
          </cell>
          <cell r="B1465" t="str">
            <v xml:space="preserve">BT1207466.01  H020     </v>
          </cell>
        </row>
        <row r="1466">
          <cell r="A1466" t="str">
            <v>21/618</v>
          </cell>
          <cell r="B1466" t="str">
            <v xml:space="preserve">BT1207466.01  H020   </v>
          </cell>
        </row>
        <row r="1467">
          <cell r="A1467" t="str">
            <v>21/619</v>
          </cell>
          <cell r="B1467" t="str">
            <v>IP-009694.02.02.M01</v>
          </cell>
        </row>
        <row r="1468">
          <cell r="A1468" t="str">
            <v>21/620</v>
          </cell>
          <cell r="B1468" t="str">
            <v>IP-001058.01.02.M01</v>
          </cell>
        </row>
        <row r="1469">
          <cell r="A1469" t="str">
            <v>21/621</v>
          </cell>
        </row>
        <row r="1470">
          <cell r="A1470" t="str">
            <v>21/622</v>
          </cell>
          <cell r="B1470" t="str">
            <v>IP-001058.01.02.M01</v>
          </cell>
        </row>
        <row r="1471">
          <cell r="A1471" t="str">
            <v>21/623</v>
          </cell>
          <cell r="B1471" t="str">
            <v>IP-001058.01.02.M01</v>
          </cell>
        </row>
        <row r="1472">
          <cell r="A1472" t="str">
            <v>21/624</v>
          </cell>
          <cell r="B1472" t="str">
            <v>IP-010741.01.06.M01</v>
          </cell>
        </row>
        <row r="1473">
          <cell r="A1473" t="str">
            <v>21/625</v>
          </cell>
          <cell r="B1473" t="str">
            <v>IP-013645.01.01.M01</v>
          </cell>
        </row>
        <row r="1474">
          <cell r="A1474" t="str">
            <v>21/626</v>
          </cell>
        </row>
        <row r="1475">
          <cell r="A1475" t="str">
            <v>21/627</v>
          </cell>
        </row>
        <row r="1476">
          <cell r="A1476" t="str">
            <v>21/628</v>
          </cell>
          <cell r="B1476" t="str">
            <v>IP-001058.01.02.M01</v>
          </cell>
        </row>
        <row r="1477">
          <cell r="A1477" t="str">
            <v>21/629</v>
          </cell>
        </row>
        <row r="1478">
          <cell r="A1478" t="str">
            <v>21/630</v>
          </cell>
        </row>
        <row r="1479">
          <cell r="A1479" t="str">
            <v>21/631</v>
          </cell>
        </row>
        <row r="1480">
          <cell r="A1480" t="str">
            <v>21/632</v>
          </cell>
        </row>
        <row r="1481">
          <cell r="A1481" t="str">
            <v>21/633</v>
          </cell>
        </row>
        <row r="1482">
          <cell r="A1482" t="str">
            <v>21/634</v>
          </cell>
        </row>
        <row r="1483">
          <cell r="A1483" t="str">
            <v>21/635</v>
          </cell>
          <cell r="B1483" t="str">
            <v>IP-010450.01.02.M01</v>
          </cell>
        </row>
        <row r="1484">
          <cell r="A1484" t="str">
            <v>21/636</v>
          </cell>
          <cell r="B1484" t="str">
            <v>IP-010450.01.02.M01</v>
          </cell>
        </row>
        <row r="1485">
          <cell r="A1485" t="str">
            <v>21/637</v>
          </cell>
          <cell r="B1485" t="str">
            <v>IP-010450.01.02.M01</v>
          </cell>
        </row>
        <row r="1486">
          <cell r="A1486" t="str">
            <v>21/638</v>
          </cell>
          <cell r="B1486" t="str">
            <v>IP-010450.01.02.M01</v>
          </cell>
        </row>
        <row r="1487">
          <cell r="A1487" t="str">
            <v>21/639</v>
          </cell>
        </row>
        <row r="1488">
          <cell r="A1488" t="str">
            <v>21/640</v>
          </cell>
          <cell r="B1488" t="str">
            <v>IP-010450.01.02.M01</v>
          </cell>
        </row>
        <row r="1489">
          <cell r="A1489" t="str">
            <v>21/641</v>
          </cell>
          <cell r="B1489" t="str">
            <v>11330 3111</v>
          </cell>
        </row>
        <row r="1490">
          <cell r="A1490" t="str">
            <v>21/642</v>
          </cell>
          <cell r="B1490" t="str">
            <v>11330 3111</v>
          </cell>
        </row>
        <row r="1491">
          <cell r="A1491" t="str">
            <v>21/643</v>
          </cell>
          <cell r="B1491" t="str">
            <v>11330 3111</v>
          </cell>
        </row>
        <row r="1492">
          <cell r="A1492" t="str">
            <v>21/644</v>
          </cell>
        </row>
        <row r="1493">
          <cell r="A1493" t="str">
            <v>21/645</v>
          </cell>
          <cell r="B1493" t="str">
            <v>IP-011666.01.01.M01</v>
          </cell>
        </row>
        <row r="1494">
          <cell r="A1494" t="str">
            <v>21/646</v>
          </cell>
          <cell r="B1494" t="str">
            <v>IP-010450.01.02.M01</v>
          </cell>
        </row>
        <row r="1495">
          <cell r="A1495" t="str">
            <v>21/647</v>
          </cell>
          <cell r="B1495" t="str">
            <v>BT1212362.01 H020</v>
          </cell>
        </row>
        <row r="1496">
          <cell r="A1496" t="str">
            <v>21/648</v>
          </cell>
        </row>
        <row r="1497">
          <cell r="A1497" t="str">
            <v>21/649</v>
          </cell>
        </row>
        <row r="1498">
          <cell r="A1498" t="str">
            <v>21/650</v>
          </cell>
        </row>
        <row r="1499">
          <cell r="A1499" t="str">
            <v>21/651</v>
          </cell>
        </row>
        <row r="1500">
          <cell r="A1500" t="str">
            <v>21/652</v>
          </cell>
        </row>
        <row r="1501">
          <cell r="A1501" t="str">
            <v>21/653</v>
          </cell>
        </row>
        <row r="1502">
          <cell r="A1502" t="str">
            <v>21/654</v>
          </cell>
        </row>
        <row r="1503">
          <cell r="A1503" t="str">
            <v>21/655</v>
          </cell>
        </row>
        <row r="1504">
          <cell r="A1504" t="str">
            <v>21/656</v>
          </cell>
        </row>
        <row r="1505">
          <cell r="A1505" t="str">
            <v>21/657</v>
          </cell>
        </row>
        <row r="1506">
          <cell r="A1506" t="str">
            <v>21/658</v>
          </cell>
        </row>
        <row r="1507">
          <cell r="A1507" t="str">
            <v>21/659</v>
          </cell>
        </row>
        <row r="1508">
          <cell r="A1508" t="str">
            <v>21/660</v>
          </cell>
        </row>
        <row r="1509">
          <cell r="A1509" t="str">
            <v>21/661</v>
          </cell>
        </row>
        <row r="1510">
          <cell r="A1510" t="str">
            <v>21/662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S128"/>
  <sheetViews>
    <sheetView showGridLines="0" showRowColHeaders="0" tabSelected="1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3" width="9.140625" style="1" hidden="1" customWidth="1"/>
    <col min="74" max="74" width="17.7109375" style="1" hidden="1" customWidth="1"/>
    <col min="75" max="75" width="15.8554687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16.140625" style="1" hidden="1" customWidth="1"/>
    <col min="80" max="80" width="17.140625" style="1" hidden="1" customWidth="1"/>
    <col min="81" max="82" width="18.42578125" style="1" hidden="1" customWidth="1"/>
    <col min="83" max="83" width="14.28515625" style="1" hidden="1" customWidth="1"/>
    <col min="84" max="84" width="11.28515625" style="1" hidden="1" customWidth="1"/>
    <col min="85" max="85" width="17.7109375" style="1" hidden="1" customWidth="1"/>
    <col min="86" max="86" width="17.85546875" style="1" hidden="1" customWidth="1"/>
    <col min="87" max="87" width="18.5703125" style="1" hidden="1" customWidth="1"/>
    <col min="88" max="88" width="13.140625" style="1" hidden="1" customWidth="1"/>
    <col min="89" max="89" width="13.28515625" style="1" hidden="1" customWidth="1"/>
    <col min="90" max="90" width="15.42578125" style="1" hidden="1" customWidth="1"/>
    <col min="91" max="94" width="8.140625" style="1" hidden="1" customWidth="1"/>
    <col min="95" max="95" width="34.85546875" style="1" hidden="1" customWidth="1"/>
    <col min="96" max="96" width="17.5703125" style="1" hidden="1" customWidth="1"/>
    <col min="97" max="97" width="21.85546875" style="1" hidden="1" customWidth="1"/>
    <col min="98" max="98" width="10.28515625" style="1" hidden="1" customWidth="1"/>
    <col min="99" max="100" width="17.85546875" style="1" hidden="1" customWidth="1"/>
    <col min="101" max="101" width="31.140625" style="1" hidden="1" customWidth="1"/>
    <col min="102" max="102" width="34.5703125" style="1" hidden="1" customWidth="1"/>
    <col min="103" max="103" width="26.28515625" style="1" hidden="1" customWidth="1"/>
    <col min="104" max="104" width="22.42578125" style="1" hidden="1" customWidth="1"/>
    <col min="105" max="105" width="19" style="1" hidden="1" customWidth="1"/>
    <col min="106" max="106" width="4.85546875" style="5" hidden="1" customWidth="1"/>
    <col min="107" max="108" width="20.42578125" style="5" hidden="1" customWidth="1"/>
    <col min="109" max="109" width="20.42578125" style="5" customWidth="1"/>
    <col min="110" max="110" width="21.28515625" style="5" bestFit="1" customWidth="1"/>
    <col min="111" max="111" width="17.85546875" style="5" bestFit="1" customWidth="1"/>
    <col min="112" max="112" width="28.85546875" style="5" bestFit="1" customWidth="1"/>
    <col min="113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25">
      <c r="A1" s="155" t="s">
        <v>260</v>
      </c>
      <c r="H1" s="153"/>
      <c r="I1" s="153"/>
      <c r="J1" s="153"/>
      <c r="K1" s="153"/>
      <c r="O1" s="401">
        <v>44197</v>
      </c>
      <c r="P1" s="402"/>
      <c r="Q1" s="402"/>
      <c r="R1" s="403"/>
      <c r="U1" s="421" t="s">
        <v>302</v>
      </c>
      <c r="V1" s="422"/>
    </row>
    <row r="2" spans="1:122" ht="13.5" customHeight="1" thickBot="1" x14ac:dyDescent="0.25">
      <c r="D2" s="3"/>
      <c r="W2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14" t="s">
        <v>304</v>
      </c>
      <c r="E3" s="385">
        <v>0</v>
      </c>
      <c r="F3" s="386"/>
      <c r="G3" s="228">
        <f>E3/24</f>
        <v>0</v>
      </c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334" t="s">
        <v>142</v>
      </c>
      <c r="AG3" s="335"/>
      <c r="AH3" s="335"/>
      <c r="AI3" s="335"/>
      <c r="AJ3" s="335"/>
      <c r="AK3" s="335"/>
      <c r="AL3" s="335"/>
      <c r="AM3" s="335"/>
      <c r="AN3" s="335"/>
      <c r="AO3" s="335"/>
      <c r="AP3" s="335"/>
      <c r="AQ3" s="335"/>
      <c r="AR3" s="335"/>
      <c r="AS3" s="335"/>
      <c r="AT3" s="335"/>
      <c r="AU3" s="335"/>
      <c r="AV3" s="335"/>
      <c r="AW3" s="335"/>
      <c r="AX3" s="335"/>
      <c r="AY3" s="335"/>
      <c r="AZ3" s="335"/>
      <c r="BA3" s="335"/>
      <c r="BB3" s="335"/>
      <c r="BC3" s="335"/>
      <c r="BD3" s="335"/>
      <c r="BE3" s="335"/>
      <c r="BF3" s="335"/>
      <c r="BG3" s="335"/>
      <c r="BH3" s="335"/>
      <c r="BI3" s="335"/>
      <c r="BJ3" s="335"/>
      <c r="BK3" s="336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6"/>
      <c r="DH3" s="7"/>
      <c r="DI3" s="282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337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338"/>
      <c r="BB4" s="338"/>
      <c r="BC4" s="338"/>
      <c r="BD4" s="338"/>
      <c r="BE4" s="338"/>
      <c r="BF4" s="338"/>
      <c r="BG4" s="338"/>
      <c r="BH4" s="338"/>
      <c r="BI4" s="338"/>
      <c r="BJ4" s="338"/>
      <c r="BK4" s="339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18"/>
      <c r="DH4" s="209"/>
      <c r="DI4" s="282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customHeight="1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337"/>
      <c r="AG5" s="338"/>
      <c r="AH5" s="338"/>
      <c r="AI5" s="338"/>
      <c r="AJ5" s="338"/>
      <c r="AK5" s="338"/>
      <c r="AL5" s="338"/>
      <c r="AM5" s="338"/>
      <c r="AN5" s="338"/>
      <c r="AO5" s="338"/>
      <c r="AP5" s="338"/>
      <c r="AQ5" s="338"/>
      <c r="AR5" s="338"/>
      <c r="AS5" s="338"/>
      <c r="AT5" s="338"/>
      <c r="AU5" s="338"/>
      <c r="AV5" s="338"/>
      <c r="AW5" s="338"/>
      <c r="AX5" s="338"/>
      <c r="AY5" s="338"/>
      <c r="AZ5" s="338"/>
      <c r="BA5" s="338"/>
      <c r="BB5" s="338"/>
      <c r="BC5" s="338"/>
      <c r="BD5" s="338"/>
      <c r="BE5" s="338"/>
      <c r="BF5" s="338"/>
      <c r="BG5" s="338"/>
      <c r="BH5" s="338"/>
      <c r="BI5" s="338"/>
      <c r="BJ5" s="338"/>
      <c r="BK5" s="339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10">
        <v>44197</v>
      </c>
      <c r="DH5" s="209" t="s">
        <v>250</v>
      </c>
      <c r="DI5" s="282"/>
      <c r="DJ5" s="134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340" t="s">
        <v>117</v>
      </c>
      <c r="AG6" s="338"/>
      <c r="AH6" s="341" t="s">
        <v>6</v>
      </c>
      <c r="AI6" s="341" t="s">
        <v>7</v>
      </c>
      <c r="AJ6" s="341" t="s">
        <v>8</v>
      </c>
      <c r="AK6" s="341" t="s">
        <v>9</v>
      </c>
      <c r="AL6" s="341" t="s">
        <v>10</v>
      </c>
      <c r="AM6" s="341" t="s">
        <v>11</v>
      </c>
      <c r="AN6" s="341" t="s">
        <v>12</v>
      </c>
      <c r="AO6" s="341" t="s">
        <v>13</v>
      </c>
      <c r="AP6" s="341" t="s">
        <v>14</v>
      </c>
      <c r="AQ6" s="341" t="s">
        <v>15</v>
      </c>
      <c r="AR6" s="341" t="s">
        <v>16</v>
      </c>
      <c r="AS6" s="341" t="s">
        <v>17</v>
      </c>
      <c r="AT6" s="341" t="s">
        <v>18</v>
      </c>
      <c r="AU6" s="341" t="s">
        <v>19</v>
      </c>
      <c r="AV6" s="341" t="s">
        <v>20</v>
      </c>
      <c r="AW6" s="341" t="s">
        <v>21</v>
      </c>
      <c r="AX6" s="341" t="s">
        <v>22</v>
      </c>
      <c r="AY6" s="341" t="s">
        <v>23</v>
      </c>
      <c r="AZ6" s="341" t="s">
        <v>24</v>
      </c>
      <c r="BA6" s="341" t="s">
        <v>25</v>
      </c>
      <c r="BB6" s="341" t="s">
        <v>26</v>
      </c>
      <c r="BC6" s="341" t="s">
        <v>27</v>
      </c>
      <c r="BD6" s="341" t="s">
        <v>28</v>
      </c>
      <c r="BE6" s="341" t="s">
        <v>29</v>
      </c>
      <c r="BF6" s="341" t="s">
        <v>30</v>
      </c>
      <c r="BG6" s="341" t="s">
        <v>31</v>
      </c>
      <c r="BH6" s="341" t="s">
        <v>32</v>
      </c>
      <c r="BI6" s="341" t="s">
        <v>33</v>
      </c>
      <c r="BJ6" s="341" t="s">
        <v>34</v>
      </c>
      <c r="BK6" s="3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303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11">
        <v>44291</v>
      </c>
      <c r="DH6" s="212" t="s">
        <v>247</v>
      </c>
      <c r="DI6" s="282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" customHeight="1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340" t="s">
        <v>118</v>
      </c>
      <c r="AG7" s="338"/>
      <c r="AH7" s="341">
        <v>1</v>
      </c>
      <c r="AI7" s="341">
        <v>2</v>
      </c>
      <c r="AJ7" s="341">
        <v>3</v>
      </c>
      <c r="AK7" s="341">
        <v>4</v>
      </c>
      <c r="AL7" s="341">
        <v>5</v>
      </c>
      <c r="AM7" s="341">
        <v>6</v>
      </c>
      <c r="AN7" s="341">
        <v>7</v>
      </c>
      <c r="AO7" s="341">
        <v>8</v>
      </c>
      <c r="AP7" s="341">
        <v>9</v>
      </c>
      <c r="AQ7" s="341">
        <v>10</v>
      </c>
      <c r="AR7" s="341">
        <v>11</v>
      </c>
      <c r="AS7" s="341">
        <v>12</v>
      </c>
      <c r="AT7" s="341">
        <v>13</v>
      </c>
      <c r="AU7" s="341">
        <v>14</v>
      </c>
      <c r="AV7" s="341">
        <v>15</v>
      </c>
      <c r="AW7" s="341">
        <v>16</v>
      </c>
      <c r="AX7" s="341">
        <v>17</v>
      </c>
      <c r="AY7" s="341">
        <v>18</v>
      </c>
      <c r="AZ7" s="341">
        <v>19</v>
      </c>
      <c r="BA7" s="341">
        <v>20</v>
      </c>
      <c r="BB7" s="341">
        <v>21</v>
      </c>
      <c r="BC7" s="341">
        <v>22</v>
      </c>
      <c r="BD7" s="341">
        <v>23</v>
      </c>
      <c r="BE7" s="341">
        <v>24</v>
      </c>
      <c r="BF7" s="341">
        <v>25</v>
      </c>
      <c r="BG7" s="341">
        <v>26</v>
      </c>
      <c r="BH7" s="341">
        <v>27</v>
      </c>
      <c r="BI7" s="341">
        <v>28</v>
      </c>
      <c r="BJ7" s="341">
        <v>29</v>
      </c>
      <c r="BK7" s="3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10">
        <v>44317</v>
      </c>
      <c r="DH7" s="209" t="s">
        <v>251</v>
      </c>
      <c r="DI7" s="282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customHeight="1" x14ac:dyDescent="0.25">
      <c r="A8" s="320">
        <f>DAY(Z8)</f>
        <v>1</v>
      </c>
      <c r="B8" s="321">
        <f>Z8</f>
        <v>44197</v>
      </c>
      <c r="C8" s="232"/>
      <c r="D8" s="233"/>
      <c r="E8" s="233"/>
      <c r="F8" s="233"/>
      <c r="G8" s="277"/>
      <c r="H8" s="305">
        <f>IF(AC8=0,21,IF(AC8=1,1,IF(AD8=2,2,IF(VLOOKUP($AC8,$B$42:$D$46,3)=1,$E$40,""))))</f>
        <v>2</v>
      </c>
      <c r="I8" s="307" t="str">
        <f>IF(H8="",IF(VLOOKUP($AC8,$B$42:$D$46,3)=2,$E$40,""),"")</f>
        <v/>
      </c>
      <c r="J8" s="308">
        <f>CU8</f>
        <v>0.33333333333333331</v>
      </c>
      <c r="K8" s="309" t="str">
        <f>CY8</f>
        <v>+</v>
      </c>
      <c r="L8" s="310">
        <f>CZ8</f>
        <v>1.6666666666666663E-2</v>
      </c>
      <c r="M8" s="311">
        <f>800/0.333333333*CX8/100</f>
        <v>0.40000000039999989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44197</v>
      </c>
      <c r="AA8" s="160">
        <f>Z8</f>
        <v>44197</v>
      </c>
      <c r="AB8" s="160">
        <f>MONTH(Z8)</f>
        <v>1</v>
      </c>
      <c r="AC8" s="81">
        <f t="shared" ref="AC8:AC38" si="0">MOD(Z8,7)</f>
        <v>6</v>
      </c>
      <c r="AD8" s="160">
        <f t="shared" ref="AD8:AD38" si="1">IF(OR(Z8=DG$5,Z8=DG$6,Z8=DG$7,Z8=DG$8,Z8=DG$9,Z8=DG$10,Z8=DG$11,Z8=DG$12,Z8=DG$13,Z8=DG$14,Z8=DG$15,Z8=DG$16,Z8=DG$17),2,0)</f>
        <v>2</v>
      </c>
      <c r="AF8" s="340" t="s">
        <v>119</v>
      </c>
      <c r="AG8" s="338"/>
      <c r="AH8" s="343">
        <f t="shared" ref="AH8:AW23" si="2">IF($N8=AH$7,$DB8,IF($O8=AH$7,$P8,IF($Q8=AH$7,$R8,0)))</f>
        <v>0</v>
      </c>
      <c r="AI8" s="343">
        <f t="shared" si="2"/>
        <v>0</v>
      </c>
      <c r="AJ8" s="343">
        <f t="shared" si="2"/>
        <v>0</v>
      </c>
      <c r="AK8" s="343">
        <f t="shared" si="2"/>
        <v>0</v>
      </c>
      <c r="AL8" s="343">
        <f t="shared" si="2"/>
        <v>0</v>
      </c>
      <c r="AM8" s="343">
        <f t="shared" si="2"/>
        <v>0</v>
      </c>
      <c r="AN8" s="343">
        <f t="shared" si="2"/>
        <v>0</v>
      </c>
      <c r="AO8" s="343">
        <f t="shared" si="2"/>
        <v>0</v>
      </c>
      <c r="AP8" s="343">
        <f t="shared" si="2"/>
        <v>0</v>
      </c>
      <c r="AQ8" s="343">
        <f t="shared" si="2"/>
        <v>0</v>
      </c>
      <c r="AR8" s="343">
        <f t="shared" si="2"/>
        <v>0</v>
      </c>
      <c r="AS8" s="343">
        <f t="shared" si="2"/>
        <v>0</v>
      </c>
      <c r="AT8" s="343">
        <f t="shared" si="2"/>
        <v>0</v>
      </c>
      <c r="AU8" s="343">
        <f t="shared" si="2"/>
        <v>0</v>
      </c>
      <c r="AV8" s="343">
        <f t="shared" si="2"/>
        <v>0</v>
      </c>
      <c r="AW8" s="343">
        <f t="shared" si="2"/>
        <v>0</v>
      </c>
      <c r="AX8" s="343">
        <f t="shared" ref="AX8:BK23" si="3">IF($N8=AX$7,$DB8,IF($O8=AX$7,$P8,IF($Q8=AX$7,$R8,0)))</f>
        <v>0</v>
      </c>
      <c r="AY8" s="343">
        <f t="shared" si="3"/>
        <v>0</v>
      </c>
      <c r="AZ8" s="343">
        <f t="shared" si="3"/>
        <v>0</v>
      </c>
      <c r="BA8" s="343">
        <f t="shared" si="3"/>
        <v>0</v>
      </c>
      <c r="BB8" s="343">
        <f t="shared" si="3"/>
        <v>0</v>
      </c>
      <c r="BC8" s="343">
        <f t="shared" si="3"/>
        <v>0</v>
      </c>
      <c r="BD8" s="343">
        <f t="shared" si="3"/>
        <v>0</v>
      </c>
      <c r="BE8" s="343">
        <f t="shared" si="3"/>
        <v>0</v>
      </c>
      <c r="BF8" s="343">
        <f t="shared" si="3"/>
        <v>0</v>
      </c>
      <c r="BG8" s="343">
        <f t="shared" si="3"/>
        <v>0</v>
      </c>
      <c r="BH8" s="343">
        <f t="shared" si="3"/>
        <v>0</v>
      </c>
      <c r="BI8" s="343">
        <f t="shared" si="3"/>
        <v>0</v>
      </c>
      <c r="BJ8" s="343">
        <f t="shared" si="3"/>
        <v>0</v>
      </c>
      <c r="BK8" s="344">
        <f t="shared" si="3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4">IF(AND($H8=30,$CC8=$BW$19),1,IF(AND($H8=30,$CC8=$BW$20),0.5,0))</f>
        <v>0</v>
      </c>
      <c r="BP8" s="188">
        <f t="shared" ref="BP8:BP38" si="5">IF(AND($I8=30,$CD8=$BW$19),1,IF(AND($I8=30,$CD8=$BW$20),0.5,0))</f>
        <v>0</v>
      </c>
      <c r="BQ8" s="189">
        <f>CM8</f>
        <v>0</v>
      </c>
      <c r="BR8" s="190">
        <f>CN8</f>
        <v>0</v>
      </c>
      <c r="BS8" s="189">
        <f>CO8</f>
        <v>0</v>
      </c>
      <c r="BT8" s="194">
        <f>CP8</f>
        <v>0</v>
      </c>
      <c r="BU8" s="18"/>
      <c r="BV8" s="27" t="s">
        <v>269</v>
      </c>
      <c r="BW8" s="255">
        <v>0.29166666666666669</v>
      </c>
      <c r="BX8"/>
      <c r="BY8" s="21"/>
      <c r="BZ8" s="86">
        <f>A8</f>
        <v>1</v>
      </c>
      <c r="CA8" s="87" t="str">
        <f t="shared" ref="CA8:CA38" si="6">IF(TRIM(C8)="","",IF(C8&lt;$BW$8,$BW$8,C8))</f>
        <v/>
      </c>
      <c r="CB8" s="87" t="str">
        <f>IF(TRIM(D8)="","",IF(D8&gt;$BW$16,$BW$16,D8))</f>
        <v/>
      </c>
      <c r="CC8" s="88">
        <f t="shared" ref="CC8:CC38" si="7">IF(TRIM(H8)="","",IF(AND(TRIM(C8)="",TRIM(I8)=""),VLOOKUP(H8,$DL$8:$DO$71,3,FALSE),VLOOKUP(H8,$DL$8:$DO$71,4,FALSE)))</f>
        <v>0.33333333333333331</v>
      </c>
      <c r="CD8" s="88" t="str">
        <f t="shared" ref="CD8:CD38" si="8">IF(TRIM(I8)="","",IF(AND(TRIM(C8)="",TRIM(H8)=""),VLOOKUP(I8,$DL$8:$DO$71,3,FALSE),VLOOKUP(I8,$DL$8:$DO$71,4,FALSE)))</f>
        <v/>
      </c>
      <c r="CE8" s="89">
        <f t="shared" ref="CE8:CE38" si="9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10">IF(CA8="","",CB8-CA8-CL8)</f>
        <v/>
      </c>
      <c r="CR8" s="87">
        <f t="shared" ref="CR8:CR38" si="11">IF(CA8="",0,IF(OR(H8=97,I8=97),$BW$7,IF(OR(TRIM(H8)&lt;&gt;"",TRIM(I8)&lt;&gt;""),0,IF(CI8&lt;$BW$7,$BW$7,CI8))))</f>
        <v>0</v>
      </c>
      <c r="CS8" s="87">
        <f t="shared" ref="CS8:CS38" si="12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13">IF(CF8=0,CS8,MIN(CT8+CS8,0.375))</f>
        <v>0.33333333333333331</v>
      </c>
      <c r="CV8" s="326">
        <f>CU8</f>
        <v>0.33333333333333331</v>
      </c>
      <c r="CW8" s="362">
        <f t="shared" ref="CW8:CW38" si="14">IF(CV8=0,0,CV8-IF(Arbeidsstelsel=4,$BX$29,$BX$26))</f>
        <v>1.6666666666666663E-2</v>
      </c>
      <c r="CX8" s="362">
        <f t="shared" ref="CX8" si="15">IF(OR($CM8=1,$CN8=1,$CO8=1,$CP8=1),$CW$3-IF(Arbeidsstelsel=4,$BX$29,$BX$26),$CW$3+$CW8)</f>
        <v>1.6666666666666663E-2</v>
      </c>
      <c r="CY8" s="94" t="str">
        <f>IF((CX8)&gt;0,"+","-")</f>
        <v>+</v>
      </c>
      <c r="CZ8" s="95">
        <f>ABS(CX8)</f>
        <v>1.6666666666666663E-2</v>
      </c>
      <c r="DA8" s="363">
        <f t="shared" ref="DA8:DA38" si="16">IF(AND(CA8="",CB8=""),0,CV8)</f>
        <v>0</v>
      </c>
      <c r="DB8" s="215">
        <f t="shared" ref="DB8:DB38" si="17">CS8-P8-R8</f>
        <v>0</v>
      </c>
      <c r="DC8" s="58"/>
      <c r="DD8" s="18"/>
      <c r="DE8" s="18"/>
      <c r="DF8" s="204">
        <v>4</v>
      </c>
      <c r="DG8" s="211">
        <v>44329</v>
      </c>
      <c r="DH8" s="212" t="s">
        <v>248</v>
      </c>
      <c r="DI8" s="282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customHeight="1" x14ac:dyDescent="0.25">
      <c r="A9" s="322">
        <f t="shared" ref="A9:A38" si="18">DAY(Z9)</f>
        <v>2</v>
      </c>
      <c r="B9" s="323">
        <f t="shared" ref="B9:B38" si="19">Z9</f>
        <v>44198</v>
      </c>
      <c r="C9" s="239"/>
      <c r="D9" s="240"/>
      <c r="E9" s="240"/>
      <c r="F9" s="240"/>
      <c r="G9" s="278"/>
      <c r="H9" s="305">
        <f t="shared" ref="H9:H38" si="20">IF(AC9=0,21,IF(AC9=1,1,IF(AD9=2,2,IF(VLOOKUP($AC9,$B$42:$D$46,3)=1,$E$40,""))))</f>
        <v>21</v>
      </c>
      <c r="I9" s="307" t="str">
        <f t="shared" ref="I9:I38" si="21">IF(H9="",IF(VLOOKUP($AC9,$B$42:$D$46,3)=2,$E$40,""),"")</f>
        <v/>
      </c>
      <c r="J9" s="312">
        <f t="shared" ref="J9:J38" si="22">CU9</f>
        <v>0.31666666666666698</v>
      </c>
      <c r="K9" s="313" t="str">
        <f t="shared" ref="K9:K38" si="23">CY9</f>
        <v>+</v>
      </c>
      <c r="L9" s="314">
        <f t="shared" ref="L9:L38" si="24">CZ9</f>
        <v>1.6666666666666996E-2</v>
      </c>
      <c r="M9" s="315">
        <f t="shared" ref="M9:M38" si="25">800/0.333333333*CX9/100</f>
        <v>0.40000000040000794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26">Z8+1</f>
        <v>44198</v>
      </c>
      <c r="AA9" s="160">
        <f t="shared" ref="AA9:AA35" si="27">Z9</f>
        <v>44198</v>
      </c>
      <c r="AB9" s="160">
        <f t="shared" ref="AB9:AB38" si="28">MONTH(Z9)</f>
        <v>1</v>
      </c>
      <c r="AC9" s="81">
        <f t="shared" si="0"/>
        <v>0</v>
      </c>
      <c r="AD9" s="160">
        <f t="shared" si="1"/>
        <v>0</v>
      </c>
      <c r="AF9" s="337" t="s">
        <v>119</v>
      </c>
      <c r="AG9" s="345"/>
      <c r="AH9" s="343">
        <f t="shared" si="2"/>
        <v>0</v>
      </c>
      <c r="AI9" s="343">
        <f t="shared" si="2"/>
        <v>0</v>
      </c>
      <c r="AJ9" s="343">
        <f t="shared" si="2"/>
        <v>0</v>
      </c>
      <c r="AK9" s="343">
        <f t="shared" si="2"/>
        <v>0</v>
      </c>
      <c r="AL9" s="343">
        <f t="shared" si="2"/>
        <v>0</v>
      </c>
      <c r="AM9" s="343">
        <f t="shared" si="2"/>
        <v>0</v>
      </c>
      <c r="AN9" s="343">
        <f t="shared" si="2"/>
        <v>0</v>
      </c>
      <c r="AO9" s="343">
        <f t="shared" si="2"/>
        <v>0</v>
      </c>
      <c r="AP9" s="343">
        <f t="shared" si="2"/>
        <v>0</v>
      </c>
      <c r="AQ9" s="343">
        <f t="shared" si="2"/>
        <v>0</v>
      </c>
      <c r="AR9" s="343">
        <f t="shared" si="2"/>
        <v>0</v>
      </c>
      <c r="AS9" s="343">
        <f t="shared" si="2"/>
        <v>0</v>
      </c>
      <c r="AT9" s="343">
        <f t="shared" si="2"/>
        <v>0</v>
      </c>
      <c r="AU9" s="343">
        <f t="shared" si="2"/>
        <v>0</v>
      </c>
      <c r="AV9" s="343">
        <f t="shared" si="2"/>
        <v>0</v>
      </c>
      <c r="AW9" s="343">
        <f t="shared" si="2"/>
        <v>0</v>
      </c>
      <c r="AX9" s="343">
        <f t="shared" si="3"/>
        <v>0</v>
      </c>
      <c r="AY9" s="343">
        <f t="shared" si="3"/>
        <v>0</v>
      </c>
      <c r="AZ9" s="343">
        <f t="shared" si="3"/>
        <v>0</v>
      </c>
      <c r="BA9" s="343">
        <f t="shared" si="3"/>
        <v>0</v>
      </c>
      <c r="BB9" s="343">
        <f t="shared" si="3"/>
        <v>0</v>
      </c>
      <c r="BC9" s="343">
        <f t="shared" si="3"/>
        <v>0</v>
      </c>
      <c r="BD9" s="343">
        <f t="shared" si="3"/>
        <v>0</v>
      </c>
      <c r="BE9" s="343">
        <f t="shared" si="3"/>
        <v>0</v>
      </c>
      <c r="BF9" s="343">
        <f t="shared" si="3"/>
        <v>0</v>
      </c>
      <c r="BG9" s="343">
        <f t="shared" si="3"/>
        <v>0</v>
      </c>
      <c r="BH9" s="343">
        <f t="shared" si="3"/>
        <v>0</v>
      </c>
      <c r="BI9" s="343">
        <f t="shared" si="3"/>
        <v>0</v>
      </c>
      <c r="BJ9" s="343">
        <f t="shared" si="3"/>
        <v>0</v>
      </c>
      <c r="BK9" s="344">
        <f t="shared" si="3"/>
        <v>0</v>
      </c>
      <c r="BM9" s="84">
        <f t="shared" ref="BM9:BM38" si="29">IF(AND(H9=7,CC9=$BW$19),1,IF(AND(H9=7,CC9=$BW$20),0.5,0))</f>
        <v>0</v>
      </c>
      <c r="BN9" s="85">
        <f t="shared" ref="BN9:BN38" si="30">IF(AND(I9=7,CD9=$BW$19),1,IF(AND(I9=7,CD9=$BW$20),0.5,0))</f>
        <v>0</v>
      </c>
      <c r="BO9" s="84">
        <f t="shared" si="4"/>
        <v>0</v>
      </c>
      <c r="BP9" s="85">
        <f t="shared" si="5"/>
        <v>0</v>
      </c>
      <c r="BQ9" s="186">
        <f t="shared" ref="BQ9:BQ38" si="31">CM9</f>
        <v>0</v>
      </c>
      <c r="BR9" s="191">
        <f t="shared" ref="BR9:BR38" si="32">CN9</f>
        <v>0</v>
      </c>
      <c r="BS9" s="186">
        <f t="shared" ref="BS9:BS38" si="33">CO9</f>
        <v>0</v>
      </c>
      <c r="BT9" s="195">
        <f t="shared" ref="BT9:BT38" si="34">CP9</f>
        <v>0</v>
      </c>
      <c r="BU9" s="18"/>
      <c r="BV9" s="27" t="s">
        <v>268</v>
      </c>
      <c r="BW9" s="255">
        <v>0.375</v>
      </c>
      <c r="BX9"/>
      <c r="BY9" s="21"/>
      <c r="BZ9" s="86">
        <f t="shared" ref="BZ9:BZ38" si="35">A9</f>
        <v>2</v>
      </c>
      <c r="CA9" s="87" t="str">
        <f t="shared" si="6"/>
        <v/>
      </c>
      <c r="CB9" s="87" t="str">
        <f t="shared" ref="CB9:CB38" si="36">IF(TRIM(D9)="","",IF(D9&gt;$BW$16,$BW$16,D9))</f>
        <v/>
      </c>
      <c r="CC9" s="88">
        <f t="shared" si="7"/>
        <v>0.31666666666666698</v>
      </c>
      <c r="CD9" s="88" t="str">
        <f t="shared" si="8"/>
        <v/>
      </c>
      <c r="CE9" s="89">
        <f t="shared" si="9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10"/>
        <v/>
      </c>
      <c r="CR9" s="87">
        <f t="shared" si="11"/>
        <v>0</v>
      </c>
      <c r="CS9" s="87">
        <f t="shared" si="12"/>
        <v>0</v>
      </c>
      <c r="CT9" s="87">
        <f t="shared" ref="CT9:CT38" si="48">CF9</f>
        <v>0.31666666666666698</v>
      </c>
      <c r="CU9" s="92">
        <f t="shared" si="13"/>
        <v>0.31666666666666698</v>
      </c>
      <c r="CV9" s="326">
        <f t="shared" ref="CV9:CV38" si="49">CU9</f>
        <v>0.31666666666666698</v>
      </c>
      <c r="CW9" s="362">
        <f t="shared" si="14"/>
        <v>3.3306690738754696E-16</v>
      </c>
      <c r="CX9" s="362">
        <f t="shared" ref="CX9:CX38" si="50">IF(OR($CM9=1,$CN9=1,$CO9=1,$CP9=1),$CX8-IF(Arbeidsstelsel=4,$BX$29,$BX$26),$CX8+$CW9)</f>
        <v>1.6666666666666996E-2</v>
      </c>
      <c r="CY9" s="94" t="str">
        <f t="shared" ref="CY9:CY38" si="51">IF((CX9)&gt;0,"+","-")</f>
        <v>+</v>
      </c>
      <c r="CZ9" s="95">
        <f t="shared" ref="CZ9:CZ38" si="52">ABS(CX9)</f>
        <v>1.6666666666666996E-2</v>
      </c>
      <c r="DA9" s="363">
        <f t="shared" si="16"/>
        <v>0</v>
      </c>
      <c r="DB9" s="215">
        <f t="shared" si="17"/>
        <v>0</v>
      </c>
      <c r="DC9" s="58"/>
      <c r="DD9" s="18"/>
      <c r="DE9" s="18"/>
      <c r="DF9" s="204">
        <v>5</v>
      </c>
      <c r="DG9" s="211">
        <v>44340</v>
      </c>
      <c r="DH9" s="212" t="s">
        <v>249</v>
      </c>
      <c r="DI9" s="282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customHeight="1" x14ac:dyDescent="0.25">
      <c r="A10" s="322">
        <f t="shared" si="18"/>
        <v>3</v>
      </c>
      <c r="B10" s="323">
        <f t="shared" si="19"/>
        <v>44199</v>
      </c>
      <c r="C10" s="239"/>
      <c r="D10" s="240"/>
      <c r="E10" s="240"/>
      <c r="F10" s="240"/>
      <c r="G10" s="278"/>
      <c r="H10" s="305">
        <f t="shared" si="20"/>
        <v>1</v>
      </c>
      <c r="I10" s="307" t="str">
        <f t="shared" si="21"/>
        <v/>
      </c>
      <c r="J10" s="312">
        <f t="shared" si="22"/>
        <v>0.31666666666666698</v>
      </c>
      <c r="K10" s="313" t="str">
        <f t="shared" si="23"/>
        <v>+</v>
      </c>
      <c r="L10" s="314">
        <f t="shared" si="24"/>
        <v>1.6666666666667329E-2</v>
      </c>
      <c r="M10" s="315">
        <f t="shared" si="25"/>
        <v>0.40000000040001588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26"/>
        <v>44199</v>
      </c>
      <c r="AA10" s="160">
        <f t="shared" si="27"/>
        <v>44199</v>
      </c>
      <c r="AB10" s="160">
        <f t="shared" si="28"/>
        <v>1</v>
      </c>
      <c r="AC10" s="81">
        <f t="shared" si="0"/>
        <v>1</v>
      </c>
      <c r="AD10" s="160">
        <f t="shared" si="1"/>
        <v>0</v>
      </c>
      <c r="AF10" s="337" t="s">
        <v>119</v>
      </c>
      <c r="AG10" s="345"/>
      <c r="AH10" s="343">
        <f t="shared" si="2"/>
        <v>0</v>
      </c>
      <c r="AI10" s="343">
        <f t="shared" si="2"/>
        <v>0</v>
      </c>
      <c r="AJ10" s="343">
        <f t="shared" si="2"/>
        <v>0</v>
      </c>
      <c r="AK10" s="343">
        <f t="shared" si="2"/>
        <v>0</v>
      </c>
      <c r="AL10" s="343">
        <f t="shared" si="2"/>
        <v>0</v>
      </c>
      <c r="AM10" s="343">
        <f t="shared" si="2"/>
        <v>0</v>
      </c>
      <c r="AN10" s="343">
        <f t="shared" si="2"/>
        <v>0</v>
      </c>
      <c r="AO10" s="343">
        <f t="shared" si="2"/>
        <v>0</v>
      </c>
      <c r="AP10" s="343">
        <f t="shared" si="2"/>
        <v>0</v>
      </c>
      <c r="AQ10" s="343">
        <f t="shared" si="2"/>
        <v>0</v>
      </c>
      <c r="AR10" s="343">
        <f t="shared" si="2"/>
        <v>0</v>
      </c>
      <c r="AS10" s="343">
        <f t="shared" si="2"/>
        <v>0</v>
      </c>
      <c r="AT10" s="343">
        <f t="shared" si="2"/>
        <v>0</v>
      </c>
      <c r="AU10" s="343">
        <f t="shared" si="2"/>
        <v>0</v>
      </c>
      <c r="AV10" s="343">
        <f t="shared" si="2"/>
        <v>0</v>
      </c>
      <c r="AW10" s="343">
        <f t="shared" si="2"/>
        <v>0</v>
      </c>
      <c r="AX10" s="343">
        <f t="shared" si="3"/>
        <v>0</v>
      </c>
      <c r="AY10" s="343">
        <f t="shared" si="3"/>
        <v>0</v>
      </c>
      <c r="AZ10" s="343">
        <f t="shared" si="3"/>
        <v>0</v>
      </c>
      <c r="BA10" s="343">
        <f t="shared" si="3"/>
        <v>0</v>
      </c>
      <c r="BB10" s="343">
        <f t="shared" si="3"/>
        <v>0</v>
      </c>
      <c r="BC10" s="343">
        <f t="shared" si="3"/>
        <v>0</v>
      </c>
      <c r="BD10" s="343">
        <f t="shared" si="3"/>
        <v>0</v>
      </c>
      <c r="BE10" s="343">
        <f t="shared" si="3"/>
        <v>0</v>
      </c>
      <c r="BF10" s="343">
        <f t="shared" si="3"/>
        <v>0</v>
      </c>
      <c r="BG10" s="343">
        <f t="shared" si="3"/>
        <v>0</v>
      </c>
      <c r="BH10" s="343">
        <f t="shared" si="3"/>
        <v>0</v>
      </c>
      <c r="BI10" s="343">
        <f t="shared" si="3"/>
        <v>0</v>
      </c>
      <c r="BJ10" s="343">
        <f t="shared" si="3"/>
        <v>0</v>
      </c>
      <c r="BK10" s="344">
        <f t="shared" si="3"/>
        <v>0</v>
      </c>
      <c r="BM10" s="84">
        <f t="shared" si="29"/>
        <v>0</v>
      </c>
      <c r="BN10" s="85">
        <f t="shared" si="30"/>
        <v>0</v>
      </c>
      <c r="BO10" s="84">
        <f t="shared" si="4"/>
        <v>0</v>
      </c>
      <c r="BP10" s="85">
        <f t="shared" si="5"/>
        <v>0</v>
      </c>
      <c r="BQ10" s="186">
        <f t="shared" si="31"/>
        <v>0</v>
      </c>
      <c r="BR10" s="191">
        <f t="shared" si="32"/>
        <v>0</v>
      </c>
      <c r="BS10" s="186">
        <f t="shared" si="33"/>
        <v>0</v>
      </c>
      <c r="BT10" s="195">
        <f t="shared" si="34"/>
        <v>0</v>
      </c>
      <c r="BU10" s="18"/>
      <c r="BV10" s="27" t="s">
        <v>267</v>
      </c>
      <c r="BW10" s="255">
        <v>0.5</v>
      </c>
      <c r="BX10"/>
      <c r="BY10" s="21"/>
      <c r="BZ10" s="86">
        <f t="shared" si="35"/>
        <v>3</v>
      </c>
      <c r="CA10" s="87" t="str">
        <f t="shared" si="6"/>
        <v/>
      </c>
      <c r="CB10" s="87" t="str">
        <f t="shared" si="36"/>
        <v/>
      </c>
      <c r="CC10" s="88">
        <f t="shared" si="7"/>
        <v>0.31666666666666698</v>
      </c>
      <c r="CD10" s="88" t="str">
        <f t="shared" si="8"/>
        <v/>
      </c>
      <c r="CE10" s="89">
        <f t="shared" si="9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10"/>
        <v/>
      </c>
      <c r="CR10" s="87">
        <f t="shared" si="11"/>
        <v>0</v>
      </c>
      <c r="CS10" s="87">
        <f t="shared" si="12"/>
        <v>0</v>
      </c>
      <c r="CT10" s="87">
        <f t="shared" si="48"/>
        <v>0.31666666666666698</v>
      </c>
      <c r="CU10" s="92">
        <f t="shared" si="13"/>
        <v>0.31666666666666698</v>
      </c>
      <c r="CV10" s="326">
        <f t="shared" si="49"/>
        <v>0.31666666666666698</v>
      </c>
      <c r="CW10" s="362">
        <f t="shared" si="14"/>
        <v>3.3306690738754696E-16</v>
      </c>
      <c r="CX10" s="362">
        <f t="shared" si="50"/>
        <v>1.6666666666667329E-2</v>
      </c>
      <c r="CY10" s="94" t="str">
        <f t="shared" si="51"/>
        <v>+</v>
      </c>
      <c r="CZ10" s="95">
        <f t="shared" si="52"/>
        <v>1.6666666666667329E-2</v>
      </c>
      <c r="DA10" s="363">
        <f t="shared" si="16"/>
        <v>0</v>
      </c>
      <c r="DB10" s="215">
        <f t="shared" si="17"/>
        <v>0</v>
      </c>
      <c r="DC10" s="58"/>
      <c r="DD10" s="18"/>
      <c r="DE10" s="18"/>
      <c r="DF10" s="204">
        <v>6</v>
      </c>
      <c r="DG10" s="210">
        <v>44398</v>
      </c>
      <c r="DH10" s="209" t="s">
        <v>258</v>
      </c>
      <c r="DI10" s="282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customHeight="1" x14ac:dyDescent="0.25">
      <c r="A11" s="322">
        <f t="shared" si="18"/>
        <v>4</v>
      </c>
      <c r="B11" s="323">
        <f t="shared" si="19"/>
        <v>44200</v>
      </c>
      <c r="C11" s="239"/>
      <c r="D11" s="240"/>
      <c r="E11" s="240"/>
      <c r="F11" s="240"/>
      <c r="G11" s="278"/>
      <c r="H11" s="305" t="str">
        <f t="shared" si="20"/>
        <v/>
      </c>
      <c r="I11" s="307" t="str">
        <f t="shared" si="21"/>
        <v/>
      </c>
      <c r="J11" s="312">
        <f t="shared" si="22"/>
        <v>0</v>
      </c>
      <c r="K11" s="313" t="str">
        <f t="shared" si="23"/>
        <v>+</v>
      </c>
      <c r="L11" s="314">
        <f t="shared" si="24"/>
        <v>1.6666666666667329E-2</v>
      </c>
      <c r="M11" s="315">
        <f t="shared" si="25"/>
        <v>0.40000000040001588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26"/>
        <v>44200</v>
      </c>
      <c r="AA11" s="160">
        <f t="shared" si="27"/>
        <v>44200</v>
      </c>
      <c r="AB11" s="160">
        <f t="shared" si="28"/>
        <v>1</v>
      </c>
      <c r="AC11" s="81">
        <f t="shared" si="0"/>
        <v>2</v>
      </c>
      <c r="AD11" s="160">
        <f t="shared" si="1"/>
        <v>0</v>
      </c>
      <c r="AF11" s="337" t="s">
        <v>119</v>
      </c>
      <c r="AG11" s="345"/>
      <c r="AH11" s="343">
        <f t="shared" si="2"/>
        <v>0</v>
      </c>
      <c r="AI11" s="343">
        <f t="shared" si="2"/>
        <v>0</v>
      </c>
      <c r="AJ11" s="343">
        <f t="shared" si="2"/>
        <v>0</v>
      </c>
      <c r="AK11" s="343">
        <f t="shared" si="2"/>
        <v>0</v>
      </c>
      <c r="AL11" s="343">
        <f t="shared" si="2"/>
        <v>0</v>
      </c>
      <c r="AM11" s="343">
        <f t="shared" si="2"/>
        <v>0</v>
      </c>
      <c r="AN11" s="343">
        <f t="shared" si="2"/>
        <v>0</v>
      </c>
      <c r="AO11" s="343">
        <f t="shared" si="2"/>
        <v>0</v>
      </c>
      <c r="AP11" s="343">
        <f t="shared" si="2"/>
        <v>0</v>
      </c>
      <c r="AQ11" s="343">
        <f t="shared" si="2"/>
        <v>0</v>
      </c>
      <c r="AR11" s="343">
        <f t="shared" si="2"/>
        <v>0</v>
      </c>
      <c r="AS11" s="343">
        <f t="shared" si="2"/>
        <v>0</v>
      </c>
      <c r="AT11" s="343">
        <f t="shared" si="2"/>
        <v>0</v>
      </c>
      <c r="AU11" s="343">
        <f t="shared" si="2"/>
        <v>0</v>
      </c>
      <c r="AV11" s="343">
        <f t="shared" si="2"/>
        <v>0</v>
      </c>
      <c r="AW11" s="343">
        <f t="shared" si="2"/>
        <v>0</v>
      </c>
      <c r="AX11" s="343">
        <f t="shared" si="3"/>
        <v>0</v>
      </c>
      <c r="AY11" s="343">
        <f t="shared" si="3"/>
        <v>0</v>
      </c>
      <c r="AZ11" s="343">
        <f t="shared" si="3"/>
        <v>0</v>
      </c>
      <c r="BA11" s="343">
        <f t="shared" si="3"/>
        <v>0</v>
      </c>
      <c r="BB11" s="343">
        <f t="shared" si="3"/>
        <v>0</v>
      </c>
      <c r="BC11" s="343">
        <f t="shared" si="3"/>
        <v>0</v>
      </c>
      <c r="BD11" s="343">
        <f t="shared" si="3"/>
        <v>0</v>
      </c>
      <c r="BE11" s="343">
        <f t="shared" si="3"/>
        <v>0</v>
      </c>
      <c r="BF11" s="343">
        <f t="shared" si="3"/>
        <v>0</v>
      </c>
      <c r="BG11" s="343">
        <f t="shared" si="3"/>
        <v>0</v>
      </c>
      <c r="BH11" s="343">
        <f t="shared" si="3"/>
        <v>0</v>
      </c>
      <c r="BI11" s="343">
        <f t="shared" si="3"/>
        <v>0</v>
      </c>
      <c r="BJ11" s="343">
        <f t="shared" si="3"/>
        <v>0</v>
      </c>
      <c r="BK11" s="344">
        <f t="shared" si="3"/>
        <v>0</v>
      </c>
      <c r="BM11" s="84">
        <f t="shared" si="29"/>
        <v>0</v>
      </c>
      <c r="BN11" s="85">
        <f t="shared" si="30"/>
        <v>0</v>
      </c>
      <c r="BO11" s="84">
        <f t="shared" si="4"/>
        <v>0</v>
      </c>
      <c r="BP11" s="85">
        <f t="shared" si="5"/>
        <v>0</v>
      </c>
      <c r="BQ11" s="186">
        <f t="shared" si="31"/>
        <v>0</v>
      </c>
      <c r="BR11" s="191">
        <f t="shared" si="32"/>
        <v>0</v>
      </c>
      <c r="BS11" s="186">
        <f t="shared" si="33"/>
        <v>0</v>
      </c>
      <c r="BT11" s="195">
        <f t="shared" si="34"/>
        <v>0</v>
      </c>
      <c r="BU11" s="18"/>
      <c r="BV11" s="27" t="s">
        <v>267</v>
      </c>
      <c r="BW11" s="255">
        <v>0.52083333333333337</v>
      </c>
      <c r="BX11"/>
      <c r="BY11" s="21"/>
      <c r="BZ11" s="86">
        <f t="shared" si="35"/>
        <v>4</v>
      </c>
      <c r="CA11" s="87" t="str">
        <f t="shared" si="6"/>
        <v/>
      </c>
      <c r="CB11" s="87" t="str">
        <f t="shared" si="36"/>
        <v/>
      </c>
      <c r="CC11" s="88" t="str">
        <f t="shared" si="7"/>
        <v/>
      </c>
      <c r="CD11" s="88" t="str">
        <f t="shared" si="8"/>
        <v/>
      </c>
      <c r="CE11" s="89">
        <f t="shared" si="9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10"/>
        <v/>
      </c>
      <c r="CR11" s="87">
        <f t="shared" si="11"/>
        <v>0</v>
      </c>
      <c r="CS11" s="87">
        <f t="shared" si="12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62">
        <f t="shared" si="14"/>
        <v>0</v>
      </c>
      <c r="CX11" s="362">
        <f t="shared" si="50"/>
        <v>1.6666666666667329E-2</v>
      </c>
      <c r="CY11" s="94" t="str">
        <f t="shared" si="51"/>
        <v>+</v>
      </c>
      <c r="CZ11" s="95">
        <f t="shared" si="52"/>
        <v>1.6666666666667329E-2</v>
      </c>
      <c r="DA11" s="363">
        <f t="shared" si="16"/>
        <v>0</v>
      </c>
      <c r="DB11" s="215">
        <f t="shared" si="17"/>
        <v>0</v>
      </c>
      <c r="DC11" s="58"/>
      <c r="DD11" s="18"/>
      <c r="DE11" s="18"/>
      <c r="DF11" s="204">
        <v>7</v>
      </c>
      <c r="DG11" s="210">
        <v>44423</v>
      </c>
      <c r="DH11" s="209" t="s">
        <v>257</v>
      </c>
      <c r="DI11" s="282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customHeight="1" x14ac:dyDescent="0.25">
      <c r="A12" s="322">
        <f t="shared" si="18"/>
        <v>5</v>
      </c>
      <c r="B12" s="323">
        <f t="shared" si="19"/>
        <v>44201</v>
      </c>
      <c r="C12" s="239"/>
      <c r="D12" s="240"/>
      <c r="E12" s="240"/>
      <c r="F12" s="240"/>
      <c r="G12" s="278"/>
      <c r="H12" s="305" t="str">
        <f t="shared" si="20"/>
        <v/>
      </c>
      <c r="I12" s="307" t="str">
        <f t="shared" si="21"/>
        <v/>
      </c>
      <c r="J12" s="312">
        <f t="shared" si="22"/>
        <v>0</v>
      </c>
      <c r="K12" s="313" t="str">
        <f t="shared" si="23"/>
        <v>+</v>
      </c>
      <c r="L12" s="314">
        <f t="shared" si="24"/>
        <v>1.6666666666667329E-2</v>
      </c>
      <c r="M12" s="315">
        <f t="shared" si="25"/>
        <v>0.40000000040001588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26"/>
        <v>44201</v>
      </c>
      <c r="AA12" s="160">
        <f t="shared" si="27"/>
        <v>44201</v>
      </c>
      <c r="AB12" s="160">
        <f t="shared" si="28"/>
        <v>1</v>
      </c>
      <c r="AC12" s="81">
        <f t="shared" si="0"/>
        <v>3</v>
      </c>
      <c r="AD12" s="160">
        <f t="shared" si="1"/>
        <v>0</v>
      </c>
      <c r="AF12" s="337" t="s">
        <v>119</v>
      </c>
      <c r="AG12" s="345"/>
      <c r="AH12" s="343">
        <f t="shared" si="2"/>
        <v>0</v>
      </c>
      <c r="AI12" s="343">
        <f t="shared" si="2"/>
        <v>0</v>
      </c>
      <c r="AJ12" s="343">
        <f t="shared" si="2"/>
        <v>0</v>
      </c>
      <c r="AK12" s="343">
        <f t="shared" si="2"/>
        <v>0</v>
      </c>
      <c r="AL12" s="343">
        <f t="shared" si="2"/>
        <v>0</v>
      </c>
      <c r="AM12" s="343">
        <f t="shared" si="2"/>
        <v>0</v>
      </c>
      <c r="AN12" s="343">
        <f t="shared" si="2"/>
        <v>0</v>
      </c>
      <c r="AO12" s="343">
        <f t="shared" si="2"/>
        <v>0</v>
      </c>
      <c r="AP12" s="343">
        <f t="shared" si="2"/>
        <v>0</v>
      </c>
      <c r="AQ12" s="343">
        <f t="shared" si="2"/>
        <v>0</v>
      </c>
      <c r="AR12" s="343">
        <f t="shared" si="2"/>
        <v>0</v>
      </c>
      <c r="AS12" s="343">
        <f t="shared" si="2"/>
        <v>0</v>
      </c>
      <c r="AT12" s="343">
        <f t="shared" si="2"/>
        <v>0</v>
      </c>
      <c r="AU12" s="343">
        <f t="shared" si="2"/>
        <v>0</v>
      </c>
      <c r="AV12" s="343">
        <f t="shared" si="2"/>
        <v>0</v>
      </c>
      <c r="AW12" s="343">
        <f t="shared" si="2"/>
        <v>0</v>
      </c>
      <c r="AX12" s="343">
        <f t="shared" si="3"/>
        <v>0</v>
      </c>
      <c r="AY12" s="343">
        <f t="shared" si="3"/>
        <v>0</v>
      </c>
      <c r="AZ12" s="343">
        <f t="shared" si="3"/>
        <v>0</v>
      </c>
      <c r="BA12" s="343">
        <f t="shared" si="3"/>
        <v>0</v>
      </c>
      <c r="BB12" s="343">
        <f t="shared" si="3"/>
        <v>0</v>
      </c>
      <c r="BC12" s="343">
        <f t="shared" si="3"/>
        <v>0</v>
      </c>
      <c r="BD12" s="343">
        <f t="shared" si="3"/>
        <v>0</v>
      </c>
      <c r="BE12" s="343">
        <f t="shared" si="3"/>
        <v>0</v>
      </c>
      <c r="BF12" s="343">
        <f t="shared" si="3"/>
        <v>0</v>
      </c>
      <c r="BG12" s="343">
        <f t="shared" si="3"/>
        <v>0</v>
      </c>
      <c r="BH12" s="343">
        <f t="shared" si="3"/>
        <v>0</v>
      </c>
      <c r="BI12" s="343">
        <f t="shared" si="3"/>
        <v>0</v>
      </c>
      <c r="BJ12" s="343">
        <f t="shared" si="3"/>
        <v>0</v>
      </c>
      <c r="BK12" s="344">
        <f t="shared" si="3"/>
        <v>0</v>
      </c>
      <c r="BM12" s="84">
        <f t="shared" si="29"/>
        <v>0</v>
      </c>
      <c r="BN12" s="85">
        <f t="shared" si="30"/>
        <v>0</v>
      </c>
      <c r="BO12" s="84">
        <f t="shared" si="4"/>
        <v>0</v>
      </c>
      <c r="BP12" s="85">
        <f t="shared" si="5"/>
        <v>0</v>
      </c>
      <c r="BQ12" s="186">
        <f t="shared" si="31"/>
        <v>0</v>
      </c>
      <c r="BR12" s="191">
        <f t="shared" si="32"/>
        <v>0</v>
      </c>
      <c r="BS12" s="186">
        <f t="shared" si="33"/>
        <v>0</v>
      </c>
      <c r="BT12" s="195">
        <f t="shared" si="34"/>
        <v>0</v>
      </c>
      <c r="BU12" s="18"/>
      <c r="BV12" s="27" t="s">
        <v>271</v>
      </c>
      <c r="BW12" s="255">
        <v>0.5625</v>
      </c>
      <c r="BX12"/>
      <c r="BY12" s="21"/>
      <c r="BZ12" s="86">
        <f t="shared" si="35"/>
        <v>5</v>
      </c>
      <c r="CA12" s="87" t="str">
        <f t="shared" si="6"/>
        <v/>
      </c>
      <c r="CB12" s="87" t="str">
        <f t="shared" si="36"/>
        <v/>
      </c>
      <c r="CC12" s="88" t="str">
        <f t="shared" si="7"/>
        <v/>
      </c>
      <c r="CD12" s="88" t="str">
        <f t="shared" si="8"/>
        <v/>
      </c>
      <c r="CE12" s="89">
        <f t="shared" si="9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10"/>
        <v/>
      </c>
      <c r="CR12" s="87">
        <f t="shared" si="11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13"/>
        <v>0</v>
      </c>
      <c r="CV12" s="326">
        <f t="shared" si="49"/>
        <v>0</v>
      </c>
      <c r="CW12" s="362">
        <f t="shared" si="14"/>
        <v>0</v>
      </c>
      <c r="CX12" s="362">
        <f t="shared" si="50"/>
        <v>1.6666666666667329E-2</v>
      </c>
      <c r="CY12" s="94" t="str">
        <f t="shared" si="51"/>
        <v>+</v>
      </c>
      <c r="CZ12" s="95">
        <f t="shared" si="52"/>
        <v>1.6666666666667329E-2</v>
      </c>
      <c r="DA12" s="363">
        <f t="shared" si="16"/>
        <v>0</v>
      </c>
      <c r="DB12" s="215">
        <f t="shared" si="17"/>
        <v>0</v>
      </c>
      <c r="DC12" s="58"/>
      <c r="DD12" s="18"/>
      <c r="DE12" s="18"/>
      <c r="DF12" s="204">
        <v>8</v>
      </c>
      <c r="DG12" s="210">
        <v>44501</v>
      </c>
      <c r="DH12" s="209" t="s">
        <v>255</v>
      </c>
      <c r="DI12" s="282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customHeight="1" x14ac:dyDescent="0.25">
      <c r="A13" s="322">
        <f t="shared" si="18"/>
        <v>6</v>
      </c>
      <c r="B13" s="323">
        <f t="shared" si="19"/>
        <v>44202</v>
      </c>
      <c r="C13" s="239"/>
      <c r="D13" s="240"/>
      <c r="E13" s="240"/>
      <c r="F13" s="240"/>
      <c r="G13" s="278"/>
      <c r="H13" s="305" t="str">
        <f t="shared" si="20"/>
        <v/>
      </c>
      <c r="I13" s="307" t="str">
        <f t="shared" si="21"/>
        <v/>
      </c>
      <c r="J13" s="312">
        <f t="shared" si="22"/>
        <v>0</v>
      </c>
      <c r="K13" s="313" t="str">
        <f t="shared" si="23"/>
        <v>+</v>
      </c>
      <c r="L13" s="314">
        <f t="shared" si="24"/>
        <v>1.6666666666667329E-2</v>
      </c>
      <c r="M13" s="315">
        <f t="shared" si="25"/>
        <v>0.40000000040001588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26"/>
        <v>44202</v>
      </c>
      <c r="AA13" s="160">
        <f t="shared" si="27"/>
        <v>44202</v>
      </c>
      <c r="AB13" s="160">
        <f t="shared" si="28"/>
        <v>1</v>
      </c>
      <c r="AC13" s="81">
        <f t="shared" si="0"/>
        <v>4</v>
      </c>
      <c r="AD13" s="160">
        <f t="shared" si="1"/>
        <v>0</v>
      </c>
      <c r="AF13" s="337" t="s">
        <v>119</v>
      </c>
      <c r="AG13" s="345"/>
      <c r="AH13" s="343">
        <f t="shared" si="2"/>
        <v>0</v>
      </c>
      <c r="AI13" s="343">
        <f t="shared" si="2"/>
        <v>0</v>
      </c>
      <c r="AJ13" s="343">
        <f t="shared" si="2"/>
        <v>0</v>
      </c>
      <c r="AK13" s="343">
        <f t="shared" si="2"/>
        <v>0</v>
      </c>
      <c r="AL13" s="343">
        <f t="shared" si="2"/>
        <v>0</v>
      </c>
      <c r="AM13" s="343">
        <f t="shared" si="2"/>
        <v>0</v>
      </c>
      <c r="AN13" s="343">
        <f t="shared" si="2"/>
        <v>0</v>
      </c>
      <c r="AO13" s="343">
        <f t="shared" si="2"/>
        <v>0</v>
      </c>
      <c r="AP13" s="343">
        <f t="shared" si="2"/>
        <v>0</v>
      </c>
      <c r="AQ13" s="343">
        <f t="shared" si="2"/>
        <v>0</v>
      </c>
      <c r="AR13" s="343">
        <f t="shared" si="2"/>
        <v>0</v>
      </c>
      <c r="AS13" s="343">
        <f t="shared" si="2"/>
        <v>0</v>
      </c>
      <c r="AT13" s="343">
        <f t="shared" si="2"/>
        <v>0</v>
      </c>
      <c r="AU13" s="343">
        <f t="shared" si="2"/>
        <v>0</v>
      </c>
      <c r="AV13" s="343">
        <f t="shared" si="2"/>
        <v>0</v>
      </c>
      <c r="AW13" s="343">
        <f t="shared" si="2"/>
        <v>0</v>
      </c>
      <c r="AX13" s="343">
        <f t="shared" si="3"/>
        <v>0</v>
      </c>
      <c r="AY13" s="343">
        <f t="shared" si="3"/>
        <v>0</v>
      </c>
      <c r="AZ13" s="343">
        <f t="shared" si="3"/>
        <v>0</v>
      </c>
      <c r="BA13" s="343">
        <f t="shared" si="3"/>
        <v>0</v>
      </c>
      <c r="BB13" s="343">
        <f t="shared" si="3"/>
        <v>0</v>
      </c>
      <c r="BC13" s="343">
        <f t="shared" si="3"/>
        <v>0</v>
      </c>
      <c r="BD13" s="343">
        <f t="shared" si="3"/>
        <v>0</v>
      </c>
      <c r="BE13" s="343">
        <f t="shared" si="3"/>
        <v>0</v>
      </c>
      <c r="BF13" s="343">
        <f t="shared" si="3"/>
        <v>0</v>
      </c>
      <c r="BG13" s="343">
        <f t="shared" si="3"/>
        <v>0</v>
      </c>
      <c r="BH13" s="343">
        <f t="shared" si="3"/>
        <v>0</v>
      </c>
      <c r="BI13" s="343">
        <f t="shared" si="3"/>
        <v>0</v>
      </c>
      <c r="BJ13" s="343">
        <f t="shared" si="3"/>
        <v>0</v>
      </c>
      <c r="BK13" s="344">
        <f t="shared" si="3"/>
        <v>0</v>
      </c>
      <c r="BM13" s="84">
        <f t="shared" si="29"/>
        <v>0</v>
      </c>
      <c r="BN13" s="85">
        <f t="shared" si="30"/>
        <v>0</v>
      </c>
      <c r="BO13" s="84">
        <f t="shared" si="4"/>
        <v>0</v>
      </c>
      <c r="BP13" s="85">
        <f t="shared" si="5"/>
        <v>0</v>
      </c>
      <c r="BQ13" s="186">
        <f t="shared" si="31"/>
        <v>0</v>
      </c>
      <c r="BR13" s="191">
        <f t="shared" si="32"/>
        <v>0</v>
      </c>
      <c r="BS13" s="186">
        <f t="shared" si="33"/>
        <v>0</v>
      </c>
      <c r="BT13" s="195">
        <f t="shared" si="34"/>
        <v>0</v>
      </c>
      <c r="BU13" s="18"/>
      <c r="BV13" s="27" t="s">
        <v>271</v>
      </c>
      <c r="BW13" s="255">
        <v>0.58333333333333337</v>
      </c>
      <c r="BX13"/>
      <c r="BY13" s="21"/>
      <c r="BZ13" s="86">
        <f t="shared" si="35"/>
        <v>6</v>
      </c>
      <c r="CA13" s="87" t="str">
        <f t="shared" si="6"/>
        <v/>
      </c>
      <c r="CB13" s="87" t="str">
        <f t="shared" si="36"/>
        <v/>
      </c>
      <c r="CC13" s="88" t="str">
        <f t="shared" si="7"/>
        <v/>
      </c>
      <c r="CD13" s="88" t="str">
        <f t="shared" si="8"/>
        <v/>
      </c>
      <c r="CE13" s="89">
        <f t="shared" si="9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10"/>
        <v/>
      </c>
      <c r="CR13" s="87">
        <f t="shared" si="11"/>
        <v>0</v>
      </c>
      <c r="CS13" s="87">
        <f t="shared" si="12"/>
        <v>0</v>
      </c>
      <c r="CT13" s="87">
        <f t="shared" si="48"/>
        <v>0</v>
      </c>
      <c r="CU13" s="92">
        <f t="shared" si="13"/>
        <v>0</v>
      </c>
      <c r="CV13" s="326">
        <f t="shared" si="49"/>
        <v>0</v>
      </c>
      <c r="CW13" s="362">
        <f t="shared" si="14"/>
        <v>0</v>
      </c>
      <c r="CX13" s="362">
        <f t="shared" si="50"/>
        <v>1.6666666666667329E-2</v>
      </c>
      <c r="CY13" s="94" t="str">
        <f t="shared" si="51"/>
        <v>+</v>
      </c>
      <c r="CZ13" s="95">
        <f t="shared" si="52"/>
        <v>1.6666666666667329E-2</v>
      </c>
      <c r="DA13" s="363">
        <f t="shared" si="16"/>
        <v>0</v>
      </c>
      <c r="DB13" s="215">
        <f t="shared" si="17"/>
        <v>0</v>
      </c>
      <c r="DC13" s="58"/>
      <c r="DD13" s="18"/>
      <c r="DE13" s="18"/>
      <c r="DF13" s="204">
        <v>9</v>
      </c>
      <c r="DG13" s="210">
        <v>44511</v>
      </c>
      <c r="DH13" s="209" t="s">
        <v>259</v>
      </c>
      <c r="DI13" s="282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customHeight="1" x14ac:dyDescent="0.25">
      <c r="A14" s="322">
        <f t="shared" si="18"/>
        <v>7</v>
      </c>
      <c r="B14" s="323">
        <f t="shared" si="19"/>
        <v>44203</v>
      </c>
      <c r="C14" s="239"/>
      <c r="D14" s="240"/>
      <c r="E14" s="240"/>
      <c r="F14" s="240"/>
      <c r="G14" s="278"/>
      <c r="H14" s="305" t="str">
        <f t="shared" si="20"/>
        <v/>
      </c>
      <c r="I14" s="307" t="str">
        <f t="shared" si="21"/>
        <v/>
      </c>
      <c r="J14" s="312">
        <f t="shared" si="22"/>
        <v>0</v>
      </c>
      <c r="K14" s="313" t="str">
        <f t="shared" si="23"/>
        <v>+</v>
      </c>
      <c r="L14" s="314">
        <f t="shared" si="24"/>
        <v>1.6666666666667329E-2</v>
      </c>
      <c r="M14" s="315">
        <f t="shared" si="25"/>
        <v>0.40000000040001588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26"/>
        <v>44203</v>
      </c>
      <c r="AA14" s="160">
        <f t="shared" si="27"/>
        <v>44203</v>
      </c>
      <c r="AB14" s="160">
        <f t="shared" si="28"/>
        <v>1</v>
      </c>
      <c r="AC14" s="81">
        <f t="shared" si="0"/>
        <v>5</v>
      </c>
      <c r="AD14" s="160">
        <f t="shared" si="1"/>
        <v>0</v>
      </c>
      <c r="AF14" s="337" t="s">
        <v>119</v>
      </c>
      <c r="AG14" s="345"/>
      <c r="AH14" s="343">
        <f t="shared" si="2"/>
        <v>0</v>
      </c>
      <c r="AI14" s="343">
        <f t="shared" si="2"/>
        <v>0</v>
      </c>
      <c r="AJ14" s="343">
        <f t="shared" si="2"/>
        <v>0</v>
      </c>
      <c r="AK14" s="343">
        <f t="shared" si="2"/>
        <v>0</v>
      </c>
      <c r="AL14" s="343">
        <f t="shared" si="2"/>
        <v>0</v>
      </c>
      <c r="AM14" s="343">
        <f t="shared" si="2"/>
        <v>0</v>
      </c>
      <c r="AN14" s="343">
        <f t="shared" si="2"/>
        <v>0</v>
      </c>
      <c r="AO14" s="343">
        <f t="shared" si="2"/>
        <v>0</v>
      </c>
      <c r="AP14" s="343">
        <f t="shared" si="2"/>
        <v>0</v>
      </c>
      <c r="AQ14" s="343">
        <f t="shared" si="2"/>
        <v>0</v>
      </c>
      <c r="AR14" s="343">
        <f t="shared" si="2"/>
        <v>0</v>
      </c>
      <c r="AS14" s="343">
        <f t="shared" si="2"/>
        <v>0</v>
      </c>
      <c r="AT14" s="343">
        <f t="shared" si="2"/>
        <v>0</v>
      </c>
      <c r="AU14" s="343">
        <f t="shared" si="2"/>
        <v>0</v>
      </c>
      <c r="AV14" s="343">
        <f t="shared" si="2"/>
        <v>0</v>
      </c>
      <c r="AW14" s="343">
        <f t="shared" si="2"/>
        <v>0</v>
      </c>
      <c r="AX14" s="343">
        <f t="shared" si="3"/>
        <v>0</v>
      </c>
      <c r="AY14" s="343">
        <f t="shared" si="3"/>
        <v>0</v>
      </c>
      <c r="AZ14" s="343">
        <f t="shared" si="3"/>
        <v>0</v>
      </c>
      <c r="BA14" s="343">
        <f t="shared" si="3"/>
        <v>0</v>
      </c>
      <c r="BB14" s="343">
        <f t="shared" si="3"/>
        <v>0</v>
      </c>
      <c r="BC14" s="343">
        <f t="shared" si="3"/>
        <v>0</v>
      </c>
      <c r="BD14" s="343">
        <f t="shared" si="3"/>
        <v>0</v>
      </c>
      <c r="BE14" s="343">
        <f t="shared" si="3"/>
        <v>0</v>
      </c>
      <c r="BF14" s="343">
        <f t="shared" si="3"/>
        <v>0</v>
      </c>
      <c r="BG14" s="343">
        <f t="shared" si="3"/>
        <v>0</v>
      </c>
      <c r="BH14" s="343">
        <f t="shared" si="3"/>
        <v>0</v>
      </c>
      <c r="BI14" s="343">
        <f t="shared" si="3"/>
        <v>0</v>
      </c>
      <c r="BJ14" s="343">
        <f t="shared" si="3"/>
        <v>0</v>
      </c>
      <c r="BK14" s="344">
        <f t="shared" si="3"/>
        <v>0</v>
      </c>
      <c r="BM14" s="84">
        <f t="shared" si="29"/>
        <v>0</v>
      </c>
      <c r="BN14" s="85">
        <f t="shared" si="30"/>
        <v>0</v>
      </c>
      <c r="BO14" s="84">
        <f t="shared" si="4"/>
        <v>0</v>
      </c>
      <c r="BP14" s="85">
        <f t="shared" si="5"/>
        <v>0</v>
      </c>
      <c r="BQ14" s="186">
        <f t="shared" si="31"/>
        <v>0</v>
      </c>
      <c r="BR14" s="191">
        <f t="shared" si="32"/>
        <v>0</v>
      </c>
      <c r="BS14" s="186">
        <f t="shared" si="33"/>
        <v>0</v>
      </c>
      <c r="BT14" s="195">
        <f t="shared" si="34"/>
        <v>0</v>
      </c>
      <c r="BU14" s="18"/>
      <c r="BV14" s="27"/>
      <c r="BW14" s="255">
        <v>0.1875</v>
      </c>
      <c r="BX14"/>
      <c r="BY14" s="21"/>
      <c r="BZ14" s="86">
        <f t="shared" si="35"/>
        <v>7</v>
      </c>
      <c r="CA14" s="87" t="str">
        <f t="shared" si="6"/>
        <v/>
      </c>
      <c r="CB14" s="87" t="str">
        <f t="shared" si="36"/>
        <v/>
      </c>
      <c r="CC14" s="88" t="str">
        <f t="shared" si="7"/>
        <v/>
      </c>
      <c r="CD14" s="88" t="str">
        <f t="shared" si="8"/>
        <v/>
      </c>
      <c r="CE14" s="89">
        <f t="shared" si="9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10"/>
        <v/>
      </c>
      <c r="CR14" s="87">
        <f t="shared" si="11"/>
        <v>0</v>
      </c>
      <c r="CS14" s="87">
        <f t="shared" si="12"/>
        <v>0</v>
      </c>
      <c r="CT14" s="87">
        <f t="shared" si="48"/>
        <v>0</v>
      </c>
      <c r="CU14" s="92">
        <f t="shared" si="13"/>
        <v>0</v>
      </c>
      <c r="CV14" s="326">
        <f t="shared" si="49"/>
        <v>0</v>
      </c>
      <c r="CW14" s="362">
        <f t="shared" si="14"/>
        <v>0</v>
      </c>
      <c r="CX14" s="362">
        <f t="shared" si="50"/>
        <v>1.6666666666667329E-2</v>
      </c>
      <c r="CY14" s="94" t="str">
        <f t="shared" si="51"/>
        <v>+</v>
      </c>
      <c r="CZ14" s="95">
        <f t="shared" si="52"/>
        <v>1.6666666666667329E-2</v>
      </c>
      <c r="DA14" s="363">
        <f t="shared" si="16"/>
        <v>0</v>
      </c>
      <c r="DB14" s="215">
        <f t="shared" si="17"/>
        <v>0</v>
      </c>
      <c r="DC14" s="58"/>
      <c r="DD14" s="18"/>
      <c r="DE14" s="18"/>
      <c r="DF14" s="204">
        <v>10</v>
      </c>
      <c r="DG14" s="210">
        <v>44555</v>
      </c>
      <c r="DH14" s="209" t="s">
        <v>252</v>
      </c>
      <c r="DI14" s="282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customHeight="1" x14ac:dyDescent="0.25">
      <c r="A15" s="322">
        <f t="shared" si="18"/>
        <v>8</v>
      </c>
      <c r="B15" s="323">
        <f t="shared" si="19"/>
        <v>44204</v>
      </c>
      <c r="C15" s="239"/>
      <c r="D15" s="240"/>
      <c r="E15" s="240"/>
      <c r="F15" s="240"/>
      <c r="G15" s="278"/>
      <c r="H15" s="305" t="str">
        <f t="shared" si="20"/>
        <v/>
      </c>
      <c r="I15" s="307" t="str">
        <f t="shared" si="21"/>
        <v/>
      </c>
      <c r="J15" s="312">
        <f t="shared" si="22"/>
        <v>0</v>
      </c>
      <c r="K15" s="313" t="str">
        <f t="shared" si="23"/>
        <v>+</v>
      </c>
      <c r="L15" s="314">
        <f t="shared" si="24"/>
        <v>1.6666666666667329E-2</v>
      </c>
      <c r="M15" s="315">
        <f t="shared" si="25"/>
        <v>0.40000000040001588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26"/>
        <v>44204</v>
      </c>
      <c r="AA15" s="160">
        <f t="shared" si="27"/>
        <v>44204</v>
      </c>
      <c r="AB15" s="160">
        <f t="shared" si="28"/>
        <v>1</v>
      </c>
      <c r="AC15" s="81">
        <f t="shared" si="0"/>
        <v>6</v>
      </c>
      <c r="AD15" s="160">
        <f t="shared" si="1"/>
        <v>0</v>
      </c>
      <c r="AF15" s="337" t="s">
        <v>119</v>
      </c>
      <c r="AG15" s="345"/>
      <c r="AH15" s="343">
        <f t="shared" si="2"/>
        <v>0</v>
      </c>
      <c r="AI15" s="343">
        <f t="shared" si="2"/>
        <v>0</v>
      </c>
      <c r="AJ15" s="343">
        <f t="shared" si="2"/>
        <v>0</v>
      </c>
      <c r="AK15" s="343">
        <f t="shared" si="2"/>
        <v>0</v>
      </c>
      <c r="AL15" s="343">
        <f t="shared" si="2"/>
        <v>0</v>
      </c>
      <c r="AM15" s="343">
        <f t="shared" si="2"/>
        <v>0</v>
      </c>
      <c r="AN15" s="343">
        <f t="shared" si="2"/>
        <v>0</v>
      </c>
      <c r="AO15" s="343">
        <f t="shared" si="2"/>
        <v>0</v>
      </c>
      <c r="AP15" s="343">
        <f t="shared" si="2"/>
        <v>0</v>
      </c>
      <c r="AQ15" s="343">
        <f t="shared" si="2"/>
        <v>0</v>
      </c>
      <c r="AR15" s="343">
        <f t="shared" si="2"/>
        <v>0</v>
      </c>
      <c r="AS15" s="343">
        <f t="shared" si="2"/>
        <v>0</v>
      </c>
      <c r="AT15" s="343">
        <f t="shared" si="2"/>
        <v>0</v>
      </c>
      <c r="AU15" s="343">
        <f t="shared" si="2"/>
        <v>0</v>
      </c>
      <c r="AV15" s="343">
        <f t="shared" si="2"/>
        <v>0</v>
      </c>
      <c r="AW15" s="343">
        <f t="shared" si="2"/>
        <v>0</v>
      </c>
      <c r="AX15" s="343">
        <f t="shared" si="3"/>
        <v>0</v>
      </c>
      <c r="AY15" s="343">
        <f t="shared" si="3"/>
        <v>0</v>
      </c>
      <c r="AZ15" s="343">
        <f t="shared" si="3"/>
        <v>0</v>
      </c>
      <c r="BA15" s="343">
        <f t="shared" si="3"/>
        <v>0</v>
      </c>
      <c r="BB15" s="343">
        <f t="shared" si="3"/>
        <v>0</v>
      </c>
      <c r="BC15" s="343">
        <f t="shared" si="3"/>
        <v>0</v>
      </c>
      <c r="BD15" s="343">
        <f t="shared" si="3"/>
        <v>0</v>
      </c>
      <c r="BE15" s="343">
        <f t="shared" si="3"/>
        <v>0</v>
      </c>
      <c r="BF15" s="343">
        <f t="shared" si="3"/>
        <v>0</v>
      </c>
      <c r="BG15" s="343">
        <f t="shared" si="3"/>
        <v>0</v>
      </c>
      <c r="BH15" s="343">
        <f t="shared" si="3"/>
        <v>0</v>
      </c>
      <c r="BI15" s="343">
        <f t="shared" si="3"/>
        <v>0</v>
      </c>
      <c r="BJ15" s="343">
        <f t="shared" si="3"/>
        <v>0</v>
      </c>
      <c r="BK15" s="344">
        <f t="shared" si="3"/>
        <v>0</v>
      </c>
      <c r="BM15" s="84">
        <f t="shared" si="29"/>
        <v>0</v>
      </c>
      <c r="BN15" s="85">
        <f t="shared" si="30"/>
        <v>0</v>
      </c>
      <c r="BO15" s="84">
        <f t="shared" si="4"/>
        <v>0</v>
      </c>
      <c r="BP15" s="85">
        <f t="shared" si="5"/>
        <v>0</v>
      </c>
      <c r="BQ15" s="186">
        <f t="shared" si="31"/>
        <v>0</v>
      </c>
      <c r="BR15" s="191">
        <f t="shared" si="32"/>
        <v>0</v>
      </c>
      <c r="BS15" s="186">
        <f t="shared" si="33"/>
        <v>0</v>
      </c>
      <c r="BT15" s="195">
        <f t="shared" si="34"/>
        <v>0</v>
      </c>
      <c r="BU15" s="18"/>
      <c r="BV15" s="27"/>
      <c r="BW15" s="255"/>
      <c r="BX15"/>
      <c r="BY15" s="21"/>
      <c r="BZ15" s="86">
        <f t="shared" si="35"/>
        <v>8</v>
      </c>
      <c r="CA15" s="87" t="str">
        <f t="shared" si="6"/>
        <v/>
      </c>
      <c r="CB15" s="87" t="str">
        <f t="shared" si="36"/>
        <v/>
      </c>
      <c r="CC15" s="88" t="str">
        <f t="shared" si="7"/>
        <v/>
      </c>
      <c r="CD15" s="88" t="str">
        <f t="shared" si="8"/>
        <v/>
      </c>
      <c r="CE15" s="89">
        <f t="shared" si="9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10"/>
        <v/>
      </c>
      <c r="CR15" s="87">
        <f t="shared" si="11"/>
        <v>0</v>
      </c>
      <c r="CS15" s="87">
        <f t="shared" si="12"/>
        <v>0</v>
      </c>
      <c r="CT15" s="87">
        <f t="shared" si="48"/>
        <v>0</v>
      </c>
      <c r="CU15" s="92">
        <f t="shared" si="13"/>
        <v>0</v>
      </c>
      <c r="CV15" s="326">
        <f t="shared" si="49"/>
        <v>0</v>
      </c>
      <c r="CW15" s="362">
        <f t="shared" si="14"/>
        <v>0</v>
      </c>
      <c r="CX15" s="362">
        <f t="shared" si="50"/>
        <v>1.6666666666667329E-2</v>
      </c>
      <c r="CY15" s="94" t="str">
        <f t="shared" si="51"/>
        <v>+</v>
      </c>
      <c r="CZ15" s="95">
        <f t="shared" si="52"/>
        <v>1.6666666666667329E-2</v>
      </c>
      <c r="DA15" s="363">
        <f t="shared" si="16"/>
        <v>0</v>
      </c>
      <c r="DB15" s="215">
        <f t="shared" si="17"/>
        <v>0</v>
      </c>
      <c r="DC15" s="58"/>
      <c r="DD15" s="18"/>
      <c r="DE15" s="18"/>
      <c r="DF15" s="204">
        <v>11</v>
      </c>
      <c r="DG15" s="210">
        <v>44556</v>
      </c>
      <c r="DH15" s="209" t="s">
        <v>253</v>
      </c>
      <c r="DI15" s="282" t="s">
        <v>289</v>
      </c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customHeight="1" x14ac:dyDescent="0.25">
      <c r="A16" s="322">
        <f t="shared" si="18"/>
        <v>9</v>
      </c>
      <c r="B16" s="323">
        <f t="shared" si="19"/>
        <v>44205</v>
      </c>
      <c r="C16" s="239"/>
      <c r="D16" s="240"/>
      <c r="E16" s="240"/>
      <c r="F16" s="240"/>
      <c r="G16" s="278"/>
      <c r="H16" s="305">
        <f t="shared" si="20"/>
        <v>21</v>
      </c>
      <c r="I16" s="307" t="str">
        <f t="shared" si="21"/>
        <v/>
      </c>
      <c r="J16" s="312">
        <f t="shared" si="22"/>
        <v>0.31666666666666698</v>
      </c>
      <c r="K16" s="313" t="str">
        <f t="shared" si="23"/>
        <v>+</v>
      </c>
      <c r="L16" s="314">
        <f t="shared" si="24"/>
        <v>1.6666666666667662E-2</v>
      </c>
      <c r="M16" s="315">
        <f t="shared" si="25"/>
        <v>0.40000000040002393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26"/>
        <v>44205</v>
      </c>
      <c r="AA16" s="160">
        <f t="shared" si="27"/>
        <v>44205</v>
      </c>
      <c r="AB16" s="160">
        <f t="shared" si="28"/>
        <v>1</v>
      </c>
      <c r="AC16" s="81">
        <f t="shared" si="0"/>
        <v>0</v>
      </c>
      <c r="AD16" s="160">
        <f t="shared" si="1"/>
        <v>0</v>
      </c>
      <c r="AF16" s="337" t="s">
        <v>119</v>
      </c>
      <c r="AG16" s="345"/>
      <c r="AH16" s="343">
        <f t="shared" si="2"/>
        <v>0</v>
      </c>
      <c r="AI16" s="343">
        <f t="shared" si="2"/>
        <v>0</v>
      </c>
      <c r="AJ16" s="343">
        <f t="shared" si="2"/>
        <v>0</v>
      </c>
      <c r="AK16" s="343">
        <f t="shared" si="2"/>
        <v>0</v>
      </c>
      <c r="AL16" s="343">
        <f t="shared" si="2"/>
        <v>0</v>
      </c>
      <c r="AM16" s="343">
        <f t="shared" si="2"/>
        <v>0</v>
      </c>
      <c r="AN16" s="343">
        <f t="shared" si="2"/>
        <v>0</v>
      </c>
      <c r="AO16" s="343">
        <f t="shared" si="2"/>
        <v>0</v>
      </c>
      <c r="AP16" s="343">
        <f t="shared" si="2"/>
        <v>0</v>
      </c>
      <c r="AQ16" s="343">
        <f t="shared" si="2"/>
        <v>0</v>
      </c>
      <c r="AR16" s="343">
        <f t="shared" si="2"/>
        <v>0</v>
      </c>
      <c r="AS16" s="343">
        <f t="shared" si="2"/>
        <v>0</v>
      </c>
      <c r="AT16" s="343">
        <f t="shared" si="2"/>
        <v>0</v>
      </c>
      <c r="AU16" s="343">
        <f t="shared" si="2"/>
        <v>0</v>
      </c>
      <c r="AV16" s="343">
        <f t="shared" si="2"/>
        <v>0</v>
      </c>
      <c r="AW16" s="343">
        <f t="shared" si="2"/>
        <v>0</v>
      </c>
      <c r="AX16" s="343">
        <f t="shared" si="3"/>
        <v>0</v>
      </c>
      <c r="AY16" s="343">
        <f t="shared" si="3"/>
        <v>0</v>
      </c>
      <c r="AZ16" s="343">
        <f t="shared" si="3"/>
        <v>0</v>
      </c>
      <c r="BA16" s="343">
        <f t="shared" si="3"/>
        <v>0</v>
      </c>
      <c r="BB16" s="343">
        <f t="shared" si="3"/>
        <v>0</v>
      </c>
      <c r="BC16" s="343">
        <f t="shared" si="3"/>
        <v>0</v>
      </c>
      <c r="BD16" s="343">
        <f t="shared" si="3"/>
        <v>0</v>
      </c>
      <c r="BE16" s="343">
        <f t="shared" si="3"/>
        <v>0</v>
      </c>
      <c r="BF16" s="343">
        <f t="shared" si="3"/>
        <v>0</v>
      </c>
      <c r="BG16" s="343">
        <f t="shared" si="3"/>
        <v>0</v>
      </c>
      <c r="BH16" s="343">
        <f t="shared" si="3"/>
        <v>0</v>
      </c>
      <c r="BI16" s="343">
        <f t="shared" si="3"/>
        <v>0</v>
      </c>
      <c r="BJ16" s="343">
        <f t="shared" si="3"/>
        <v>0</v>
      </c>
      <c r="BK16" s="344">
        <f t="shared" si="3"/>
        <v>0</v>
      </c>
      <c r="BM16" s="84">
        <f t="shared" si="29"/>
        <v>0</v>
      </c>
      <c r="BN16" s="85">
        <f t="shared" si="30"/>
        <v>0</v>
      </c>
      <c r="BO16" s="84">
        <f t="shared" si="4"/>
        <v>0</v>
      </c>
      <c r="BP16" s="85">
        <f t="shared" si="5"/>
        <v>0</v>
      </c>
      <c r="BQ16" s="186">
        <f t="shared" si="31"/>
        <v>0</v>
      </c>
      <c r="BR16" s="191">
        <f t="shared" si="32"/>
        <v>0</v>
      </c>
      <c r="BS16" s="186">
        <f t="shared" si="33"/>
        <v>0</v>
      </c>
      <c r="BT16" s="195">
        <f t="shared" si="34"/>
        <v>0</v>
      </c>
      <c r="BU16" s="18"/>
      <c r="BV16" s="27" t="s">
        <v>204</v>
      </c>
      <c r="BW16" s="255">
        <v>0.77083333333333337</v>
      </c>
      <c r="BX16"/>
      <c r="BY16" s="21"/>
      <c r="BZ16" s="86">
        <f t="shared" si="35"/>
        <v>9</v>
      </c>
      <c r="CA16" s="87" t="str">
        <f t="shared" si="6"/>
        <v/>
      </c>
      <c r="CB16" s="87" t="str">
        <f t="shared" si="36"/>
        <v/>
      </c>
      <c r="CC16" s="88">
        <f t="shared" si="7"/>
        <v>0.31666666666666698</v>
      </c>
      <c r="CD16" s="88" t="str">
        <f t="shared" si="8"/>
        <v/>
      </c>
      <c r="CE16" s="89">
        <f t="shared" si="9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10"/>
        <v/>
      </c>
      <c r="CR16" s="87">
        <f t="shared" si="11"/>
        <v>0</v>
      </c>
      <c r="CS16" s="87">
        <f t="shared" si="12"/>
        <v>0</v>
      </c>
      <c r="CT16" s="87">
        <f t="shared" si="48"/>
        <v>0.31666666666666698</v>
      </c>
      <c r="CU16" s="92">
        <f t="shared" si="13"/>
        <v>0.31666666666666698</v>
      </c>
      <c r="CV16" s="326">
        <f t="shared" si="49"/>
        <v>0.31666666666666698</v>
      </c>
      <c r="CW16" s="362">
        <f t="shared" si="14"/>
        <v>3.3306690738754696E-16</v>
      </c>
      <c r="CX16" s="362">
        <f t="shared" si="50"/>
        <v>1.6666666666667662E-2</v>
      </c>
      <c r="CY16" s="94" t="str">
        <f t="shared" si="51"/>
        <v>+</v>
      </c>
      <c r="CZ16" s="95">
        <f t="shared" si="52"/>
        <v>1.6666666666667662E-2</v>
      </c>
      <c r="DA16" s="363">
        <f t="shared" si="16"/>
        <v>0</v>
      </c>
      <c r="DB16" s="215">
        <f t="shared" si="17"/>
        <v>0</v>
      </c>
      <c r="DC16" s="58"/>
      <c r="DD16" s="18"/>
      <c r="DE16" s="18"/>
      <c r="DF16" s="204">
        <v>12</v>
      </c>
      <c r="DG16" s="210"/>
      <c r="DH16" s="209" t="s">
        <v>256</v>
      </c>
      <c r="DI16" s="282" t="s">
        <v>285</v>
      </c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customHeight="1" x14ac:dyDescent="0.25">
      <c r="A17" s="322">
        <f t="shared" si="18"/>
        <v>10</v>
      </c>
      <c r="B17" s="323">
        <f t="shared" si="19"/>
        <v>44206</v>
      </c>
      <c r="C17" s="239"/>
      <c r="D17" s="240"/>
      <c r="E17" s="240"/>
      <c r="F17" s="240"/>
      <c r="G17" s="278"/>
      <c r="H17" s="305">
        <f t="shared" si="20"/>
        <v>1</v>
      </c>
      <c r="I17" s="307" t="str">
        <f t="shared" si="21"/>
        <v/>
      </c>
      <c r="J17" s="312">
        <f t="shared" si="22"/>
        <v>0.31666666666666698</v>
      </c>
      <c r="K17" s="313" t="str">
        <f t="shared" si="23"/>
        <v>+</v>
      </c>
      <c r="L17" s="314">
        <f t="shared" si="24"/>
        <v>1.6666666666667995E-2</v>
      </c>
      <c r="M17" s="315">
        <f t="shared" si="25"/>
        <v>0.40000000040003186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26"/>
        <v>44206</v>
      </c>
      <c r="AA17" s="160">
        <f t="shared" si="27"/>
        <v>44206</v>
      </c>
      <c r="AB17" s="160">
        <f t="shared" si="28"/>
        <v>1</v>
      </c>
      <c r="AC17" s="81">
        <f t="shared" si="0"/>
        <v>1</v>
      </c>
      <c r="AD17" s="160">
        <f t="shared" si="1"/>
        <v>0</v>
      </c>
      <c r="AF17" s="337" t="s">
        <v>119</v>
      </c>
      <c r="AG17" s="345"/>
      <c r="AH17" s="343">
        <f t="shared" si="2"/>
        <v>0</v>
      </c>
      <c r="AI17" s="343">
        <f t="shared" si="2"/>
        <v>0</v>
      </c>
      <c r="AJ17" s="343">
        <f t="shared" si="2"/>
        <v>0</v>
      </c>
      <c r="AK17" s="343">
        <f t="shared" si="2"/>
        <v>0</v>
      </c>
      <c r="AL17" s="343">
        <f t="shared" si="2"/>
        <v>0</v>
      </c>
      <c r="AM17" s="343">
        <f t="shared" si="2"/>
        <v>0</v>
      </c>
      <c r="AN17" s="343">
        <f t="shared" si="2"/>
        <v>0</v>
      </c>
      <c r="AO17" s="343">
        <f t="shared" si="2"/>
        <v>0</v>
      </c>
      <c r="AP17" s="343">
        <f t="shared" si="2"/>
        <v>0</v>
      </c>
      <c r="AQ17" s="343">
        <f t="shared" si="2"/>
        <v>0</v>
      </c>
      <c r="AR17" s="343">
        <f t="shared" si="2"/>
        <v>0</v>
      </c>
      <c r="AS17" s="343">
        <f t="shared" si="2"/>
        <v>0</v>
      </c>
      <c r="AT17" s="343">
        <f t="shared" si="2"/>
        <v>0</v>
      </c>
      <c r="AU17" s="343">
        <f t="shared" si="2"/>
        <v>0</v>
      </c>
      <c r="AV17" s="343">
        <f t="shared" si="2"/>
        <v>0</v>
      </c>
      <c r="AW17" s="343">
        <f t="shared" si="2"/>
        <v>0</v>
      </c>
      <c r="AX17" s="343">
        <f t="shared" si="3"/>
        <v>0</v>
      </c>
      <c r="AY17" s="343">
        <f t="shared" si="3"/>
        <v>0</v>
      </c>
      <c r="AZ17" s="343">
        <f t="shared" si="3"/>
        <v>0</v>
      </c>
      <c r="BA17" s="343">
        <f t="shared" si="3"/>
        <v>0</v>
      </c>
      <c r="BB17" s="343">
        <f t="shared" si="3"/>
        <v>0</v>
      </c>
      <c r="BC17" s="343">
        <f t="shared" si="3"/>
        <v>0</v>
      </c>
      <c r="BD17" s="343">
        <f t="shared" si="3"/>
        <v>0</v>
      </c>
      <c r="BE17" s="343">
        <f t="shared" si="3"/>
        <v>0</v>
      </c>
      <c r="BF17" s="343">
        <f t="shared" si="3"/>
        <v>0</v>
      </c>
      <c r="BG17" s="343">
        <f t="shared" si="3"/>
        <v>0</v>
      </c>
      <c r="BH17" s="343">
        <f t="shared" si="3"/>
        <v>0</v>
      </c>
      <c r="BI17" s="343">
        <f t="shared" si="3"/>
        <v>0</v>
      </c>
      <c r="BJ17" s="343">
        <f t="shared" si="3"/>
        <v>0</v>
      </c>
      <c r="BK17" s="344">
        <f t="shared" si="3"/>
        <v>0</v>
      </c>
      <c r="BM17" s="84">
        <f t="shared" si="29"/>
        <v>0</v>
      </c>
      <c r="BN17" s="85">
        <f t="shared" si="30"/>
        <v>0</v>
      </c>
      <c r="BO17" s="84">
        <f t="shared" si="4"/>
        <v>0</v>
      </c>
      <c r="BP17" s="85">
        <f t="shared" si="5"/>
        <v>0</v>
      </c>
      <c r="BQ17" s="186">
        <f t="shared" si="31"/>
        <v>0</v>
      </c>
      <c r="BR17" s="191">
        <f t="shared" si="32"/>
        <v>0</v>
      </c>
      <c r="BS17" s="186">
        <f t="shared" si="33"/>
        <v>0</v>
      </c>
      <c r="BT17" s="195">
        <f t="shared" si="34"/>
        <v>0</v>
      </c>
      <c r="BU17" s="18"/>
      <c r="BV17" s="27"/>
      <c r="BW17" s="255"/>
      <c r="BX17"/>
      <c r="BY17" s="21"/>
      <c r="BZ17" s="86">
        <f t="shared" si="35"/>
        <v>10</v>
      </c>
      <c r="CA17" s="87" t="str">
        <f t="shared" si="6"/>
        <v/>
      </c>
      <c r="CB17" s="87" t="str">
        <f t="shared" si="36"/>
        <v/>
      </c>
      <c r="CC17" s="88">
        <f t="shared" si="7"/>
        <v>0.31666666666666698</v>
      </c>
      <c r="CD17" s="88" t="str">
        <f t="shared" si="8"/>
        <v/>
      </c>
      <c r="CE17" s="89">
        <f t="shared" si="9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10"/>
        <v/>
      </c>
      <c r="CR17" s="87">
        <f t="shared" si="11"/>
        <v>0</v>
      </c>
      <c r="CS17" s="87">
        <f t="shared" si="12"/>
        <v>0</v>
      </c>
      <c r="CT17" s="87">
        <f t="shared" si="48"/>
        <v>0.31666666666666698</v>
      </c>
      <c r="CU17" s="92">
        <f t="shared" si="13"/>
        <v>0.31666666666666698</v>
      </c>
      <c r="CV17" s="326">
        <f t="shared" si="49"/>
        <v>0.31666666666666698</v>
      </c>
      <c r="CW17" s="362">
        <f t="shared" si="14"/>
        <v>3.3306690738754696E-16</v>
      </c>
      <c r="CX17" s="362">
        <f t="shared" si="50"/>
        <v>1.6666666666667995E-2</v>
      </c>
      <c r="CY17" s="94" t="str">
        <f t="shared" si="51"/>
        <v>+</v>
      </c>
      <c r="CZ17" s="95">
        <f t="shared" si="52"/>
        <v>1.6666666666667995E-2</v>
      </c>
      <c r="DA17" s="363">
        <f t="shared" si="16"/>
        <v>0</v>
      </c>
      <c r="DB17" s="215">
        <f t="shared" si="17"/>
        <v>0</v>
      </c>
      <c r="DC17" s="58"/>
      <c r="DD17" s="18"/>
      <c r="DE17" s="18"/>
      <c r="DF17" s="204">
        <v>13</v>
      </c>
      <c r="DG17" s="210"/>
      <c r="DH17" s="209" t="s">
        <v>254</v>
      </c>
      <c r="DI17" s="282" t="s">
        <v>285</v>
      </c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customHeight="1" x14ac:dyDescent="0.25">
      <c r="A18" s="322">
        <f t="shared" si="18"/>
        <v>11</v>
      </c>
      <c r="B18" s="323">
        <f t="shared" si="19"/>
        <v>44207</v>
      </c>
      <c r="C18" s="239"/>
      <c r="D18" s="240"/>
      <c r="E18" s="240"/>
      <c r="F18" s="240"/>
      <c r="G18" s="278"/>
      <c r="H18" s="305" t="str">
        <f t="shared" si="20"/>
        <v/>
      </c>
      <c r="I18" s="307" t="str">
        <f t="shared" si="21"/>
        <v/>
      </c>
      <c r="J18" s="312">
        <f t="shared" si="22"/>
        <v>0</v>
      </c>
      <c r="K18" s="313" t="str">
        <f t="shared" si="23"/>
        <v>+</v>
      </c>
      <c r="L18" s="314">
        <f t="shared" si="24"/>
        <v>1.6666666666667995E-2</v>
      </c>
      <c r="M18" s="315">
        <f t="shared" si="25"/>
        <v>0.40000000040003186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26"/>
        <v>44207</v>
      </c>
      <c r="AA18" s="160">
        <f t="shared" si="27"/>
        <v>44207</v>
      </c>
      <c r="AB18" s="160">
        <f t="shared" si="28"/>
        <v>1</v>
      </c>
      <c r="AC18" s="81">
        <f t="shared" si="0"/>
        <v>2</v>
      </c>
      <c r="AD18" s="160">
        <f t="shared" si="1"/>
        <v>0</v>
      </c>
      <c r="AF18" s="337" t="s">
        <v>119</v>
      </c>
      <c r="AG18" s="345"/>
      <c r="AH18" s="343">
        <f t="shared" si="2"/>
        <v>0</v>
      </c>
      <c r="AI18" s="343">
        <f t="shared" si="2"/>
        <v>0</v>
      </c>
      <c r="AJ18" s="343">
        <f t="shared" si="2"/>
        <v>0</v>
      </c>
      <c r="AK18" s="343">
        <f t="shared" si="2"/>
        <v>0</v>
      </c>
      <c r="AL18" s="343">
        <f t="shared" si="2"/>
        <v>0</v>
      </c>
      <c r="AM18" s="343">
        <f t="shared" si="2"/>
        <v>0</v>
      </c>
      <c r="AN18" s="343">
        <f t="shared" si="2"/>
        <v>0</v>
      </c>
      <c r="AO18" s="343">
        <f t="shared" si="2"/>
        <v>0</v>
      </c>
      <c r="AP18" s="343">
        <f t="shared" si="2"/>
        <v>0</v>
      </c>
      <c r="AQ18" s="343">
        <f t="shared" si="2"/>
        <v>0</v>
      </c>
      <c r="AR18" s="343">
        <f t="shared" si="2"/>
        <v>0</v>
      </c>
      <c r="AS18" s="343">
        <f t="shared" si="2"/>
        <v>0</v>
      </c>
      <c r="AT18" s="343">
        <f t="shared" si="2"/>
        <v>0</v>
      </c>
      <c r="AU18" s="343">
        <f t="shared" si="2"/>
        <v>0</v>
      </c>
      <c r="AV18" s="343">
        <f t="shared" si="2"/>
        <v>0</v>
      </c>
      <c r="AW18" s="343">
        <f t="shared" si="2"/>
        <v>0</v>
      </c>
      <c r="AX18" s="343">
        <f t="shared" si="3"/>
        <v>0</v>
      </c>
      <c r="AY18" s="343">
        <f t="shared" si="3"/>
        <v>0</v>
      </c>
      <c r="AZ18" s="343">
        <f t="shared" si="3"/>
        <v>0</v>
      </c>
      <c r="BA18" s="343">
        <f t="shared" si="3"/>
        <v>0</v>
      </c>
      <c r="BB18" s="343">
        <f t="shared" si="3"/>
        <v>0</v>
      </c>
      <c r="BC18" s="343">
        <f t="shared" si="3"/>
        <v>0</v>
      </c>
      <c r="BD18" s="343">
        <f t="shared" si="3"/>
        <v>0</v>
      </c>
      <c r="BE18" s="343">
        <f t="shared" si="3"/>
        <v>0</v>
      </c>
      <c r="BF18" s="343">
        <f t="shared" si="3"/>
        <v>0</v>
      </c>
      <c r="BG18" s="343">
        <f t="shared" si="3"/>
        <v>0</v>
      </c>
      <c r="BH18" s="343">
        <f t="shared" si="3"/>
        <v>0</v>
      </c>
      <c r="BI18" s="343">
        <f t="shared" si="3"/>
        <v>0</v>
      </c>
      <c r="BJ18" s="343">
        <f t="shared" si="3"/>
        <v>0</v>
      </c>
      <c r="BK18" s="344">
        <f t="shared" si="3"/>
        <v>0</v>
      </c>
      <c r="BM18" s="84">
        <f t="shared" si="29"/>
        <v>0</v>
      </c>
      <c r="BN18" s="85">
        <f t="shared" si="30"/>
        <v>0</v>
      </c>
      <c r="BO18" s="84">
        <f t="shared" si="4"/>
        <v>0</v>
      </c>
      <c r="BP18" s="85">
        <f t="shared" si="5"/>
        <v>0</v>
      </c>
      <c r="BQ18" s="186">
        <f t="shared" si="31"/>
        <v>0</v>
      </c>
      <c r="BR18" s="191">
        <f t="shared" si="32"/>
        <v>0</v>
      </c>
      <c r="BS18" s="186">
        <f t="shared" si="33"/>
        <v>0</v>
      </c>
      <c r="BT18" s="195">
        <f t="shared" si="34"/>
        <v>0</v>
      </c>
      <c r="BU18" s="18"/>
      <c r="BV18" s="27"/>
      <c r="BW18" s="255"/>
      <c r="BX18"/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7"/>
        <v/>
      </c>
      <c r="CD18" s="88" t="str">
        <f t="shared" si="8"/>
        <v/>
      </c>
      <c r="CE18" s="89">
        <f t="shared" si="9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10"/>
        <v/>
      </c>
      <c r="CR18" s="87">
        <f t="shared" si="11"/>
        <v>0</v>
      </c>
      <c r="CS18" s="87">
        <f t="shared" si="12"/>
        <v>0</v>
      </c>
      <c r="CT18" s="87">
        <f t="shared" si="48"/>
        <v>0</v>
      </c>
      <c r="CU18" s="92">
        <f t="shared" si="13"/>
        <v>0</v>
      </c>
      <c r="CV18" s="326">
        <f t="shared" si="49"/>
        <v>0</v>
      </c>
      <c r="CW18" s="362">
        <f t="shared" si="14"/>
        <v>0</v>
      </c>
      <c r="CX18" s="362">
        <f t="shared" si="50"/>
        <v>1.6666666666667995E-2</v>
      </c>
      <c r="CY18" s="94" t="str">
        <f t="shared" si="51"/>
        <v>+</v>
      </c>
      <c r="CZ18" s="95">
        <f t="shared" si="52"/>
        <v>1.6666666666667995E-2</v>
      </c>
      <c r="DA18" s="363">
        <f t="shared" si="16"/>
        <v>0</v>
      </c>
      <c r="DB18" s="215">
        <f t="shared" si="17"/>
        <v>0</v>
      </c>
      <c r="DC18" s="58"/>
      <c r="DD18" s="18"/>
      <c r="DE18" s="18"/>
      <c r="DF18" s="204"/>
      <c r="DG18" s="18"/>
      <c r="DH18" s="209"/>
      <c r="DI18" s="282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" customHeight="1" thickBot="1" x14ac:dyDescent="0.3">
      <c r="A19" s="322">
        <f t="shared" si="18"/>
        <v>12</v>
      </c>
      <c r="B19" s="323">
        <f t="shared" si="19"/>
        <v>44208</v>
      </c>
      <c r="C19" s="239"/>
      <c r="D19" s="240"/>
      <c r="E19" s="240"/>
      <c r="F19" s="240"/>
      <c r="G19" s="278"/>
      <c r="H19" s="305" t="str">
        <f t="shared" si="20"/>
        <v/>
      </c>
      <c r="I19" s="307" t="str">
        <f t="shared" si="21"/>
        <v/>
      </c>
      <c r="J19" s="312">
        <f t="shared" si="22"/>
        <v>0</v>
      </c>
      <c r="K19" s="313" t="str">
        <f t="shared" si="23"/>
        <v>+</v>
      </c>
      <c r="L19" s="314">
        <f t="shared" si="24"/>
        <v>1.6666666666667995E-2</v>
      </c>
      <c r="M19" s="315">
        <f t="shared" si="25"/>
        <v>0.40000000040003186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26"/>
        <v>44208</v>
      </c>
      <c r="AA19" s="160">
        <f t="shared" si="27"/>
        <v>44208</v>
      </c>
      <c r="AB19" s="160">
        <f t="shared" si="28"/>
        <v>1</v>
      </c>
      <c r="AC19" s="81">
        <f t="shared" si="0"/>
        <v>3</v>
      </c>
      <c r="AD19" s="160">
        <f t="shared" si="1"/>
        <v>0</v>
      </c>
      <c r="AF19" s="337" t="s">
        <v>119</v>
      </c>
      <c r="AG19" s="345"/>
      <c r="AH19" s="343">
        <f t="shared" si="2"/>
        <v>0</v>
      </c>
      <c r="AI19" s="343">
        <f t="shared" si="2"/>
        <v>0</v>
      </c>
      <c r="AJ19" s="343">
        <f t="shared" si="2"/>
        <v>0</v>
      </c>
      <c r="AK19" s="343">
        <f t="shared" si="2"/>
        <v>0</v>
      </c>
      <c r="AL19" s="343">
        <f t="shared" si="2"/>
        <v>0</v>
      </c>
      <c r="AM19" s="343">
        <f t="shared" si="2"/>
        <v>0</v>
      </c>
      <c r="AN19" s="343">
        <f t="shared" si="2"/>
        <v>0</v>
      </c>
      <c r="AO19" s="343">
        <f t="shared" si="2"/>
        <v>0</v>
      </c>
      <c r="AP19" s="343">
        <f t="shared" si="2"/>
        <v>0</v>
      </c>
      <c r="AQ19" s="343">
        <f t="shared" si="2"/>
        <v>0</v>
      </c>
      <c r="AR19" s="343">
        <f t="shared" si="2"/>
        <v>0</v>
      </c>
      <c r="AS19" s="343">
        <f t="shared" si="2"/>
        <v>0</v>
      </c>
      <c r="AT19" s="343">
        <f t="shared" si="2"/>
        <v>0</v>
      </c>
      <c r="AU19" s="343">
        <f t="shared" si="2"/>
        <v>0</v>
      </c>
      <c r="AV19" s="343">
        <f t="shared" si="2"/>
        <v>0</v>
      </c>
      <c r="AW19" s="343">
        <f t="shared" si="2"/>
        <v>0</v>
      </c>
      <c r="AX19" s="343">
        <f t="shared" si="3"/>
        <v>0</v>
      </c>
      <c r="AY19" s="343">
        <f t="shared" si="3"/>
        <v>0</v>
      </c>
      <c r="AZ19" s="343">
        <f t="shared" si="3"/>
        <v>0</v>
      </c>
      <c r="BA19" s="343">
        <f t="shared" si="3"/>
        <v>0</v>
      </c>
      <c r="BB19" s="343">
        <f t="shared" si="3"/>
        <v>0</v>
      </c>
      <c r="BC19" s="343">
        <f t="shared" si="3"/>
        <v>0</v>
      </c>
      <c r="BD19" s="343">
        <f t="shared" si="3"/>
        <v>0</v>
      </c>
      <c r="BE19" s="343">
        <f t="shared" si="3"/>
        <v>0</v>
      </c>
      <c r="BF19" s="343">
        <f t="shared" si="3"/>
        <v>0</v>
      </c>
      <c r="BG19" s="343">
        <f t="shared" si="3"/>
        <v>0</v>
      </c>
      <c r="BH19" s="343">
        <f t="shared" si="3"/>
        <v>0</v>
      </c>
      <c r="BI19" s="343">
        <f t="shared" si="3"/>
        <v>0</v>
      </c>
      <c r="BJ19" s="343">
        <f t="shared" si="3"/>
        <v>0</v>
      </c>
      <c r="BK19" s="344">
        <f t="shared" si="3"/>
        <v>0</v>
      </c>
      <c r="BM19" s="84">
        <f t="shared" si="29"/>
        <v>0</v>
      </c>
      <c r="BN19" s="85">
        <f t="shared" si="30"/>
        <v>0</v>
      </c>
      <c r="BO19" s="84">
        <f t="shared" si="4"/>
        <v>0</v>
      </c>
      <c r="BP19" s="85">
        <f t="shared" si="5"/>
        <v>0</v>
      </c>
      <c r="BQ19" s="186">
        <f t="shared" si="31"/>
        <v>0</v>
      </c>
      <c r="BR19" s="191">
        <f t="shared" si="32"/>
        <v>0</v>
      </c>
      <c r="BS19" s="186">
        <f t="shared" si="33"/>
        <v>0</v>
      </c>
      <c r="BT19" s="195">
        <f t="shared" si="34"/>
        <v>0</v>
      </c>
      <c r="BU19" s="18"/>
      <c r="BV19" s="27" t="s">
        <v>275</v>
      </c>
      <c r="BW19" s="255">
        <v>0.33333333333333331</v>
      </c>
      <c r="BX19"/>
      <c r="BY19" s="21"/>
      <c r="BZ19" s="86">
        <f t="shared" si="35"/>
        <v>12</v>
      </c>
      <c r="CA19" s="87" t="str">
        <f t="shared" si="6"/>
        <v/>
      </c>
      <c r="CB19" s="87" t="str">
        <f t="shared" si="36"/>
        <v/>
      </c>
      <c r="CC19" s="88" t="str">
        <f t="shared" si="7"/>
        <v/>
      </c>
      <c r="CD19" s="88" t="str">
        <f t="shared" si="8"/>
        <v/>
      </c>
      <c r="CE19" s="89">
        <f t="shared" si="9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10"/>
        <v/>
      </c>
      <c r="CR19" s="87">
        <f t="shared" si="11"/>
        <v>0</v>
      </c>
      <c r="CS19" s="87">
        <f t="shared" si="12"/>
        <v>0</v>
      </c>
      <c r="CT19" s="87">
        <f t="shared" si="48"/>
        <v>0</v>
      </c>
      <c r="CU19" s="92">
        <f t="shared" si="13"/>
        <v>0</v>
      </c>
      <c r="CV19" s="326">
        <f t="shared" si="49"/>
        <v>0</v>
      </c>
      <c r="CW19" s="362">
        <f t="shared" si="14"/>
        <v>0</v>
      </c>
      <c r="CX19" s="362">
        <f t="shared" si="50"/>
        <v>1.6666666666667995E-2</v>
      </c>
      <c r="CY19" s="94" t="str">
        <f t="shared" si="51"/>
        <v>+</v>
      </c>
      <c r="CZ19" s="95">
        <f t="shared" si="52"/>
        <v>1.6666666666667995E-2</v>
      </c>
      <c r="DA19" s="363">
        <f t="shared" si="16"/>
        <v>0</v>
      </c>
      <c r="DB19" s="215">
        <f t="shared" si="17"/>
        <v>0</v>
      </c>
      <c r="DC19" s="58"/>
      <c r="DD19" s="18"/>
      <c r="DE19" s="18"/>
      <c r="DF19" s="206"/>
      <c r="DG19" s="8"/>
      <c r="DH19" s="207"/>
      <c r="DI19" s="282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customHeight="1" x14ac:dyDescent="0.25">
      <c r="A20" s="322">
        <f t="shared" si="18"/>
        <v>13</v>
      </c>
      <c r="B20" s="323">
        <f t="shared" si="19"/>
        <v>44209</v>
      </c>
      <c r="C20" s="239"/>
      <c r="D20" s="240"/>
      <c r="E20" s="240"/>
      <c r="F20" s="240"/>
      <c r="G20" s="278"/>
      <c r="H20" s="305" t="str">
        <f t="shared" si="20"/>
        <v/>
      </c>
      <c r="I20" s="307" t="str">
        <f t="shared" si="21"/>
        <v/>
      </c>
      <c r="J20" s="312">
        <f t="shared" si="22"/>
        <v>0</v>
      </c>
      <c r="K20" s="313" t="str">
        <f t="shared" si="23"/>
        <v>+</v>
      </c>
      <c r="L20" s="314">
        <f t="shared" si="24"/>
        <v>1.6666666666667995E-2</v>
      </c>
      <c r="M20" s="315">
        <f t="shared" si="25"/>
        <v>0.40000000040003186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26"/>
        <v>44209</v>
      </c>
      <c r="AA20" s="160">
        <f t="shared" si="27"/>
        <v>44209</v>
      </c>
      <c r="AB20" s="160">
        <f t="shared" si="28"/>
        <v>1</v>
      </c>
      <c r="AC20" s="81">
        <f t="shared" si="0"/>
        <v>4</v>
      </c>
      <c r="AD20" s="160">
        <f t="shared" si="1"/>
        <v>0</v>
      </c>
      <c r="AF20" s="337" t="s">
        <v>119</v>
      </c>
      <c r="AG20" s="345"/>
      <c r="AH20" s="343">
        <f t="shared" si="2"/>
        <v>0</v>
      </c>
      <c r="AI20" s="343">
        <f t="shared" si="2"/>
        <v>0</v>
      </c>
      <c r="AJ20" s="343">
        <f t="shared" si="2"/>
        <v>0</v>
      </c>
      <c r="AK20" s="343">
        <f t="shared" si="2"/>
        <v>0</v>
      </c>
      <c r="AL20" s="343">
        <f t="shared" si="2"/>
        <v>0</v>
      </c>
      <c r="AM20" s="343">
        <f t="shared" si="2"/>
        <v>0</v>
      </c>
      <c r="AN20" s="343">
        <f t="shared" si="2"/>
        <v>0</v>
      </c>
      <c r="AO20" s="343">
        <f t="shared" si="2"/>
        <v>0</v>
      </c>
      <c r="AP20" s="343">
        <f t="shared" si="2"/>
        <v>0</v>
      </c>
      <c r="AQ20" s="343">
        <f t="shared" si="2"/>
        <v>0</v>
      </c>
      <c r="AR20" s="343">
        <f t="shared" si="2"/>
        <v>0</v>
      </c>
      <c r="AS20" s="343">
        <f t="shared" si="2"/>
        <v>0</v>
      </c>
      <c r="AT20" s="343">
        <f t="shared" si="2"/>
        <v>0</v>
      </c>
      <c r="AU20" s="343">
        <f t="shared" si="2"/>
        <v>0</v>
      </c>
      <c r="AV20" s="343">
        <f t="shared" si="2"/>
        <v>0</v>
      </c>
      <c r="AW20" s="343">
        <f t="shared" si="2"/>
        <v>0</v>
      </c>
      <c r="AX20" s="343">
        <f t="shared" si="3"/>
        <v>0</v>
      </c>
      <c r="AY20" s="343">
        <f t="shared" si="3"/>
        <v>0</v>
      </c>
      <c r="AZ20" s="343">
        <f t="shared" si="3"/>
        <v>0</v>
      </c>
      <c r="BA20" s="343">
        <f t="shared" si="3"/>
        <v>0</v>
      </c>
      <c r="BB20" s="343">
        <f t="shared" si="3"/>
        <v>0</v>
      </c>
      <c r="BC20" s="343">
        <f t="shared" si="3"/>
        <v>0</v>
      </c>
      <c r="BD20" s="343">
        <f t="shared" si="3"/>
        <v>0</v>
      </c>
      <c r="BE20" s="343">
        <f t="shared" si="3"/>
        <v>0</v>
      </c>
      <c r="BF20" s="343">
        <f t="shared" si="3"/>
        <v>0</v>
      </c>
      <c r="BG20" s="343">
        <f t="shared" si="3"/>
        <v>0</v>
      </c>
      <c r="BH20" s="343">
        <f t="shared" si="3"/>
        <v>0</v>
      </c>
      <c r="BI20" s="343">
        <f t="shared" si="3"/>
        <v>0</v>
      </c>
      <c r="BJ20" s="343">
        <f t="shared" si="3"/>
        <v>0</v>
      </c>
      <c r="BK20" s="344">
        <f t="shared" si="3"/>
        <v>0</v>
      </c>
      <c r="BM20" s="84">
        <f t="shared" si="29"/>
        <v>0</v>
      </c>
      <c r="BN20" s="85">
        <f t="shared" si="30"/>
        <v>0</v>
      </c>
      <c r="BO20" s="84">
        <f t="shared" si="4"/>
        <v>0</v>
      </c>
      <c r="BP20" s="85">
        <f t="shared" si="5"/>
        <v>0</v>
      </c>
      <c r="BQ20" s="186">
        <f t="shared" si="31"/>
        <v>0</v>
      </c>
      <c r="BR20" s="191">
        <f t="shared" si="32"/>
        <v>0</v>
      </c>
      <c r="BS20" s="186">
        <f t="shared" si="33"/>
        <v>0</v>
      </c>
      <c r="BT20" s="195">
        <f t="shared" si="34"/>
        <v>0</v>
      </c>
      <c r="BU20" s="18"/>
      <c r="BV20" s="27" t="s">
        <v>275</v>
      </c>
      <c r="BW20" s="255">
        <v>0.16666666666666666</v>
      </c>
      <c r="BX20"/>
      <c r="BY20" s="21"/>
      <c r="BZ20" s="86">
        <f t="shared" si="35"/>
        <v>13</v>
      </c>
      <c r="CA20" s="87" t="str">
        <f t="shared" si="6"/>
        <v/>
      </c>
      <c r="CB20" s="87" t="str">
        <f t="shared" si="36"/>
        <v/>
      </c>
      <c r="CC20" s="88" t="str">
        <f t="shared" si="7"/>
        <v/>
      </c>
      <c r="CD20" s="88" t="str">
        <f t="shared" si="8"/>
        <v/>
      </c>
      <c r="CE20" s="89">
        <f t="shared" si="9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10"/>
        <v/>
      </c>
      <c r="CR20" s="87">
        <f t="shared" si="11"/>
        <v>0</v>
      </c>
      <c r="CS20" s="87">
        <f t="shared" si="12"/>
        <v>0</v>
      </c>
      <c r="CT20" s="87">
        <f t="shared" si="48"/>
        <v>0</v>
      </c>
      <c r="CU20" s="92">
        <f t="shared" si="13"/>
        <v>0</v>
      </c>
      <c r="CV20" s="326">
        <f t="shared" si="49"/>
        <v>0</v>
      </c>
      <c r="CW20" s="362">
        <f t="shared" si="14"/>
        <v>0</v>
      </c>
      <c r="CX20" s="362">
        <f t="shared" si="50"/>
        <v>1.6666666666667995E-2</v>
      </c>
      <c r="CY20" s="94" t="str">
        <f t="shared" si="51"/>
        <v>+</v>
      </c>
      <c r="CZ20" s="95">
        <f t="shared" si="52"/>
        <v>1.6666666666667995E-2</v>
      </c>
      <c r="DA20" s="363">
        <f t="shared" si="16"/>
        <v>0</v>
      </c>
      <c r="DB20" s="215">
        <f t="shared" si="17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customHeight="1" x14ac:dyDescent="0.2">
      <c r="A21" s="322">
        <f t="shared" si="18"/>
        <v>14</v>
      </c>
      <c r="B21" s="323">
        <f t="shared" si="19"/>
        <v>44210</v>
      </c>
      <c r="C21" s="239"/>
      <c r="D21" s="240"/>
      <c r="E21" s="240"/>
      <c r="F21" s="240"/>
      <c r="G21" s="278"/>
      <c r="H21" s="305" t="str">
        <f t="shared" si="20"/>
        <v/>
      </c>
      <c r="I21" s="307" t="str">
        <f t="shared" si="21"/>
        <v/>
      </c>
      <c r="J21" s="312">
        <f t="shared" si="22"/>
        <v>0</v>
      </c>
      <c r="K21" s="313" t="str">
        <f t="shared" si="23"/>
        <v>+</v>
      </c>
      <c r="L21" s="314">
        <f t="shared" si="24"/>
        <v>1.6666666666667995E-2</v>
      </c>
      <c r="M21" s="315">
        <f t="shared" si="25"/>
        <v>0.40000000040003186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26"/>
        <v>44210</v>
      </c>
      <c r="AA21" s="160">
        <f t="shared" si="27"/>
        <v>44210</v>
      </c>
      <c r="AB21" s="160">
        <f t="shared" si="28"/>
        <v>1</v>
      </c>
      <c r="AC21" s="81">
        <f t="shared" si="0"/>
        <v>5</v>
      </c>
      <c r="AD21" s="160">
        <f t="shared" si="1"/>
        <v>0</v>
      </c>
      <c r="AF21" s="337" t="s">
        <v>119</v>
      </c>
      <c r="AG21" s="345"/>
      <c r="AH21" s="343">
        <f t="shared" si="2"/>
        <v>0</v>
      </c>
      <c r="AI21" s="343">
        <f t="shared" si="2"/>
        <v>0</v>
      </c>
      <c r="AJ21" s="343">
        <f t="shared" si="2"/>
        <v>0</v>
      </c>
      <c r="AK21" s="343">
        <f t="shared" si="2"/>
        <v>0</v>
      </c>
      <c r="AL21" s="343">
        <f t="shared" si="2"/>
        <v>0</v>
      </c>
      <c r="AM21" s="343">
        <f t="shared" si="2"/>
        <v>0</v>
      </c>
      <c r="AN21" s="343">
        <f t="shared" si="2"/>
        <v>0</v>
      </c>
      <c r="AO21" s="343">
        <f t="shared" si="2"/>
        <v>0</v>
      </c>
      <c r="AP21" s="343">
        <f t="shared" si="2"/>
        <v>0</v>
      </c>
      <c r="AQ21" s="343">
        <f t="shared" si="2"/>
        <v>0</v>
      </c>
      <c r="AR21" s="343">
        <f t="shared" si="2"/>
        <v>0</v>
      </c>
      <c r="AS21" s="343">
        <f t="shared" si="2"/>
        <v>0</v>
      </c>
      <c r="AT21" s="343">
        <f t="shared" si="2"/>
        <v>0</v>
      </c>
      <c r="AU21" s="343">
        <f t="shared" si="2"/>
        <v>0</v>
      </c>
      <c r="AV21" s="343">
        <f t="shared" si="2"/>
        <v>0</v>
      </c>
      <c r="AW21" s="343">
        <f t="shared" si="2"/>
        <v>0</v>
      </c>
      <c r="AX21" s="343">
        <f t="shared" si="3"/>
        <v>0</v>
      </c>
      <c r="AY21" s="343">
        <f t="shared" si="3"/>
        <v>0</v>
      </c>
      <c r="AZ21" s="343">
        <f t="shared" si="3"/>
        <v>0</v>
      </c>
      <c r="BA21" s="343">
        <f t="shared" si="3"/>
        <v>0</v>
      </c>
      <c r="BB21" s="343">
        <f t="shared" si="3"/>
        <v>0</v>
      </c>
      <c r="BC21" s="343">
        <f t="shared" si="3"/>
        <v>0</v>
      </c>
      <c r="BD21" s="343">
        <f t="shared" si="3"/>
        <v>0</v>
      </c>
      <c r="BE21" s="343">
        <f t="shared" si="3"/>
        <v>0</v>
      </c>
      <c r="BF21" s="343">
        <f t="shared" si="3"/>
        <v>0</v>
      </c>
      <c r="BG21" s="343">
        <f t="shared" si="3"/>
        <v>0</v>
      </c>
      <c r="BH21" s="343">
        <f t="shared" si="3"/>
        <v>0</v>
      </c>
      <c r="BI21" s="343">
        <f t="shared" si="3"/>
        <v>0</v>
      </c>
      <c r="BJ21" s="343">
        <f t="shared" si="3"/>
        <v>0</v>
      </c>
      <c r="BK21" s="344">
        <f t="shared" si="3"/>
        <v>0</v>
      </c>
      <c r="BM21" s="84">
        <f t="shared" si="29"/>
        <v>0</v>
      </c>
      <c r="BN21" s="85">
        <f t="shared" si="30"/>
        <v>0</v>
      </c>
      <c r="BO21" s="84">
        <f t="shared" si="4"/>
        <v>0</v>
      </c>
      <c r="BP21" s="85">
        <f t="shared" si="5"/>
        <v>0</v>
      </c>
      <c r="BQ21" s="186">
        <f t="shared" si="31"/>
        <v>0</v>
      </c>
      <c r="BR21" s="191">
        <f t="shared" si="32"/>
        <v>0</v>
      </c>
      <c r="BS21" s="186">
        <f t="shared" si="33"/>
        <v>0</v>
      </c>
      <c r="BT21" s="195">
        <f t="shared" si="34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6"/>
        <v/>
      </c>
      <c r="CB21" s="87" t="str">
        <f t="shared" si="36"/>
        <v/>
      </c>
      <c r="CC21" s="88" t="str">
        <f t="shared" si="7"/>
        <v/>
      </c>
      <c r="CD21" s="88" t="str">
        <f t="shared" si="8"/>
        <v/>
      </c>
      <c r="CE21" s="89">
        <f t="shared" si="9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10"/>
        <v/>
      </c>
      <c r="CR21" s="87">
        <f t="shared" si="11"/>
        <v>0</v>
      </c>
      <c r="CS21" s="87">
        <f t="shared" si="12"/>
        <v>0</v>
      </c>
      <c r="CT21" s="87">
        <f t="shared" si="48"/>
        <v>0</v>
      </c>
      <c r="CU21" s="92">
        <f t="shared" si="13"/>
        <v>0</v>
      </c>
      <c r="CV21" s="326">
        <f t="shared" si="49"/>
        <v>0</v>
      </c>
      <c r="CW21" s="362">
        <f t="shared" si="14"/>
        <v>0</v>
      </c>
      <c r="CX21" s="362">
        <f t="shared" si="50"/>
        <v>1.6666666666667995E-2</v>
      </c>
      <c r="CY21" s="94" t="str">
        <f t="shared" si="51"/>
        <v>+</v>
      </c>
      <c r="CZ21" s="95">
        <f t="shared" si="52"/>
        <v>1.6666666666667995E-2</v>
      </c>
      <c r="DA21" s="363">
        <f t="shared" si="16"/>
        <v>0</v>
      </c>
      <c r="DB21" s="215">
        <f t="shared" si="17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customHeight="1" x14ac:dyDescent="0.2">
      <c r="A22" s="322">
        <f t="shared" si="18"/>
        <v>15</v>
      </c>
      <c r="B22" s="323">
        <f t="shared" si="19"/>
        <v>44211</v>
      </c>
      <c r="C22" s="239"/>
      <c r="D22" s="240"/>
      <c r="E22" s="240"/>
      <c r="F22" s="240"/>
      <c r="G22" s="278"/>
      <c r="H22" s="305" t="str">
        <f t="shared" si="20"/>
        <v/>
      </c>
      <c r="I22" s="307" t="str">
        <f t="shared" si="21"/>
        <v/>
      </c>
      <c r="J22" s="312">
        <f t="shared" si="22"/>
        <v>0</v>
      </c>
      <c r="K22" s="313" t="str">
        <f t="shared" si="23"/>
        <v>+</v>
      </c>
      <c r="L22" s="314">
        <f t="shared" si="24"/>
        <v>1.6666666666667995E-2</v>
      </c>
      <c r="M22" s="315">
        <f t="shared" si="25"/>
        <v>0.40000000040003186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26"/>
        <v>44211</v>
      </c>
      <c r="AA22" s="160">
        <f t="shared" si="27"/>
        <v>44211</v>
      </c>
      <c r="AB22" s="160">
        <f t="shared" si="28"/>
        <v>1</v>
      </c>
      <c r="AC22" s="81">
        <f t="shared" si="0"/>
        <v>6</v>
      </c>
      <c r="AD22" s="160">
        <f t="shared" si="1"/>
        <v>0</v>
      </c>
      <c r="AF22" s="337" t="s">
        <v>119</v>
      </c>
      <c r="AG22" s="345"/>
      <c r="AH22" s="343">
        <f t="shared" si="2"/>
        <v>0</v>
      </c>
      <c r="AI22" s="343">
        <f t="shared" si="2"/>
        <v>0</v>
      </c>
      <c r="AJ22" s="343">
        <f t="shared" si="2"/>
        <v>0</v>
      </c>
      <c r="AK22" s="343">
        <f t="shared" si="2"/>
        <v>0</v>
      </c>
      <c r="AL22" s="343">
        <f t="shared" si="2"/>
        <v>0</v>
      </c>
      <c r="AM22" s="343">
        <f t="shared" si="2"/>
        <v>0</v>
      </c>
      <c r="AN22" s="343">
        <f t="shared" si="2"/>
        <v>0</v>
      </c>
      <c r="AO22" s="343">
        <f t="shared" si="2"/>
        <v>0</v>
      </c>
      <c r="AP22" s="343">
        <f t="shared" si="2"/>
        <v>0</v>
      </c>
      <c r="AQ22" s="343">
        <f t="shared" si="2"/>
        <v>0</v>
      </c>
      <c r="AR22" s="343">
        <f t="shared" si="2"/>
        <v>0</v>
      </c>
      <c r="AS22" s="343">
        <f t="shared" si="2"/>
        <v>0</v>
      </c>
      <c r="AT22" s="343">
        <f t="shared" si="2"/>
        <v>0</v>
      </c>
      <c r="AU22" s="343">
        <f t="shared" si="2"/>
        <v>0</v>
      </c>
      <c r="AV22" s="343">
        <f t="shared" si="2"/>
        <v>0</v>
      </c>
      <c r="AW22" s="343">
        <f t="shared" si="2"/>
        <v>0</v>
      </c>
      <c r="AX22" s="343">
        <f t="shared" si="3"/>
        <v>0</v>
      </c>
      <c r="AY22" s="343">
        <f t="shared" si="3"/>
        <v>0</v>
      </c>
      <c r="AZ22" s="343">
        <f t="shared" si="3"/>
        <v>0</v>
      </c>
      <c r="BA22" s="343">
        <f t="shared" si="3"/>
        <v>0</v>
      </c>
      <c r="BB22" s="343">
        <f t="shared" si="3"/>
        <v>0</v>
      </c>
      <c r="BC22" s="343">
        <f t="shared" si="3"/>
        <v>0</v>
      </c>
      <c r="BD22" s="343">
        <f t="shared" si="3"/>
        <v>0</v>
      </c>
      <c r="BE22" s="343">
        <f t="shared" si="3"/>
        <v>0</v>
      </c>
      <c r="BF22" s="343">
        <f t="shared" si="3"/>
        <v>0</v>
      </c>
      <c r="BG22" s="343">
        <f t="shared" si="3"/>
        <v>0</v>
      </c>
      <c r="BH22" s="343">
        <f t="shared" si="3"/>
        <v>0</v>
      </c>
      <c r="BI22" s="343">
        <f t="shared" si="3"/>
        <v>0</v>
      </c>
      <c r="BJ22" s="343">
        <f t="shared" si="3"/>
        <v>0</v>
      </c>
      <c r="BK22" s="344">
        <f t="shared" si="3"/>
        <v>0</v>
      </c>
      <c r="BM22" s="84">
        <f t="shared" si="29"/>
        <v>0</v>
      </c>
      <c r="BN22" s="85">
        <f t="shared" si="30"/>
        <v>0</v>
      </c>
      <c r="BO22" s="84">
        <f t="shared" si="4"/>
        <v>0</v>
      </c>
      <c r="BP22" s="85">
        <f t="shared" si="5"/>
        <v>0</v>
      </c>
      <c r="BQ22" s="186">
        <f t="shared" si="31"/>
        <v>0</v>
      </c>
      <c r="BR22" s="191">
        <f t="shared" si="32"/>
        <v>0</v>
      </c>
      <c r="BS22" s="186">
        <f t="shared" si="33"/>
        <v>0</v>
      </c>
      <c r="BT22" s="195">
        <f t="shared" si="34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7"/>
        <v/>
      </c>
      <c r="CD22" s="88" t="str">
        <f t="shared" si="8"/>
        <v/>
      </c>
      <c r="CE22" s="89">
        <f t="shared" si="9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10"/>
        <v/>
      </c>
      <c r="CR22" s="87">
        <f t="shared" si="11"/>
        <v>0</v>
      </c>
      <c r="CS22" s="87">
        <f t="shared" si="12"/>
        <v>0</v>
      </c>
      <c r="CT22" s="87">
        <f t="shared" si="48"/>
        <v>0</v>
      </c>
      <c r="CU22" s="92">
        <f t="shared" si="13"/>
        <v>0</v>
      </c>
      <c r="CV22" s="326">
        <f t="shared" si="49"/>
        <v>0</v>
      </c>
      <c r="CW22" s="362">
        <f t="shared" si="14"/>
        <v>0</v>
      </c>
      <c r="CX22" s="362">
        <f t="shared" si="50"/>
        <v>1.6666666666667995E-2</v>
      </c>
      <c r="CY22" s="94" t="str">
        <f t="shared" si="51"/>
        <v>+</v>
      </c>
      <c r="CZ22" s="95">
        <f t="shared" si="52"/>
        <v>1.6666666666667995E-2</v>
      </c>
      <c r="DA22" s="363">
        <f t="shared" si="16"/>
        <v>0</v>
      </c>
      <c r="DB22" s="215">
        <f t="shared" si="17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customHeight="1" x14ac:dyDescent="0.2">
      <c r="A23" s="322">
        <f t="shared" si="18"/>
        <v>16</v>
      </c>
      <c r="B23" s="323">
        <f t="shared" si="19"/>
        <v>44212</v>
      </c>
      <c r="C23" s="239"/>
      <c r="D23" s="240"/>
      <c r="E23" s="240"/>
      <c r="F23" s="240"/>
      <c r="G23" s="278"/>
      <c r="H23" s="305">
        <f t="shared" si="20"/>
        <v>21</v>
      </c>
      <c r="I23" s="307" t="str">
        <f t="shared" si="21"/>
        <v/>
      </c>
      <c r="J23" s="312">
        <f t="shared" si="22"/>
        <v>0.31666666666666698</v>
      </c>
      <c r="K23" s="313" t="str">
        <f t="shared" si="23"/>
        <v>+</v>
      </c>
      <c r="L23" s="314">
        <f t="shared" si="24"/>
        <v>1.6666666666668328E-2</v>
      </c>
      <c r="M23" s="315">
        <f t="shared" si="25"/>
        <v>0.40000000040003991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26"/>
        <v>44212</v>
      </c>
      <c r="AA23" s="160">
        <f t="shared" si="27"/>
        <v>44212</v>
      </c>
      <c r="AB23" s="160">
        <f t="shared" si="28"/>
        <v>1</v>
      </c>
      <c r="AC23" s="81">
        <f t="shared" si="0"/>
        <v>0</v>
      </c>
      <c r="AD23" s="160">
        <f t="shared" si="1"/>
        <v>0</v>
      </c>
      <c r="AF23" s="337" t="s">
        <v>119</v>
      </c>
      <c r="AG23" s="345"/>
      <c r="AH23" s="343">
        <f t="shared" si="2"/>
        <v>0</v>
      </c>
      <c r="AI23" s="343">
        <f t="shared" si="2"/>
        <v>0</v>
      </c>
      <c r="AJ23" s="343">
        <f t="shared" si="2"/>
        <v>0</v>
      </c>
      <c r="AK23" s="343">
        <f t="shared" si="2"/>
        <v>0</v>
      </c>
      <c r="AL23" s="343">
        <f t="shared" si="2"/>
        <v>0</v>
      </c>
      <c r="AM23" s="343">
        <f t="shared" si="2"/>
        <v>0</v>
      </c>
      <c r="AN23" s="343">
        <f t="shared" si="2"/>
        <v>0</v>
      </c>
      <c r="AO23" s="343">
        <f t="shared" si="2"/>
        <v>0</v>
      </c>
      <c r="AP23" s="343">
        <f t="shared" si="2"/>
        <v>0</v>
      </c>
      <c r="AQ23" s="343">
        <f t="shared" si="2"/>
        <v>0</v>
      </c>
      <c r="AR23" s="343">
        <f t="shared" si="2"/>
        <v>0</v>
      </c>
      <c r="AS23" s="343">
        <f t="shared" si="2"/>
        <v>0</v>
      </c>
      <c r="AT23" s="343">
        <f t="shared" si="2"/>
        <v>0</v>
      </c>
      <c r="AU23" s="343">
        <f t="shared" si="2"/>
        <v>0</v>
      </c>
      <c r="AV23" s="343">
        <f t="shared" si="2"/>
        <v>0</v>
      </c>
      <c r="AW23" s="343">
        <f t="shared" ref="AR23:BG38" si="54">IF($N23=AW$7,$DB23,IF($O23=AW$7,$P23,IF($Q23=AW$7,$R23,0)))</f>
        <v>0</v>
      </c>
      <c r="AX23" s="343">
        <f t="shared" si="54"/>
        <v>0</v>
      </c>
      <c r="AY23" s="343">
        <f t="shared" si="54"/>
        <v>0</v>
      </c>
      <c r="AZ23" s="343">
        <f t="shared" si="54"/>
        <v>0</v>
      </c>
      <c r="BA23" s="343">
        <f t="shared" si="54"/>
        <v>0</v>
      </c>
      <c r="BB23" s="343">
        <f t="shared" si="3"/>
        <v>0</v>
      </c>
      <c r="BC23" s="343">
        <f t="shared" si="3"/>
        <v>0</v>
      </c>
      <c r="BD23" s="343">
        <f t="shared" si="3"/>
        <v>0</v>
      </c>
      <c r="BE23" s="343">
        <f t="shared" si="3"/>
        <v>0</v>
      </c>
      <c r="BF23" s="343">
        <f t="shared" si="3"/>
        <v>0</v>
      </c>
      <c r="BG23" s="343">
        <f t="shared" si="3"/>
        <v>0</v>
      </c>
      <c r="BH23" s="343">
        <f t="shared" si="3"/>
        <v>0</v>
      </c>
      <c r="BI23" s="343">
        <f t="shared" si="3"/>
        <v>0</v>
      </c>
      <c r="BJ23" s="343">
        <f t="shared" si="3"/>
        <v>0</v>
      </c>
      <c r="BK23" s="344">
        <f t="shared" si="3"/>
        <v>0</v>
      </c>
      <c r="BM23" s="84">
        <f t="shared" si="29"/>
        <v>0</v>
      </c>
      <c r="BN23" s="85">
        <f t="shared" si="30"/>
        <v>0</v>
      </c>
      <c r="BO23" s="84">
        <f t="shared" si="4"/>
        <v>0</v>
      </c>
      <c r="BP23" s="85">
        <f t="shared" si="5"/>
        <v>0</v>
      </c>
      <c r="BQ23" s="186">
        <f t="shared" si="31"/>
        <v>0</v>
      </c>
      <c r="BR23" s="191">
        <f t="shared" si="32"/>
        <v>0</v>
      </c>
      <c r="BS23" s="186">
        <f t="shared" si="33"/>
        <v>0</v>
      </c>
      <c r="BT23" s="195">
        <f t="shared" si="34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6"/>
        <v/>
      </c>
      <c r="CB23" s="87" t="str">
        <f t="shared" si="36"/>
        <v/>
      </c>
      <c r="CC23" s="88">
        <f t="shared" si="7"/>
        <v>0.31666666666666698</v>
      </c>
      <c r="CD23" s="88" t="str">
        <f t="shared" si="8"/>
        <v/>
      </c>
      <c r="CE23" s="89">
        <f t="shared" si="9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10"/>
        <v/>
      </c>
      <c r="CR23" s="87">
        <f t="shared" si="11"/>
        <v>0</v>
      </c>
      <c r="CS23" s="87">
        <f t="shared" si="12"/>
        <v>0</v>
      </c>
      <c r="CT23" s="87">
        <f t="shared" si="48"/>
        <v>0.31666666666666698</v>
      </c>
      <c r="CU23" s="92">
        <f t="shared" si="13"/>
        <v>0.31666666666666698</v>
      </c>
      <c r="CV23" s="326">
        <f t="shared" si="49"/>
        <v>0.31666666666666698</v>
      </c>
      <c r="CW23" s="362">
        <f t="shared" si="14"/>
        <v>3.3306690738754696E-16</v>
      </c>
      <c r="CX23" s="362">
        <f t="shared" si="50"/>
        <v>1.6666666666668328E-2</v>
      </c>
      <c r="CY23" s="94" t="str">
        <f t="shared" si="51"/>
        <v>+</v>
      </c>
      <c r="CZ23" s="95">
        <f t="shared" si="52"/>
        <v>1.6666666666668328E-2</v>
      </c>
      <c r="DA23" s="363">
        <f t="shared" si="16"/>
        <v>0</v>
      </c>
      <c r="DB23" s="215">
        <f t="shared" si="17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customHeight="1" x14ac:dyDescent="0.2">
      <c r="A24" s="322">
        <f t="shared" si="18"/>
        <v>17</v>
      </c>
      <c r="B24" s="323">
        <f t="shared" si="19"/>
        <v>44213</v>
      </c>
      <c r="C24" s="239"/>
      <c r="D24" s="240"/>
      <c r="E24" s="240"/>
      <c r="F24" s="240"/>
      <c r="G24" s="278"/>
      <c r="H24" s="305">
        <f t="shared" si="20"/>
        <v>1</v>
      </c>
      <c r="I24" s="307" t="str">
        <f t="shared" si="21"/>
        <v/>
      </c>
      <c r="J24" s="312">
        <f t="shared" si="22"/>
        <v>0.31666666666666698</v>
      </c>
      <c r="K24" s="313" t="str">
        <f t="shared" si="23"/>
        <v>+</v>
      </c>
      <c r="L24" s="314">
        <f t="shared" si="24"/>
        <v>1.6666666666668661E-2</v>
      </c>
      <c r="M24" s="315">
        <f t="shared" si="25"/>
        <v>0.40000000040004785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>Z23+1</f>
        <v>44213</v>
      </c>
      <c r="AA24" s="160">
        <f t="shared" si="27"/>
        <v>44213</v>
      </c>
      <c r="AB24" s="160">
        <f t="shared" si="28"/>
        <v>1</v>
      </c>
      <c r="AC24" s="81">
        <f t="shared" si="0"/>
        <v>1</v>
      </c>
      <c r="AD24" s="160">
        <f t="shared" si="1"/>
        <v>0</v>
      </c>
      <c r="AF24" s="337" t="s">
        <v>119</v>
      </c>
      <c r="AG24" s="345"/>
      <c r="AH24" s="343">
        <f t="shared" ref="AH24:AQ38" si="55">IF($N24=AH$7,$DB24,IF($O24=AH$7,$P24,IF($Q24=AH$7,$R24,0)))</f>
        <v>0</v>
      </c>
      <c r="AI24" s="343">
        <f t="shared" si="55"/>
        <v>0</v>
      </c>
      <c r="AJ24" s="343">
        <f t="shared" si="55"/>
        <v>0</v>
      </c>
      <c r="AK24" s="343">
        <f t="shared" si="55"/>
        <v>0</v>
      </c>
      <c r="AL24" s="343">
        <f t="shared" si="55"/>
        <v>0</v>
      </c>
      <c r="AM24" s="343">
        <f t="shared" si="55"/>
        <v>0</v>
      </c>
      <c r="AN24" s="343">
        <f t="shared" si="55"/>
        <v>0</v>
      </c>
      <c r="AO24" s="343">
        <f t="shared" si="55"/>
        <v>0</v>
      </c>
      <c r="AP24" s="343">
        <f t="shared" si="55"/>
        <v>0</v>
      </c>
      <c r="AQ24" s="343">
        <f t="shared" si="55"/>
        <v>0</v>
      </c>
      <c r="AR24" s="343">
        <f t="shared" si="54"/>
        <v>0</v>
      </c>
      <c r="AS24" s="343">
        <f t="shared" si="54"/>
        <v>0</v>
      </c>
      <c r="AT24" s="343">
        <f t="shared" si="54"/>
        <v>0</v>
      </c>
      <c r="AU24" s="343">
        <f t="shared" si="54"/>
        <v>0</v>
      </c>
      <c r="AV24" s="343">
        <f t="shared" si="54"/>
        <v>0</v>
      </c>
      <c r="AW24" s="343">
        <f t="shared" si="54"/>
        <v>0</v>
      </c>
      <c r="AX24" s="343">
        <f t="shared" si="54"/>
        <v>0</v>
      </c>
      <c r="AY24" s="343">
        <f t="shared" si="54"/>
        <v>0</v>
      </c>
      <c r="AZ24" s="343">
        <f t="shared" si="54"/>
        <v>0</v>
      </c>
      <c r="BA24" s="343">
        <f t="shared" si="54"/>
        <v>0</v>
      </c>
      <c r="BB24" s="343">
        <f t="shared" si="54"/>
        <v>0</v>
      </c>
      <c r="BC24" s="343">
        <f t="shared" si="54"/>
        <v>0</v>
      </c>
      <c r="BD24" s="343">
        <f t="shared" si="54"/>
        <v>0</v>
      </c>
      <c r="BE24" s="343">
        <f t="shared" si="54"/>
        <v>0</v>
      </c>
      <c r="BF24" s="343">
        <f t="shared" si="54"/>
        <v>0</v>
      </c>
      <c r="BG24" s="343">
        <f t="shared" si="54"/>
        <v>0</v>
      </c>
      <c r="BH24" s="343">
        <f t="shared" ref="BB24:BK38" si="56">IF($N24=BH$7,$DB24,IF($O24=BH$7,$P24,IF($Q24=BH$7,$R24,0)))</f>
        <v>0</v>
      </c>
      <c r="BI24" s="343">
        <f t="shared" si="56"/>
        <v>0</v>
      </c>
      <c r="BJ24" s="343">
        <f t="shared" si="56"/>
        <v>0</v>
      </c>
      <c r="BK24" s="344">
        <f t="shared" si="56"/>
        <v>0</v>
      </c>
      <c r="BM24" s="84">
        <f t="shared" si="29"/>
        <v>0</v>
      </c>
      <c r="BN24" s="85">
        <f t="shared" si="30"/>
        <v>0</v>
      </c>
      <c r="BO24" s="84">
        <f t="shared" si="4"/>
        <v>0</v>
      </c>
      <c r="BP24" s="85">
        <f t="shared" si="5"/>
        <v>0</v>
      </c>
      <c r="BQ24" s="186">
        <f t="shared" si="31"/>
        <v>0</v>
      </c>
      <c r="BR24" s="191">
        <f t="shared" si="32"/>
        <v>0</v>
      </c>
      <c r="BS24" s="186">
        <f t="shared" si="33"/>
        <v>0</v>
      </c>
      <c r="BT24" s="195">
        <f t="shared" si="34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6"/>
        <v/>
      </c>
      <c r="CB24" s="87" t="str">
        <f t="shared" si="36"/>
        <v/>
      </c>
      <c r="CC24" s="88">
        <f t="shared" si="7"/>
        <v>0.31666666666666698</v>
      </c>
      <c r="CD24" s="88" t="str">
        <f t="shared" si="8"/>
        <v/>
      </c>
      <c r="CE24" s="89">
        <f t="shared" si="9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10"/>
        <v/>
      </c>
      <c r="CR24" s="87">
        <f t="shared" si="11"/>
        <v>0</v>
      </c>
      <c r="CS24" s="87">
        <f t="shared" si="12"/>
        <v>0</v>
      </c>
      <c r="CT24" s="87">
        <f t="shared" si="48"/>
        <v>0.31666666666666698</v>
      </c>
      <c r="CU24" s="92">
        <f t="shared" si="13"/>
        <v>0.31666666666666698</v>
      </c>
      <c r="CV24" s="326">
        <f t="shared" si="49"/>
        <v>0.31666666666666698</v>
      </c>
      <c r="CW24" s="362">
        <f t="shared" si="14"/>
        <v>3.3306690738754696E-16</v>
      </c>
      <c r="CX24" s="362">
        <f t="shared" si="50"/>
        <v>1.6666666666668661E-2</v>
      </c>
      <c r="CY24" s="94" t="str">
        <f t="shared" si="51"/>
        <v>+</v>
      </c>
      <c r="CZ24" s="95">
        <f t="shared" si="52"/>
        <v>1.6666666666668661E-2</v>
      </c>
      <c r="DA24" s="363">
        <f t="shared" si="16"/>
        <v>0</v>
      </c>
      <c r="DB24" s="215">
        <f t="shared" si="17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" customHeight="1" thickBot="1" x14ac:dyDescent="0.25">
      <c r="A25" s="322">
        <f t="shared" si="18"/>
        <v>18</v>
      </c>
      <c r="B25" s="323">
        <f t="shared" si="19"/>
        <v>44214</v>
      </c>
      <c r="C25" s="239"/>
      <c r="D25" s="240"/>
      <c r="E25" s="240"/>
      <c r="F25" s="240"/>
      <c r="G25" s="278"/>
      <c r="H25" s="305" t="str">
        <f t="shared" si="20"/>
        <v/>
      </c>
      <c r="I25" s="307" t="str">
        <f t="shared" si="21"/>
        <v/>
      </c>
      <c r="J25" s="312">
        <f t="shared" si="22"/>
        <v>0</v>
      </c>
      <c r="K25" s="313" t="str">
        <f t="shared" si="23"/>
        <v>+</v>
      </c>
      <c r="L25" s="314">
        <f t="shared" si="24"/>
        <v>1.6666666666668661E-2</v>
      </c>
      <c r="M25" s="315">
        <f t="shared" si="25"/>
        <v>0.40000000040004785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26"/>
        <v>44214</v>
      </c>
      <c r="AA25" s="160">
        <f t="shared" si="27"/>
        <v>44214</v>
      </c>
      <c r="AB25" s="160">
        <f t="shared" si="28"/>
        <v>1</v>
      </c>
      <c r="AC25" s="81">
        <f t="shared" si="0"/>
        <v>2</v>
      </c>
      <c r="AD25" s="160">
        <f t="shared" si="1"/>
        <v>0</v>
      </c>
      <c r="AF25" s="337" t="s">
        <v>119</v>
      </c>
      <c r="AG25" s="345"/>
      <c r="AH25" s="343">
        <f t="shared" si="55"/>
        <v>0</v>
      </c>
      <c r="AI25" s="343">
        <f t="shared" si="55"/>
        <v>0</v>
      </c>
      <c r="AJ25" s="343">
        <f t="shared" si="55"/>
        <v>0</v>
      </c>
      <c r="AK25" s="343">
        <f t="shared" si="55"/>
        <v>0</v>
      </c>
      <c r="AL25" s="343">
        <f t="shared" si="55"/>
        <v>0</v>
      </c>
      <c r="AM25" s="343">
        <f t="shared" si="55"/>
        <v>0</v>
      </c>
      <c r="AN25" s="343">
        <f t="shared" si="55"/>
        <v>0</v>
      </c>
      <c r="AO25" s="343">
        <f t="shared" si="55"/>
        <v>0</v>
      </c>
      <c r="AP25" s="343">
        <f t="shared" si="55"/>
        <v>0</v>
      </c>
      <c r="AQ25" s="343">
        <f t="shared" si="55"/>
        <v>0</v>
      </c>
      <c r="AR25" s="343">
        <f t="shared" si="54"/>
        <v>0</v>
      </c>
      <c r="AS25" s="343">
        <f t="shared" si="54"/>
        <v>0</v>
      </c>
      <c r="AT25" s="343">
        <f t="shared" si="54"/>
        <v>0</v>
      </c>
      <c r="AU25" s="343">
        <f t="shared" si="54"/>
        <v>0</v>
      </c>
      <c r="AV25" s="343">
        <f t="shared" si="54"/>
        <v>0</v>
      </c>
      <c r="AW25" s="343">
        <f t="shared" si="54"/>
        <v>0</v>
      </c>
      <c r="AX25" s="343">
        <f t="shared" si="54"/>
        <v>0</v>
      </c>
      <c r="AY25" s="343">
        <f t="shared" si="54"/>
        <v>0</v>
      </c>
      <c r="AZ25" s="343">
        <f t="shared" si="54"/>
        <v>0</v>
      </c>
      <c r="BA25" s="343">
        <f t="shared" si="54"/>
        <v>0</v>
      </c>
      <c r="BB25" s="343">
        <f t="shared" si="56"/>
        <v>0</v>
      </c>
      <c r="BC25" s="343">
        <f t="shared" si="56"/>
        <v>0</v>
      </c>
      <c r="BD25" s="343">
        <f t="shared" si="56"/>
        <v>0</v>
      </c>
      <c r="BE25" s="343">
        <f t="shared" si="56"/>
        <v>0</v>
      </c>
      <c r="BF25" s="343">
        <f t="shared" si="56"/>
        <v>0</v>
      </c>
      <c r="BG25" s="343">
        <f t="shared" si="56"/>
        <v>0</v>
      </c>
      <c r="BH25" s="343">
        <f t="shared" si="56"/>
        <v>0</v>
      </c>
      <c r="BI25" s="343">
        <f t="shared" si="56"/>
        <v>0</v>
      </c>
      <c r="BJ25" s="343">
        <f t="shared" si="56"/>
        <v>0</v>
      </c>
      <c r="BK25" s="344">
        <f t="shared" si="56"/>
        <v>0</v>
      </c>
      <c r="BM25" s="84">
        <f t="shared" si="29"/>
        <v>0</v>
      </c>
      <c r="BN25" s="85">
        <f t="shared" si="30"/>
        <v>0</v>
      </c>
      <c r="BO25" s="84">
        <f t="shared" si="4"/>
        <v>0</v>
      </c>
      <c r="BP25" s="85">
        <f t="shared" si="5"/>
        <v>0</v>
      </c>
      <c r="BQ25" s="186">
        <f t="shared" si="31"/>
        <v>0</v>
      </c>
      <c r="BR25" s="191">
        <f t="shared" si="32"/>
        <v>0</v>
      </c>
      <c r="BS25" s="186">
        <f t="shared" si="33"/>
        <v>0</v>
      </c>
      <c r="BT25" s="195">
        <f t="shared" si="34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6"/>
        <v/>
      </c>
      <c r="CB25" s="87" t="str">
        <f t="shared" si="36"/>
        <v/>
      </c>
      <c r="CC25" s="88" t="str">
        <f t="shared" si="7"/>
        <v/>
      </c>
      <c r="CD25" s="88" t="str">
        <f t="shared" si="8"/>
        <v/>
      </c>
      <c r="CE25" s="89">
        <f t="shared" si="9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10"/>
        <v/>
      </c>
      <c r="CR25" s="87">
        <f t="shared" si="11"/>
        <v>0</v>
      </c>
      <c r="CS25" s="87">
        <f t="shared" si="12"/>
        <v>0</v>
      </c>
      <c r="CT25" s="87">
        <f t="shared" si="48"/>
        <v>0</v>
      </c>
      <c r="CU25" s="92">
        <f t="shared" si="13"/>
        <v>0</v>
      </c>
      <c r="CV25" s="326">
        <f t="shared" si="49"/>
        <v>0</v>
      </c>
      <c r="CW25" s="362">
        <f t="shared" si="14"/>
        <v>0</v>
      </c>
      <c r="CX25" s="362">
        <f t="shared" si="50"/>
        <v>1.6666666666668661E-2</v>
      </c>
      <c r="CY25" s="94" t="str">
        <f t="shared" si="51"/>
        <v>+</v>
      </c>
      <c r="CZ25" s="95">
        <f t="shared" si="52"/>
        <v>1.6666666666668661E-2</v>
      </c>
      <c r="DA25" s="363">
        <f t="shared" si="16"/>
        <v>0</v>
      </c>
      <c r="DB25" s="215">
        <f t="shared" si="17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customHeight="1" x14ac:dyDescent="0.25">
      <c r="A26" s="322">
        <f t="shared" si="18"/>
        <v>19</v>
      </c>
      <c r="B26" s="323">
        <f t="shared" si="19"/>
        <v>44215</v>
      </c>
      <c r="C26" s="239"/>
      <c r="D26" s="240"/>
      <c r="E26" s="240"/>
      <c r="F26" s="240"/>
      <c r="G26" s="278"/>
      <c r="H26" s="305" t="str">
        <f t="shared" si="20"/>
        <v/>
      </c>
      <c r="I26" s="307" t="str">
        <f t="shared" si="21"/>
        <v/>
      </c>
      <c r="J26" s="312">
        <f t="shared" si="22"/>
        <v>0</v>
      </c>
      <c r="K26" s="313" t="str">
        <f t="shared" si="23"/>
        <v>+</v>
      </c>
      <c r="L26" s="314">
        <f t="shared" si="24"/>
        <v>1.6666666666668661E-2</v>
      </c>
      <c r="M26" s="315">
        <f t="shared" si="25"/>
        <v>0.40000000040004785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26"/>
        <v>44215</v>
      </c>
      <c r="AA26" s="160">
        <f t="shared" si="27"/>
        <v>44215</v>
      </c>
      <c r="AB26" s="160">
        <f t="shared" si="28"/>
        <v>1</v>
      </c>
      <c r="AC26" s="81">
        <f t="shared" si="0"/>
        <v>3</v>
      </c>
      <c r="AD26" s="160">
        <f t="shared" si="1"/>
        <v>0</v>
      </c>
      <c r="AF26" s="337" t="s">
        <v>119</v>
      </c>
      <c r="AG26" s="345"/>
      <c r="AH26" s="343">
        <f t="shared" si="55"/>
        <v>0</v>
      </c>
      <c r="AI26" s="343">
        <f t="shared" si="55"/>
        <v>0</v>
      </c>
      <c r="AJ26" s="343">
        <f t="shared" si="55"/>
        <v>0</v>
      </c>
      <c r="AK26" s="343">
        <f t="shared" si="55"/>
        <v>0</v>
      </c>
      <c r="AL26" s="343">
        <f t="shared" si="55"/>
        <v>0</v>
      </c>
      <c r="AM26" s="343">
        <f t="shared" si="55"/>
        <v>0</v>
      </c>
      <c r="AN26" s="343">
        <f t="shared" si="55"/>
        <v>0</v>
      </c>
      <c r="AO26" s="343">
        <f t="shared" si="55"/>
        <v>0</v>
      </c>
      <c r="AP26" s="343">
        <f t="shared" si="55"/>
        <v>0</v>
      </c>
      <c r="AQ26" s="343">
        <f t="shared" si="55"/>
        <v>0</v>
      </c>
      <c r="AR26" s="343">
        <f t="shared" si="54"/>
        <v>0</v>
      </c>
      <c r="AS26" s="343">
        <f t="shared" si="54"/>
        <v>0</v>
      </c>
      <c r="AT26" s="343">
        <f t="shared" si="54"/>
        <v>0</v>
      </c>
      <c r="AU26" s="343">
        <f t="shared" si="54"/>
        <v>0</v>
      </c>
      <c r="AV26" s="343">
        <f t="shared" si="54"/>
        <v>0</v>
      </c>
      <c r="AW26" s="343">
        <f t="shared" si="54"/>
        <v>0</v>
      </c>
      <c r="AX26" s="343">
        <f t="shared" si="54"/>
        <v>0</v>
      </c>
      <c r="AY26" s="343">
        <f t="shared" si="54"/>
        <v>0</v>
      </c>
      <c r="AZ26" s="343">
        <f t="shared" si="54"/>
        <v>0</v>
      </c>
      <c r="BA26" s="343">
        <f t="shared" si="54"/>
        <v>0</v>
      </c>
      <c r="BB26" s="343">
        <f t="shared" si="56"/>
        <v>0</v>
      </c>
      <c r="BC26" s="343">
        <f t="shared" si="56"/>
        <v>0</v>
      </c>
      <c r="BD26" s="343">
        <f t="shared" si="56"/>
        <v>0</v>
      </c>
      <c r="BE26" s="343">
        <f t="shared" si="56"/>
        <v>0</v>
      </c>
      <c r="BF26" s="343">
        <f t="shared" si="56"/>
        <v>0</v>
      </c>
      <c r="BG26" s="343">
        <f t="shared" si="56"/>
        <v>0</v>
      </c>
      <c r="BH26" s="343">
        <f t="shared" si="56"/>
        <v>0</v>
      </c>
      <c r="BI26" s="343">
        <f t="shared" si="56"/>
        <v>0</v>
      </c>
      <c r="BJ26" s="343">
        <f t="shared" si="56"/>
        <v>0</v>
      </c>
      <c r="BK26" s="344">
        <f t="shared" si="56"/>
        <v>0</v>
      </c>
      <c r="BM26" s="84">
        <f t="shared" si="29"/>
        <v>0</v>
      </c>
      <c r="BN26" s="85">
        <f t="shared" si="30"/>
        <v>0</v>
      </c>
      <c r="BO26" s="84">
        <f t="shared" si="4"/>
        <v>0</v>
      </c>
      <c r="BP26" s="85">
        <f t="shared" si="5"/>
        <v>0</v>
      </c>
      <c r="BQ26" s="186">
        <f t="shared" si="31"/>
        <v>0</v>
      </c>
      <c r="BR26" s="191">
        <f t="shared" si="32"/>
        <v>0</v>
      </c>
      <c r="BS26" s="186">
        <f t="shared" si="33"/>
        <v>0</v>
      </c>
      <c r="BT26" s="195">
        <f t="shared" si="34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6"/>
        <v/>
      </c>
      <c r="CB26" s="87" t="str">
        <f t="shared" si="36"/>
        <v/>
      </c>
      <c r="CC26" s="88" t="str">
        <f t="shared" si="7"/>
        <v/>
      </c>
      <c r="CD26" s="88" t="str">
        <f t="shared" si="8"/>
        <v/>
      </c>
      <c r="CE26" s="89">
        <f t="shared" si="9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10"/>
        <v/>
      </c>
      <c r="CR26" s="87">
        <f t="shared" si="11"/>
        <v>0</v>
      </c>
      <c r="CS26" s="87">
        <f t="shared" si="12"/>
        <v>0</v>
      </c>
      <c r="CT26" s="87">
        <f t="shared" si="48"/>
        <v>0</v>
      </c>
      <c r="CU26" s="92">
        <f t="shared" si="13"/>
        <v>0</v>
      </c>
      <c r="CV26" s="326">
        <f t="shared" si="49"/>
        <v>0</v>
      </c>
      <c r="CW26" s="362">
        <f t="shared" si="14"/>
        <v>0</v>
      </c>
      <c r="CX26" s="362">
        <f t="shared" si="50"/>
        <v>1.6666666666668661E-2</v>
      </c>
      <c r="CY26" s="94" t="str">
        <f t="shared" si="51"/>
        <v>+</v>
      </c>
      <c r="CZ26" s="95">
        <f t="shared" si="52"/>
        <v>1.6666666666668661E-2</v>
      </c>
      <c r="DA26" s="363">
        <f t="shared" si="16"/>
        <v>0</v>
      </c>
      <c r="DB26" s="215">
        <f t="shared" si="17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customHeight="1" x14ac:dyDescent="0.25">
      <c r="A27" s="322">
        <f t="shared" si="18"/>
        <v>20</v>
      </c>
      <c r="B27" s="323">
        <f t="shared" si="19"/>
        <v>44216</v>
      </c>
      <c r="C27" s="239"/>
      <c r="D27" s="240"/>
      <c r="E27" s="240"/>
      <c r="F27" s="240"/>
      <c r="G27" s="278"/>
      <c r="H27" s="305" t="str">
        <f t="shared" si="20"/>
        <v/>
      </c>
      <c r="I27" s="307" t="str">
        <f t="shared" si="21"/>
        <v/>
      </c>
      <c r="J27" s="312">
        <f t="shared" si="22"/>
        <v>0</v>
      </c>
      <c r="K27" s="313" t="str">
        <f t="shared" si="23"/>
        <v>+</v>
      </c>
      <c r="L27" s="314">
        <f t="shared" si="24"/>
        <v>1.6666666666668661E-2</v>
      </c>
      <c r="M27" s="315">
        <f t="shared" si="25"/>
        <v>0.40000000040004785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26"/>
        <v>44216</v>
      </c>
      <c r="AA27" s="160">
        <f t="shared" si="27"/>
        <v>44216</v>
      </c>
      <c r="AB27" s="160">
        <f t="shared" si="28"/>
        <v>1</v>
      </c>
      <c r="AC27" s="81">
        <f t="shared" si="0"/>
        <v>4</v>
      </c>
      <c r="AD27" s="160">
        <f t="shared" si="1"/>
        <v>0</v>
      </c>
      <c r="AF27" s="337" t="s">
        <v>119</v>
      </c>
      <c r="AG27" s="345"/>
      <c r="AH27" s="343">
        <f t="shared" si="55"/>
        <v>0</v>
      </c>
      <c r="AI27" s="343">
        <f t="shared" si="55"/>
        <v>0</v>
      </c>
      <c r="AJ27" s="343">
        <f t="shared" si="55"/>
        <v>0</v>
      </c>
      <c r="AK27" s="343">
        <f t="shared" si="55"/>
        <v>0</v>
      </c>
      <c r="AL27" s="343">
        <f t="shared" si="55"/>
        <v>0</v>
      </c>
      <c r="AM27" s="343">
        <f t="shared" si="55"/>
        <v>0</v>
      </c>
      <c r="AN27" s="343">
        <f t="shared" si="55"/>
        <v>0</v>
      </c>
      <c r="AO27" s="343">
        <f t="shared" si="55"/>
        <v>0</v>
      </c>
      <c r="AP27" s="343">
        <f t="shared" si="55"/>
        <v>0</v>
      </c>
      <c r="AQ27" s="343">
        <f t="shared" si="55"/>
        <v>0</v>
      </c>
      <c r="AR27" s="343">
        <f t="shared" si="54"/>
        <v>0</v>
      </c>
      <c r="AS27" s="343">
        <f t="shared" si="54"/>
        <v>0</v>
      </c>
      <c r="AT27" s="343">
        <f t="shared" si="54"/>
        <v>0</v>
      </c>
      <c r="AU27" s="343">
        <f t="shared" si="54"/>
        <v>0</v>
      </c>
      <c r="AV27" s="343">
        <f t="shared" si="54"/>
        <v>0</v>
      </c>
      <c r="AW27" s="343">
        <f t="shared" si="54"/>
        <v>0</v>
      </c>
      <c r="AX27" s="343">
        <f t="shared" si="54"/>
        <v>0</v>
      </c>
      <c r="AY27" s="343">
        <f t="shared" si="54"/>
        <v>0</v>
      </c>
      <c r="AZ27" s="343">
        <f t="shared" si="54"/>
        <v>0</v>
      </c>
      <c r="BA27" s="343">
        <f t="shared" si="54"/>
        <v>0</v>
      </c>
      <c r="BB27" s="343">
        <f t="shared" si="56"/>
        <v>0</v>
      </c>
      <c r="BC27" s="343">
        <f t="shared" si="56"/>
        <v>0</v>
      </c>
      <c r="BD27" s="343">
        <f t="shared" si="56"/>
        <v>0</v>
      </c>
      <c r="BE27" s="343">
        <f t="shared" si="56"/>
        <v>0</v>
      </c>
      <c r="BF27" s="343">
        <f t="shared" si="56"/>
        <v>0</v>
      </c>
      <c r="BG27" s="343">
        <f t="shared" si="56"/>
        <v>0</v>
      </c>
      <c r="BH27" s="343">
        <f t="shared" si="56"/>
        <v>0</v>
      </c>
      <c r="BI27" s="343">
        <f t="shared" si="56"/>
        <v>0</v>
      </c>
      <c r="BJ27" s="343">
        <f t="shared" si="56"/>
        <v>0</v>
      </c>
      <c r="BK27" s="344">
        <f t="shared" si="56"/>
        <v>0</v>
      </c>
      <c r="BM27" s="84">
        <f t="shared" si="29"/>
        <v>0</v>
      </c>
      <c r="BN27" s="85">
        <f t="shared" si="30"/>
        <v>0</v>
      </c>
      <c r="BO27" s="84">
        <f t="shared" si="4"/>
        <v>0</v>
      </c>
      <c r="BP27" s="85">
        <f t="shared" si="5"/>
        <v>0</v>
      </c>
      <c r="BQ27" s="186">
        <f t="shared" si="31"/>
        <v>0</v>
      </c>
      <c r="BR27" s="191">
        <f t="shared" si="32"/>
        <v>0</v>
      </c>
      <c r="BS27" s="186">
        <f t="shared" si="33"/>
        <v>0</v>
      </c>
      <c r="BT27" s="195">
        <f t="shared" si="34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6"/>
        <v/>
      </c>
      <c r="CB27" s="87" t="str">
        <f t="shared" si="36"/>
        <v/>
      </c>
      <c r="CC27" s="88" t="str">
        <f t="shared" si="7"/>
        <v/>
      </c>
      <c r="CD27" s="88" t="str">
        <f t="shared" si="8"/>
        <v/>
      </c>
      <c r="CE27" s="89">
        <f t="shared" si="9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10"/>
        <v/>
      </c>
      <c r="CR27" s="87">
        <f t="shared" si="11"/>
        <v>0</v>
      </c>
      <c r="CS27" s="87">
        <f t="shared" si="12"/>
        <v>0</v>
      </c>
      <c r="CT27" s="87">
        <f t="shared" si="48"/>
        <v>0</v>
      </c>
      <c r="CU27" s="92">
        <f t="shared" si="13"/>
        <v>0</v>
      </c>
      <c r="CV27" s="326">
        <f t="shared" si="49"/>
        <v>0</v>
      </c>
      <c r="CW27" s="362">
        <f t="shared" si="14"/>
        <v>0</v>
      </c>
      <c r="CX27" s="362">
        <f t="shared" si="50"/>
        <v>1.6666666666668661E-2</v>
      </c>
      <c r="CY27" s="94" t="str">
        <f t="shared" si="51"/>
        <v>+</v>
      </c>
      <c r="CZ27" s="95">
        <f t="shared" si="52"/>
        <v>1.6666666666668661E-2</v>
      </c>
      <c r="DA27" s="363">
        <f t="shared" si="16"/>
        <v>0</v>
      </c>
      <c r="DB27" s="215">
        <f t="shared" si="17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customHeight="1" x14ac:dyDescent="0.25">
      <c r="A28" s="322">
        <f t="shared" si="18"/>
        <v>21</v>
      </c>
      <c r="B28" s="323">
        <f t="shared" si="19"/>
        <v>44217</v>
      </c>
      <c r="C28" s="239"/>
      <c r="D28" s="240"/>
      <c r="E28" s="240"/>
      <c r="F28" s="240"/>
      <c r="G28" s="278"/>
      <c r="H28" s="305" t="str">
        <f t="shared" si="20"/>
        <v/>
      </c>
      <c r="I28" s="307" t="str">
        <f t="shared" si="21"/>
        <v/>
      </c>
      <c r="J28" s="312">
        <f t="shared" si="22"/>
        <v>0</v>
      </c>
      <c r="K28" s="313" t="str">
        <f t="shared" si="23"/>
        <v>+</v>
      </c>
      <c r="L28" s="314">
        <f t="shared" si="24"/>
        <v>1.6666666666668661E-2</v>
      </c>
      <c r="M28" s="315">
        <f t="shared" si="25"/>
        <v>0.40000000040004785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26"/>
        <v>44217</v>
      </c>
      <c r="AA28" s="160">
        <f t="shared" si="27"/>
        <v>44217</v>
      </c>
      <c r="AB28" s="160">
        <f t="shared" si="28"/>
        <v>1</v>
      </c>
      <c r="AC28" s="81">
        <f t="shared" si="0"/>
        <v>5</v>
      </c>
      <c r="AD28" s="160">
        <f t="shared" si="1"/>
        <v>0</v>
      </c>
      <c r="AF28" s="337" t="s">
        <v>119</v>
      </c>
      <c r="AG28" s="345"/>
      <c r="AH28" s="343">
        <f t="shared" si="55"/>
        <v>0</v>
      </c>
      <c r="AI28" s="343">
        <f t="shared" si="55"/>
        <v>0</v>
      </c>
      <c r="AJ28" s="343">
        <f t="shared" si="55"/>
        <v>0</v>
      </c>
      <c r="AK28" s="343">
        <f t="shared" si="55"/>
        <v>0</v>
      </c>
      <c r="AL28" s="343">
        <f t="shared" si="55"/>
        <v>0</v>
      </c>
      <c r="AM28" s="343">
        <f t="shared" si="55"/>
        <v>0</v>
      </c>
      <c r="AN28" s="343">
        <f t="shared" si="55"/>
        <v>0</v>
      </c>
      <c r="AO28" s="343">
        <f t="shared" si="55"/>
        <v>0</v>
      </c>
      <c r="AP28" s="343">
        <f t="shared" si="55"/>
        <v>0</v>
      </c>
      <c r="AQ28" s="343">
        <f t="shared" si="55"/>
        <v>0</v>
      </c>
      <c r="AR28" s="343">
        <f t="shared" si="54"/>
        <v>0</v>
      </c>
      <c r="AS28" s="343">
        <f t="shared" si="54"/>
        <v>0</v>
      </c>
      <c r="AT28" s="343">
        <f t="shared" si="54"/>
        <v>0</v>
      </c>
      <c r="AU28" s="343">
        <f t="shared" si="54"/>
        <v>0</v>
      </c>
      <c r="AV28" s="343">
        <f t="shared" si="54"/>
        <v>0</v>
      </c>
      <c r="AW28" s="343">
        <f t="shared" si="54"/>
        <v>0</v>
      </c>
      <c r="AX28" s="343">
        <f t="shared" si="54"/>
        <v>0</v>
      </c>
      <c r="AY28" s="343">
        <f t="shared" si="54"/>
        <v>0</v>
      </c>
      <c r="AZ28" s="343">
        <f t="shared" si="54"/>
        <v>0</v>
      </c>
      <c r="BA28" s="343">
        <f t="shared" si="54"/>
        <v>0</v>
      </c>
      <c r="BB28" s="343">
        <f t="shared" si="56"/>
        <v>0</v>
      </c>
      <c r="BC28" s="343">
        <f t="shared" si="56"/>
        <v>0</v>
      </c>
      <c r="BD28" s="343">
        <f t="shared" si="56"/>
        <v>0</v>
      </c>
      <c r="BE28" s="343">
        <f t="shared" si="56"/>
        <v>0</v>
      </c>
      <c r="BF28" s="343">
        <f t="shared" si="56"/>
        <v>0</v>
      </c>
      <c r="BG28" s="343">
        <f t="shared" si="56"/>
        <v>0</v>
      </c>
      <c r="BH28" s="343">
        <f t="shared" si="56"/>
        <v>0</v>
      </c>
      <c r="BI28" s="343">
        <f t="shared" si="56"/>
        <v>0</v>
      </c>
      <c r="BJ28" s="343">
        <f t="shared" si="56"/>
        <v>0</v>
      </c>
      <c r="BK28" s="344">
        <f t="shared" si="56"/>
        <v>0</v>
      </c>
      <c r="BM28" s="84">
        <f t="shared" si="29"/>
        <v>0</v>
      </c>
      <c r="BN28" s="85">
        <f t="shared" si="30"/>
        <v>0</v>
      </c>
      <c r="BO28" s="84">
        <f t="shared" si="4"/>
        <v>0</v>
      </c>
      <c r="BP28" s="85">
        <f t="shared" si="5"/>
        <v>0</v>
      </c>
      <c r="BQ28" s="186">
        <f t="shared" si="31"/>
        <v>0</v>
      </c>
      <c r="BR28" s="191">
        <f t="shared" si="32"/>
        <v>0</v>
      </c>
      <c r="BS28" s="186">
        <f t="shared" si="33"/>
        <v>0</v>
      </c>
      <c r="BT28" s="195">
        <f t="shared" si="34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6"/>
        <v/>
      </c>
      <c r="CB28" s="87" t="str">
        <f t="shared" si="36"/>
        <v/>
      </c>
      <c r="CC28" s="88" t="str">
        <f t="shared" si="7"/>
        <v/>
      </c>
      <c r="CD28" s="88" t="str">
        <f t="shared" si="8"/>
        <v/>
      </c>
      <c r="CE28" s="89">
        <f t="shared" si="9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10"/>
        <v/>
      </c>
      <c r="CR28" s="87">
        <f t="shared" si="11"/>
        <v>0</v>
      </c>
      <c r="CS28" s="87">
        <f t="shared" si="12"/>
        <v>0</v>
      </c>
      <c r="CT28" s="87">
        <f t="shared" si="48"/>
        <v>0</v>
      </c>
      <c r="CU28" s="92">
        <f t="shared" si="13"/>
        <v>0</v>
      </c>
      <c r="CV28" s="326">
        <f t="shared" si="49"/>
        <v>0</v>
      </c>
      <c r="CW28" s="362">
        <f t="shared" si="14"/>
        <v>0</v>
      </c>
      <c r="CX28" s="362">
        <f t="shared" si="50"/>
        <v>1.6666666666668661E-2</v>
      </c>
      <c r="CY28" s="94" t="str">
        <f t="shared" si="51"/>
        <v>+</v>
      </c>
      <c r="CZ28" s="95">
        <f t="shared" si="52"/>
        <v>1.6666666666668661E-2</v>
      </c>
      <c r="DA28" s="363">
        <f t="shared" si="16"/>
        <v>0</v>
      </c>
      <c r="DB28" s="215">
        <f t="shared" si="17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" customHeight="1" thickBot="1" x14ac:dyDescent="0.3">
      <c r="A29" s="322">
        <f t="shared" si="18"/>
        <v>22</v>
      </c>
      <c r="B29" s="323">
        <f t="shared" si="19"/>
        <v>44218</v>
      </c>
      <c r="C29" s="239"/>
      <c r="D29" s="240"/>
      <c r="E29" s="240"/>
      <c r="F29" s="240"/>
      <c r="G29" s="278"/>
      <c r="H29" s="305" t="str">
        <f t="shared" si="20"/>
        <v/>
      </c>
      <c r="I29" s="307" t="str">
        <f t="shared" si="21"/>
        <v/>
      </c>
      <c r="J29" s="312">
        <f t="shared" si="22"/>
        <v>0</v>
      </c>
      <c r="K29" s="313" t="str">
        <f t="shared" si="23"/>
        <v>+</v>
      </c>
      <c r="L29" s="314">
        <f t="shared" si="24"/>
        <v>1.6666666666668661E-2</v>
      </c>
      <c r="M29" s="315">
        <f t="shared" si="25"/>
        <v>0.40000000040004785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26"/>
        <v>44218</v>
      </c>
      <c r="AA29" s="160">
        <f t="shared" si="27"/>
        <v>44218</v>
      </c>
      <c r="AB29" s="160">
        <f t="shared" si="28"/>
        <v>1</v>
      </c>
      <c r="AC29" s="81">
        <f t="shared" si="0"/>
        <v>6</v>
      </c>
      <c r="AD29" s="160">
        <f t="shared" si="1"/>
        <v>0</v>
      </c>
      <c r="AF29" s="337" t="s">
        <v>119</v>
      </c>
      <c r="AG29" s="345"/>
      <c r="AH29" s="343">
        <f t="shared" si="55"/>
        <v>0</v>
      </c>
      <c r="AI29" s="343">
        <f t="shared" si="55"/>
        <v>0</v>
      </c>
      <c r="AJ29" s="343">
        <f t="shared" si="55"/>
        <v>0</v>
      </c>
      <c r="AK29" s="343">
        <f t="shared" si="55"/>
        <v>0</v>
      </c>
      <c r="AL29" s="343">
        <f t="shared" si="55"/>
        <v>0</v>
      </c>
      <c r="AM29" s="343">
        <f t="shared" si="55"/>
        <v>0</v>
      </c>
      <c r="AN29" s="343">
        <f t="shared" si="55"/>
        <v>0</v>
      </c>
      <c r="AO29" s="343">
        <f t="shared" si="55"/>
        <v>0</v>
      </c>
      <c r="AP29" s="343">
        <f t="shared" si="55"/>
        <v>0</v>
      </c>
      <c r="AQ29" s="343">
        <f t="shared" si="55"/>
        <v>0</v>
      </c>
      <c r="AR29" s="343">
        <f t="shared" si="54"/>
        <v>0</v>
      </c>
      <c r="AS29" s="343">
        <f t="shared" si="54"/>
        <v>0</v>
      </c>
      <c r="AT29" s="343">
        <f t="shared" si="54"/>
        <v>0</v>
      </c>
      <c r="AU29" s="343">
        <f t="shared" si="54"/>
        <v>0</v>
      </c>
      <c r="AV29" s="343">
        <f t="shared" si="54"/>
        <v>0</v>
      </c>
      <c r="AW29" s="343">
        <f t="shared" si="54"/>
        <v>0</v>
      </c>
      <c r="AX29" s="343">
        <f t="shared" si="54"/>
        <v>0</v>
      </c>
      <c r="AY29" s="343">
        <f t="shared" si="54"/>
        <v>0</v>
      </c>
      <c r="AZ29" s="343">
        <f t="shared" si="54"/>
        <v>0</v>
      </c>
      <c r="BA29" s="343">
        <f t="shared" si="54"/>
        <v>0</v>
      </c>
      <c r="BB29" s="343">
        <f t="shared" si="56"/>
        <v>0</v>
      </c>
      <c r="BC29" s="343">
        <f t="shared" si="56"/>
        <v>0</v>
      </c>
      <c r="BD29" s="343">
        <f t="shared" si="56"/>
        <v>0</v>
      </c>
      <c r="BE29" s="343">
        <f t="shared" si="56"/>
        <v>0</v>
      </c>
      <c r="BF29" s="343">
        <f t="shared" si="56"/>
        <v>0</v>
      </c>
      <c r="BG29" s="343">
        <f t="shared" si="56"/>
        <v>0</v>
      </c>
      <c r="BH29" s="343">
        <f t="shared" si="56"/>
        <v>0</v>
      </c>
      <c r="BI29" s="343">
        <f t="shared" si="56"/>
        <v>0</v>
      </c>
      <c r="BJ29" s="343">
        <f t="shared" si="56"/>
        <v>0</v>
      </c>
      <c r="BK29" s="344">
        <f t="shared" si="56"/>
        <v>0</v>
      </c>
      <c r="BM29" s="84">
        <f t="shared" si="29"/>
        <v>0</v>
      </c>
      <c r="BN29" s="85">
        <f t="shared" si="30"/>
        <v>0</v>
      </c>
      <c r="BO29" s="84">
        <f t="shared" si="4"/>
        <v>0</v>
      </c>
      <c r="BP29" s="85">
        <f t="shared" si="5"/>
        <v>0</v>
      </c>
      <c r="BQ29" s="186">
        <f t="shared" si="31"/>
        <v>0</v>
      </c>
      <c r="BR29" s="191">
        <f t="shared" si="32"/>
        <v>0</v>
      </c>
      <c r="BS29" s="186">
        <f t="shared" si="33"/>
        <v>0</v>
      </c>
      <c r="BT29" s="195">
        <f t="shared" si="34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6"/>
        <v/>
      </c>
      <c r="CB29" s="87" t="str">
        <f t="shared" si="36"/>
        <v/>
      </c>
      <c r="CC29" s="88" t="str">
        <f t="shared" si="7"/>
        <v/>
      </c>
      <c r="CD29" s="88" t="str">
        <f t="shared" si="8"/>
        <v/>
      </c>
      <c r="CE29" s="89">
        <f t="shared" si="9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10"/>
        <v/>
      </c>
      <c r="CR29" s="87">
        <f t="shared" si="11"/>
        <v>0</v>
      </c>
      <c r="CS29" s="87">
        <f t="shared" si="12"/>
        <v>0</v>
      </c>
      <c r="CT29" s="87">
        <f t="shared" si="48"/>
        <v>0</v>
      </c>
      <c r="CU29" s="92">
        <f t="shared" si="13"/>
        <v>0</v>
      </c>
      <c r="CV29" s="326">
        <f t="shared" si="49"/>
        <v>0</v>
      </c>
      <c r="CW29" s="362">
        <f t="shared" si="14"/>
        <v>0</v>
      </c>
      <c r="CX29" s="362">
        <f t="shared" si="50"/>
        <v>1.6666666666668661E-2</v>
      </c>
      <c r="CY29" s="94" t="str">
        <f t="shared" si="51"/>
        <v>+</v>
      </c>
      <c r="CZ29" s="95">
        <f t="shared" si="52"/>
        <v>1.6666666666668661E-2</v>
      </c>
      <c r="DA29" s="363">
        <f t="shared" si="16"/>
        <v>0</v>
      </c>
      <c r="DB29" s="215">
        <f t="shared" si="17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" customHeight="1" thickBot="1" x14ac:dyDescent="0.25">
      <c r="A30" s="322">
        <f t="shared" si="18"/>
        <v>23</v>
      </c>
      <c r="B30" s="323">
        <f t="shared" si="19"/>
        <v>44219</v>
      </c>
      <c r="C30" s="239"/>
      <c r="D30" s="240"/>
      <c r="E30" s="240"/>
      <c r="F30" s="240"/>
      <c r="G30" s="278"/>
      <c r="H30" s="305">
        <f t="shared" si="20"/>
        <v>21</v>
      </c>
      <c r="I30" s="307" t="str">
        <f t="shared" si="21"/>
        <v/>
      </c>
      <c r="J30" s="312">
        <f t="shared" si="22"/>
        <v>0.31666666666666698</v>
      </c>
      <c r="K30" s="313" t="str">
        <f t="shared" si="23"/>
        <v>+</v>
      </c>
      <c r="L30" s="314">
        <f t="shared" si="24"/>
        <v>1.6666666666668994E-2</v>
      </c>
      <c r="M30" s="315">
        <f t="shared" si="25"/>
        <v>0.4000000004000559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26"/>
        <v>44219</v>
      </c>
      <c r="AA30" s="160">
        <f t="shared" si="27"/>
        <v>44219</v>
      </c>
      <c r="AB30" s="160">
        <f t="shared" si="28"/>
        <v>1</v>
      </c>
      <c r="AC30" s="81">
        <f t="shared" si="0"/>
        <v>0</v>
      </c>
      <c r="AD30" s="160">
        <f t="shared" si="1"/>
        <v>0</v>
      </c>
      <c r="AF30" s="337" t="s">
        <v>119</v>
      </c>
      <c r="AG30" s="345"/>
      <c r="AH30" s="343">
        <f t="shared" si="55"/>
        <v>0</v>
      </c>
      <c r="AI30" s="343">
        <f t="shared" si="55"/>
        <v>0</v>
      </c>
      <c r="AJ30" s="343">
        <f t="shared" si="55"/>
        <v>0</v>
      </c>
      <c r="AK30" s="343">
        <f t="shared" si="55"/>
        <v>0</v>
      </c>
      <c r="AL30" s="343">
        <f t="shared" si="55"/>
        <v>0</v>
      </c>
      <c r="AM30" s="343">
        <f t="shared" si="55"/>
        <v>0</v>
      </c>
      <c r="AN30" s="343">
        <f t="shared" si="55"/>
        <v>0</v>
      </c>
      <c r="AO30" s="343">
        <f t="shared" si="55"/>
        <v>0</v>
      </c>
      <c r="AP30" s="343">
        <f t="shared" si="55"/>
        <v>0</v>
      </c>
      <c r="AQ30" s="343">
        <f t="shared" si="55"/>
        <v>0</v>
      </c>
      <c r="AR30" s="343">
        <f t="shared" si="54"/>
        <v>0</v>
      </c>
      <c r="AS30" s="343">
        <f t="shared" si="54"/>
        <v>0</v>
      </c>
      <c r="AT30" s="343">
        <f t="shared" si="54"/>
        <v>0</v>
      </c>
      <c r="AU30" s="343">
        <f t="shared" si="54"/>
        <v>0</v>
      </c>
      <c r="AV30" s="343">
        <f t="shared" si="54"/>
        <v>0</v>
      </c>
      <c r="AW30" s="343">
        <f t="shared" si="54"/>
        <v>0</v>
      </c>
      <c r="AX30" s="343">
        <f t="shared" si="54"/>
        <v>0</v>
      </c>
      <c r="AY30" s="343">
        <f t="shared" si="54"/>
        <v>0</v>
      </c>
      <c r="AZ30" s="343">
        <f t="shared" si="54"/>
        <v>0</v>
      </c>
      <c r="BA30" s="343">
        <f t="shared" si="54"/>
        <v>0</v>
      </c>
      <c r="BB30" s="343">
        <f t="shared" si="56"/>
        <v>0</v>
      </c>
      <c r="BC30" s="343">
        <f t="shared" si="56"/>
        <v>0</v>
      </c>
      <c r="BD30" s="343">
        <f t="shared" si="56"/>
        <v>0</v>
      </c>
      <c r="BE30" s="343">
        <f t="shared" si="56"/>
        <v>0</v>
      </c>
      <c r="BF30" s="343">
        <f t="shared" si="56"/>
        <v>0</v>
      </c>
      <c r="BG30" s="343">
        <f t="shared" si="56"/>
        <v>0</v>
      </c>
      <c r="BH30" s="343">
        <f t="shared" si="56"/>
        <v>0</v>
      </c>
      <c r="BI30" s="343">
        <f t="shared" si="56"/>
        <v>0</v>
      </c>
      <c r="BJ30" s="343">
        <f t="shared" si="56"/>
        <v>0</v>
      </c>
      <c r="BK30" s="344">
        <f t="shared" si="56"/>
        <v>0</v>
      </c>
      <c r="BM30" s="84">
        <f t="shared" si="29"/>
        <v>0</v>
      </c>
      <c r="BN30" s="85">
        <f t="shared" si="30"/>
        <v>0</v>
      </c>
      <c r="BO30" s="84">
        <f t="shared" si="4"/>
        <v>0</v>
      </c>
      <c r="BP30" s="85">
        <f t="shared" si="5"/>
        <v>0</v>
      </c>
      <c r="BQ30" s="186">
        <f t="shared" si="31"/>
        <v>0</v>
      </c>
      <c r="BR30" s="191">
        <f t="shared" si="32"/>
        <v>0</v>
      </c>
      <c r="BS30" s="186">
        <f t="shared" si="33"/>
        <v>0</v>
      </c>
      <c r="BT30" s="195">
        <f t="shared" si="34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6"/>
        <v/>
      </c>
      <c r="CB30" s="87" t="str">
        <f t="shared" si="36"/>
        <v/>
      </c>
      <c r="CC30" s="88">
        <f t="shared" si="7"/>
        <v>0.31666666666666698</v>
      </c>
      <c r="CD30" s="88" t="str">
        <f t="shared" si="8"/>
        <v/>
      </c>
      <c r="CE30" s="89">
        <f t="shared" si="9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10"/>
        <v/>
      </c>
      <c r="CR30" s="87">
        <f t="shared" si="11"/>
        <v>0</v>
      </c>
      <c r="CS30" s="87">
        <f t="shared" si="12"/>
        <v>0</v>
      </c>
      <c r="CT30" s="87">
        <f t="shared" si="48"/>
        <v>0.31666666666666698</v>
      </c>
      <c r="CU30" s="92">
        <f t="shared" si="13"/>
        <v>0.31666666666666698</v>
      </c>
      <c r="CV30" s="326">
        <f t="shared" si="49"/>
        <v>0.31666666666666698</v>
      </c>
      <c r="CW30" s="362">
        <f t="shared" si="14"/>
        <v>3.3306690738754696E-16</v>
      </c>
      <c r="CX30" s="362">
        <f t="shared" si="50"/>
        <v>1.6666666666668994E-2</v>
      </c>
      <c r="CY30" s="94" t="str">
        <f t="shared" si="51"/>
        <v>+</v>
      </c>
      <c r="CZ30" s="95">
        <f t="shared" si="52"/>
        <v>1.6666666666668994E-2</v>
      </c>
      <c r="DA30" s="363">
        <f t="shared" si="16"/>
        <v>0</v>
      </c>
      <c r="DB30" s="215">
        <f t="shared" si="17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customHeight="1" x14ac:dyDescent="0.2">
      <c r="A31" s="322">
        <f t="shared" si="18"/>
        <v>24</v>
      </c>
      <c r="B31" s="323">
        <f t="shared" si="19"/>
        <v>44220</v>
      </c>
      <c r="C31" s="239"/>
      <c r="D31" s="240"/>
      <c r="E31" s="240"/>
      <c r="F31" s="240"/>
      <c r="G31" s="278"/>
      <c r="H31" s="305">
        <f t="shared" si="20"/>
        <v>1</v>
      </c>
      <c r="I31" s="307" t="str">
        <f t="shared" si="21"/>
        <v/>
      </c>
      <c r="J31" s="312">
        <f t="shared" si="22"/>
        <v>0.31666666666666698</v>
      </c>
      <c r="K31" s="313" t="str">
        <f t="shared" si="23"/>
        <v>+</v>
      </c>
      <c r="L31" s="314">
        <f t="shared" si="24"/>
        <v>1.6666666666669328E-2</v>
      </c>
      <c r="M31" s="315">
        <f t="shared" si="25"/>
        <v>0.40000000040006384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26"/>
        <v>44220</v>
      </c>
      <c r="AA31" s="160">
        <f t="shared" si="27"/>
        <v>44220</v>
      </c>
      <c r="AB31" s="160">
        <f t="shared" si="28"/>
        <v>1</v>
      </c>
      <c r="AC31" s="81">
        <f t="shared" si="0"/>
        <v>1</v>
      </c>
      <c r="AD31" s="160">
        <f t="shared" si="1"/>
        <v>0</v>
      </c>
      <c r="AF31" s="337" t="s">
        <v>119</v>
      </c>
      <c r="AG31" s="345"/>
      <c r="AH31" s="343">
        <f t="shared" si="55"/>
        <v>0</v>
      </c>
      <c r="AI31" s="343">
        <f t="shared" si="55"/>
        <v>0</v>
      </c>
      <c r="AJ31" s="343">
        <f t="shared" si="55"/>
        <v>0</v>
      </c>
      <c r="AK31" s="343">
        <f t="shared" si="55"/>
        <v>0</v>
      </c>
      <c r="AL31" s="343">
        <f t="shared" si="55"/>
        <v>0</v>
      </c>
      <c r="AM31" s="343">
        <f t="shared" si="55"/>
        <v>0</v>
      </c>
      <c r="AN31" s="343">
        <f t="shared" si="55"/>
        <v>0</v>
      </c>
      <c r="AO31" s="343">
        <f t="shared" si="55"/>
        <v>0</v>
      </c>
      <c r="AP31" s="343">
        <f t="shared" si="55"/>
        <v>0</v>
      </c>
      <c r="AQ31" s="343">
        <f t="shared" si="55"/>
        <v>0</v>
      </c>
      <c r="AR31" s="343">
        <f t="shared" si="54"/>
        <v>0</v>
      </c>
      <c r="AS31" s="343">
        <f t="shared" si="54"/>
        <v>0</v>
      </c>
      <c r="AT31" s="343">
        <f t="shared" si="54"/>
        <v>0</v>
      </c>
      <c r="AU31" s="343">
        <f t="shared" si="54"/>
        <v>0</v>
      </c>
      <c r="AV31" s="343">
        <f t="shared" si="54"/>
        <v>0</v>
      </c>
      <c r="AW31" s="343">
        <f t="shared" si="54"/>
        <v>0</v>
      </c>
      <c r="AX31" s="343">
        <f t="shared" si="54"/>
        <v>0</v>
      </c>
      <c r="AY31" s="343">
        <f t="shared" si="54"/>
        <v>0</v>
      </c>
      <c r="AZ31" s="343">
        <f t="shared" si="54"/>
        <v>0</v>
      </c>
      <c r="BA31" s="343">
        <f t="shared" si="54"/>
        <v>0</v>
      </c>
      <c r="BB31" s="343">
        <f t="shared" si="56"/>
        <v>0</v>
      </c>
      <c r="BC31" s="343">
        <f t="shared" si="56"/>
        <v>0</v>
      </c>
      <c r="BD31" s="343">
        <f t="shared" si="56"/>
        <v>0</v>
      </c>
      <c r="BE31" s="343">
        <f t="shared" si="56"/>
        <v>0</v>
      </c>
      <c r="BF31" s="343">
        <f t="shared" si="56"/>
        <v>0</v>
      </c>
      <c r="BG31" s="343">
        <f t="shared" si="56"/>
        <v>0</v>
      </c>
      <c r="BH31" s="343">
        <f t="shared" si="56"/>
        <v>0</v>
      </c>
      <c r="BI31" s="343">
        <f t="shared" si="56"/>
        <v>0</v>
      </c>
      <c r="BJ31" s="343">
        <f t="shared" si="56"/>
        <v>0</v>
      </c>
      <c r="BK31" s="344">
        <f t="shared" si="56"/>
        <v>0</v>
      </c>
      <c r="BM31" s="84">
        <f t="shared" si="29"/>
        <v>0</v>
      </c>
      <c r="BN31" s="85">
        <f t="shared" si="30"/>
        <v>0</v>
      </c>
      <c r="BO31" s="84">
        <f t="shared" si="4"/>
        <v>0</v>
      </c>
      <c r="BP31" s="85">
        <f t="shared" si="5"/>
        <v>0</v>
      </c>
      <c r="BQ31" s="186">
        <f t="shared" si="31"/>
        <v>0</v>
      </c>
      <c r="BR31" s="191">
        <f t="shared" si="32"/>
        <v>0</v>
      </c>
      <c r="BS31" s="186">
        <f t="shared" si="33"/>
        <v>0</v>
      </c>
      <c r="BT31" s="195">
        <f t="shared" si="34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6"/>
        <v/>
      </c>
      <c r="CB31" s="87" t="str">
        <f t="shared" si="36"/>
        <v/>
      </c>
      <c r="CC31" s="88">
        <f t="shared" si="7"/>
        <v>0.31666666666666698</v>
      </c>
      <c r="CD31" s="88" t="str">
        <f t="shared" si="8"/>
        <v/>
      </c>
      <c r="CE31" s="89">
        <f t="shared" si="9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10"/>
        <v/>
      </c>
      <c r="CR31" s="87">
        <f t="shared" si="11"/>
        <v>0</v>
      </c>
      <c r="CS31" s="87">
        <f t="shared" si="12"/>
        <v>0</v>
      </c>
      <c r="CT31" s="87">
        <f t="shared" si="48"/>
        <v>0.31666666666666698</v>
      </c>
      <c r="CU31" s="92">
        <f t="shared" si="13"/>
        <v>0.31666666666666698</v>
      </c>
      <c r="CV31" s="326">
        <f t="shared" si="49"/>
        <v>0.31666666666666698</v>
      </c>
      <c r="CW31" s="362">
        <f t="shared" si="14"/>
        <v>3.3306690738754696E-16</v>
      </c>
      <c r="CX31" s="362">
        <f t="shared" si="50"/>
        <v>1.6666666666669328E-2</v>
      </c>
      <c r="CY31" s="94" t="str">
        <f t="shared" si="51"/>
        <v>+</v>
      </c>
      <c r="CZ31" s="95">
        <f t="shared" si="52"/>
        <v>1.6666666666669328E-2</v>
      </c>
      <c r="DA31" s="363">
        <f t="shared" si="16"/>
        <v>0</v>
      </c>
      <c r="DB31" s="215">
        <f t="shared" si="17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" customHeight="1" thickBot="1" x14ac:dyDescent="0.25">
      <c r="A32" s="322">
        <f t="shared" si="18"/>
        <v>25</v>
      </c>
      <c r="B32" s="323">
        <f t="shared" si="19"/>
        <v>44221</v>
      </c>
      <c r="C32" s="239"/>
      <c r="D32" s="240"/>
      <c r="E32" s="240"/>
      <c r="F32" s="240"/>
      <c r="G32" s="278"/>
      <c r="H32" s="305" t="str">
        <f t="shared" si="20"/>
        <v/>
      </c>
      <c r="I32" s="307" t="str">
        <f t="shared" si="21"/>
        <v/>
      </c>
      <c r="J32" s="312">
        <f t="shared" si="22"/>
        <v>0</v>
      </c>
      <c r="K32" s="313" t="str">
        <f t="shared" si="23"/>
        <v>+</v>
      </c>
      <c r="L32" s="314">
        <f t="shared" si="24"/>
        <v>1.6666666666669328E-2</v>
      </c>
      <c r="M32" s="315">
        <f t="shared" si="25"/>
        <v>0.40000000040006384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26"/>
        <v>44221</v>
      </c>
      <c r="AA32" s="160">
        <f t="shared" si="27"/>
        <v>44221</v>
      </c>
      <c r="AB32" s="160">
        <f t="shared" si="28"/>
        <v>1</v>
      </c>
      <c r="AC32" s="81">
        <f t="shared" si="0"/>
        <v>2</v>
      </c>
      <c r="AD32" s="160">
        <f t="shared" si="1"/>
        <v>0</v>
      </c>
      <c r="AF32" s="337" t="s">
        <v>119</v>
      </c>
      <c r="AG32" s="345"/>
      <c r="AH32" s="343">
        <f t="shared" si="55"/>
        <v>0</v>
      </c>
      <c r="AI32" s="343">
        <f t="shared" si="55"/>
        <v>0</v>
      </c>
      <c r="AJ32" s="343">
        <f t="shared" si="55"/>
        <v>0</v>
      </c>
      <c r="AK32" s="343">
        <f t="shared" si="55"/>
        <v>0</v>
      </c>
      <c r="AL32" s="343">
        <f t="shared" si="55"/>
        <v>0</v>
      </c>
      <c r="AM32" s="343">
        <f t="shared" si="55"/>
        <v>0</v>
      </c>
      <c r="AN32" s="343">
        <f t="shared" si="55"/>
        <v>0</v>
      </c>
      <c r="AO32" s="343">
        <f t="shared" si="55"/>
        <v>0</v>
      </c>
      <c r="AP32" s="343">
        <f t="shared" si="55"/>
        <v>0</v>
      </c>
      <c r="AQ32" s="343">
        <f t="shared" si="55"/>
        <v>0</v>
      </c>
      <c r="AR32" s="343">
        <f t="shared" si="54"/>
        <v>0</v>
      </c>
      <c r="AS32" s="343">
        <f t="shared" si="54"/>
        <v>0</v>
      </c>
      <c r="AT32" s="343">
        <f t="shared" si="54"/>
        <v>0</v>
      </c>
      <c r="AU32" s="343">
        <f t="shared" si="54"/>
        <v>0</v>
      </c>
      <c r="AV32" s="343">
        <f t="shared" si="54"/>
        <v>0</v>
      </c>
      <c r="AW32" s="343">
        <f t="shared" si="54"/>
        <v>0</v>
      </c>
      <c r="AX32" s="343">
        <f t="shared" si="54"/>
        <v>0</v>
      </c>
      <c r="AY32" s="343">
        <f t="shared" si="54"/>
        <v>0</v>
      </c>
      <c r="AZ32" s="343">
        <f t="shared" si="54"/>
        <v>0</v>
      </c>
      <c r="BA32" s="343">
        <f t="shared" si="54"/>
        <v>0</v>
      </c>
      <c r="BB32" s="343">
        <f t="shared" si="56"/>
        <v>0</v>
      </c>
      <c r="BC32" s="343">
        <f t="shared" si="56"/>
        <v>0</v>
      </c>
      <c r="BD32" s="343">
        <f t="shared" si="56"/>
        <v>0</v>
      </c>
      <c r="BE32" s="343">
        <f t="shared" si="56"/>
        <v>0</v>
      </c>
      <c r="BF32" s="343">
        <f t="shared" si="56"/>
        <v>0</v>
      </c>
      <c r="BG32" s="343">
        <f t="shared" si="56"/>
        <v>0</v>
      </c>
      <c r="BH32" s="343">
        <f t="shared" si="56"/>
        <v>0</v>
      </c>
      <c r="BI32" s="343">
        <f t="shared" si="56"/>
        <v>0</v>
      </c>
      <c r="BJ32" s="343">
        <f t="shared" si="56"/>
        <v>0</v>
      </c>
      <c r="BK32" s="344">
        <f t="shared" si="56"/>
        <v>0</v>
      </c>
      <c r="BM32" s="84">
        <f t="shared" si="29"/>
        <v>0</v>
      </c>
      <c r="BN32" s="85">
        <f t="shared" si="30"/>
        <v>0</v>
      </c>
      <c r="BO32" s="84">
        <f t="shared" si="4"/>
        <v>0</v>
      </c>
      <c r="BP32" s="85">
        <f t="shared" si="5"/>
        <v>0</v>
      </c>
      <c r="BQ32" s="186">
        <f t="shared" si="31"/>
        <v>0</v>
      </c>
      <c r="BR32" s="191">
        <f t="shared" si="32"/>
        <v>0</v>
      </c>
      <c r="BS32" s="186">
        <f t="shared" si="33"/>
        <v>0</v>
      </c>
      <c r="BT32" s="195">
        <f t="shared" si="34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6"/>
        <v/>
      </c>
      <c r="CB32" s="87" t="str">
        <f t="shared" si="36"/>
        <v/>
      </c>
      <c r="CC32" s="88" t="str">
        <f t="shared" si="7"/>
        <v/>
      </c>
      <c r="CD32" s="88" t="str">
        <f t="shared" si="8"/>
        <v/>
      </c>
      <c r="CE32" s="89">
        <f t="shared" si="9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10"/>
        <v/>
      </c>
      <c r="CR32" s="87">
        <f t="shared" si="11"/>
        <v>0</v>
      </c>
      <c r="CS32" s="87">
        <f t="shared" si="12"/>
        <v>0</v>
      </c>
      <c r="CT32" s="87">
        <f t="shared" si="48"/>
        <v>0</v>
      </c>
      <c r="CU32" s="92">
        <f t="shared" si="13"/>
        <v>0</v>
      </c>
      <c r="CV32" s="326">
        <f t="shared" si="49"/>
        <v>0</v>
      </c>
      <c r="CW32" s="362">
        <f t="shared" si="14"/>
        <v>0</v>
      </c>
      <c r="CX32" s="362">
        <f t="shared" si="50"/>
        <v>1.6666666666669328E-2</v>
      </c>
      <c r="CY32" s="94" t="str">
        <f t="shared" si="51"/>
        <v>+</v>
      </c>
      <c r="CZ32" s="95">
        <f t="shared" si="52"/>
        <v>1.6666666666669328E-2</v>
      </c>
      <c r="DA32" s="363">
        <f t="shared" si="16"/>
        <v>0</v>
      </c>
      <c r="DB32" s="215">
        <f t="shared" si="17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customHeight="1" x14ac:dyDescent="0.2">
      <c r="A33" s="322">
        <f t="shared" si="18"/>
        <v>26</v>
      </c>
      <c r="B33" s="323">
        <f t="shared" si="19"/>
        <v>44222</v>
      </c>
      <c r="C33" s="239"/>
      <c r="D33" s="240"/>
      <c r="E33" s="240"/>
      <c r="F33" s="240"/>
      <c r="G33" s="278"/>
      <c r="H33" s="305" t="str">
        <f t="shared" si="20"/>
        <v/>
      </c>
      <c r="I33" s="307" t="str">
        <f t="shared" si="21"/>
        <v/>
      </c>
      <c r="J33" s="312">
        <f t="shared" si="22"/>
        <v>0</v>
      </c>
      <c r="K33" s="313" t="str">
        <f t="shared" si="23"/>
        <v>+</v>
      </c>
      <c r="L33" s="314">
        <f t="shared" si="24"/>
        <v>1.6666666666669328E-2</v>
      </c>
      <c r="M33" s="315">
        <f t="shared" si="25"/>
        <v>0.40000000040006384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26"/>
        <v>44222</v>
      </c>
      <c r="AA33" s="160">
        <f t="shared" si="27"/>
        <v>44222</v>
      </c>
      <c r="AB33" s="160">
        <f t="shared" si="28"/>
        <v>1</v>
      </c>
      <c r="AC33" s="81">
        <f t="shared" si="0"/>
        <v>3</v>
      </c>
      <c r="AD33" s="160">
        <f t="shared" si="1"/>
        <v>0</v>
      </c>
      <c r="AF33" s="337" t="s">
        <v>119</v>
      </c>
      <c r="AG33" s="345"/>
      <c r="AH33" s="343">
        <f t="shared" si="55"/>
        <v>0</v>
      </c>
      <c r="AI33" s="343">
        <f t="shared" si="55"/>
        <v>0</v>
      </c>
      <c r="AJ33" s="343">
        <f t="shared" si="55"/>
        <v>0</v>
      </c>
      <c r="AK33" s="343">
        <f t="shared" si="55"/>
        <v>0</v>
      </c>
      <c r="AL33" s="343">
        <f t="shared" si="55"/>
        <v>0</v>
      </c>
      <c r="AM33" s="343">
        <f t="shared" si="55"/>
        <v>0</v>
      </c>
      <c r="AN33" s="343">
        <f t="shared" si="55"/>
        <v>0</v>
      </c>
      <c r="AO33" s="343">
        <f t="shared" si="55"/>
        <v>0</v>
      </c>
      <c r="AP33" s="343">
        <f t="shared" si="55"/>
        <v>0</v>
      </c>
      <c r="AQ33" s="343">
        <f t="shared" si="55"/>
        <v>0</v>
      </c>
      <c r="AR33" s="343">
        <f t="shared" si="54"/>
        <v>0</v>
      </c>
      <c r="AS33" s="343">
        <f t="shared" si="54"/>
        <v>0</v>
      </c>
      <c r="AT33" s="343">
        <f t="shared" si="54"/>
        <v>0</v>
      </c>
      <c r="AU33" s="343">
        <f t="shared" si="54"/>
        <v>0</v>
      </c>
      <c r="AV33" s="343">
        <f t="shared" si="54"/>
        <v>0</v>
      </c>
      <c r="AW33" s="343">
        <f t="shared" si="54"/>
        <v>0</v>
      </c>
      <c r="AX33" s="343">
        <f t="shared" si="54"/>
        <v>0</v>
      </c>
      <c r="AY33" s="343">
        <f t="shared" si="54"/>
        <v>0</v>
      </c>
      <c r="AZ33" s="343">
        <f t="shared" si="54"/>
        <v>0</v>
      </c>
      <c r="BA33" s="343">
        <f t="shared" si="54"/>
        <v>0</v>
      </c>
      <c r="BB33" s="343">
        <f t="shared" si="56"/>
        <v>0</v>
      </c>
      <c r="BC33" s="343">
        <f t="shared" si="56"/>
        <v>0</v>
      </c>
      <c r="BD33" s="343">
        <f t="shared" si="56"/>
        <v>0</v>
      </c>
      <c r="BE33" s="343">
        <f t="shared" si="56"/>
        <v>0</v>
      </c>
      <c r="BF33" s="343">
        <f t="shared" si="56"/>
        <v>0</v>
      </c>
      <c r="BG33" s="343">
        <f t="shared" si="56"/>
        <v>0</v>
      </c>
      <c r="BH33" s="343">
        <f t="shared" si="56"/>
        <v>0</v>
      </c>
      <c r="BI33" s="343">
        <f t="shared" si="56"/>
        <v>0</v>
      </c>
      <c r="BJ33" s="343">
        <f t="shared" si="56"/>
        <v>0</v>
      </c>
      <c r="BK33" s="344">
        <f t="shared" si="56"/>
        <v>0</v>
      </c>
      <c r="BM33" s="84">
        <f t="shared" si="29"/>
        <v>0</v>
      </c>
      <c r="BN33" s="85">
        <f t="shared" si="30"/>
        <v>0</v>
      </c>
      <c r="BO33" s="84">
        <f t="shared" si="4"/>
        <v>0</v>
      </c>
      <c r="BP33" s="85">
        <f t="shared" si="5"/>
        <v>0</v>
      </c>
      <c r="BQ33" s="186">
        <f t="shared" si="31"/>
        <v>0</v>
      </c>
      <c r="BR33" s="191">
        <f t="shared" si="32"/>
        <v>0</v>
      </c>
      <c r="BS33" s="186">
        <f t="shared" si="33"/>
        <v>0</v>
      </c>
      <c r="BT33" s="195">
        <f t="shared" si="34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6"/>
        <v/>
      </c>
      <c r="CB33" s="87" t="str">
        <f t="shared" si="36"/>
        <v/>
      </c>
      <c r="CC33" s="88" t="str">
        <f t="shared" si="7"/>
        <v/>
      </c>
      <c r="CD33" s="88" t="str">
        <f t="shared" si="8"/>
        <v/>
      </c>
      <c r="CE33" s="89">
        <f t="shared" si="9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10"/>
        <v/>
      </c>
      <c r="CR33" s="87">
        <f t="shared" si="11"/>
        <v>0</v>
      </c>
      <c r="CS33" s="87">
        <f t="shared" si="12"/>
        <v>0</v>
      </c>
      <c r="CT33" s="87">
        <f t="shared" si="48"/>
        <v>0</v>
      </c>
      <c r="CU33" s="92">
        <f t="shared" si="13"/>
        <v>0</v>
      </c>
      <c r="CV33" s="326">
        <f t="shared" si="49"/>
        <v>0</v>
      </c>
      <c r="CW33" s="362">
        <f t="shared" si="14"/>
        <v>0</v>
      </c>
      <c r="CX33" s="362">
        <f t="shared" si="50"/>
        <v>1.6666666666669328E-2</v>
      </c>
      <c r="CY33" s="94" t="str">
        <f t="shared" si="51"/>
        <v>+</v>
      </c>
      <c r="CZ33" s="95">
        <f t="shared" si="52"/>
        <v>1.6666666666669328E-2</v>
      </c>
      <c r="DA33" s="363">
        <f t="shared" si="16"/>
        <v>0</v>
      </c>
      <c r="DB33" s="215">
        <f t="shared" si="17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customHeight="1" x14ac:dyDescent="0.2">
      <c r="A34" s="322">
        <f t="shared" si="18"/>
        <v>27</v>
      </c>
      <c r="B34" s="323">
        <f t="shared" si="19"/>
        <v>44223</v>
      </c>
      <c r="C34" s="239"/>
      <c r="D34" s="240"/>
      <c r="E34" s="240"/>
      <c r="F34" s="240"/>
      <c r="G34" s="278"/>
      <c r="H34" s="305" t="str">
        <f t="shared" si="20"/>
        <v/>
      </c>
      <c r="I34" s="307" t="str">
        <f t="shared" si="21"/>
        <v/>
      </c>
      <c r="J34" s="312">
        <f t="shared" si="22"/>
        <v>0</v>
      </c>
      <c r="K34" s="313" t="str">
        <f t="shared" si="23"/>
        <v>+</v>
      </c>
      <c r="L34" s="314">
        <f t="shared" si="24"/>
        <v>1.6666666666669328E-2</v>
      </c>
      <c r="M34" s="315">
        <f t="shared" si="25"/>
        <v>0.40000000040006384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26"/>
        <v>44223</v>
      </c>
      <c r="AA34" s="160">
        <f t="shared" si="27"/>
        <v>44223</v>
      </c>
      <c r="AB34" s="160">
        <f t="shared" si="28"/>
        <v>1</v>
      </c>
      <c r="AC34" s="81">
        <f t="shared" si="0"/>
        <v>4</v>
      </c>
      <c r="AD34" s="160">
        <f t="shared" si="1"/>
        <v>0</v>
      </c>
      <c r="AF34" s="337" t="s">
        <v>119</v>
      </c>
      <c r="AG34" s="345"/>
      <c r="AH34" s="343">
        <f t="shared" si="55"/>
        <v>0</v>
      </c>
      <c r="AI34" s="343">
        <f t="shared" si="55"/>
        <v>0</v>
      </c>
      <c r="AJ34" s="343">
        <f t="shared" si="55"/>
        <v>0</v>
      </c>
      <c r="AK34" s="343">
        <f t="shared" si="55"/>
        <v>0</v>
      </c>
      <c r="AL34" s="343">
        <f t="shared" si="55"/>
        <v>0</v>
      </c>
      <c r="AM34" s="343">
        <f t="shared" si="55"/>
        <v>0</v>
      </c>
      <c r="AN34" s="343">
        <f t="shared" si="55"/>
        <v>0</v>
      </c>
      <c r="AO34" s="343">
        <f t="shared" si="55"/>
        <v>0</v>
      </c>
      <c r="AP34" s="343">
        <f t="shared" si="55"/>
        <v>0</v>
      </c>
      <c r="AQ34" s="343">
        <f t="shared" si="55"/>
        <v>0</v>
      </c>
      <c r="AR34" s="343">
        <f t="shared" si="54"/>
        <v>0</v>
      </c>
      <c r="AS34" s="343">
        <f t="shared" si="54"/>
        <v>0</v>
      </c>
      <c r="AT34" s="343">
        <f t="shared" si="54"/>
        <v>0</v>
      </c>
      <c r="AU34" s="343">
        <f t="shared" si="54"/>
        <v>0</v>
      </c>
      <c r="AV34" s="343">
        <f t="shared" si="54"/>
        <v>0</v>
      </c>
      <c r="AW34" s="343">
        <f t="shared" si="54"/>
        <v>0</v>
      </c>
      <c r="AX34" s="343">
        <f t="shared" si="54"/>
        <v>0</v>
      </c>
      <c r="AY34" s="343">
        <f t="shared" si="54"/>
        <v>0</v>
      </c>
      <c r="AZ34" s="343">
        <f t="shared" si="54"/>
        <v>0</v>
      </c>
      <c r="BA34" s="343">
        <f t="shared" si="54"/>
        <v>0</v>
      </c>
      <c r="BB34" s="343">
        <f t="shared" si="56"/>
        <v>0</v>
      </c>
      <c r="BC34" s="343">
        <f t="shared" si="56"/>
        <v>0</v>
      </c>
      <c r="BD34" s="343">
        <f t="shared" si="56"/>
        <v>0</v>
      </c>
      <c r="BE34" s="343">
        <f t="shared" si="56"/>
        <v>0</v>
      </c>
      <c r="BF34" s="343">
        <f t="shared" si="56"/>
        <v>0</v>
      </c>
      <c r="BG34" s="343">
        <f t="shared" si="56"/>
        <v>0</v>
      </c>
      <c r="BH34" s="343">
        <f t="shared" si="56"/>
        <v>0</v>
      </c>
      <c r="BI34" s="343">
        <f t="shared" si="56"/>
        <v>0</v>
      </c>
      <c r="BJ34" s="343">
        <f t="shared" si="56"/>
        <v>0</v>
      </c>
      <c r="BK34" s="344">
        <f t="shared" si="56"/>
        <v>0</v>
      </c>
      <c r="BM34" s="84">
        <f t="shared" si="29"/>
        <v>0</v>
      </c>
      <c r="BN34" s="85">
        <f t="shared" si="30"/>
        <v>0</v>
      </c>
      <c r="BO34" s="84">
        <f t="shared" si="4"/>
        <v>0</v>
      </c>
      <c r="BP34" s="85">
        <f t="shared" si="5"/>
        <v>0</v>
      </c>
      <c r="BQ34" s="186">
        <f t="shared" si="31"/>
        <v>0</v>
      </c>
      <c r="BR34" s="191">
        <f t="shared" si="32"/>
        <v>0</v>
      </c>
      <c r="BS34" s="186">
        <f t="shared" si="33"/>
        <v>0</v>
      </c>
      <c r="BT34" s="195">
        <f t="shared" si="34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6"/>
        <v/>
      </c>
      <c r="CB34" s="87" t="str">
        <f t="shared" si="36"/>
        <v/>
      </c>
      <c r="CC34" s="88" t="str">
        <f t="shared" si="7"/>
        <v/>
      </c>
      <c r="CD34" s="88" t="str">
        <f t="shared" si="8"/>
        <v/>
      </c>
      <c r="CE34" s="89">
        <f t="shared" si="9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10"/>
        <v/>
      </c>
      <c r="CR34" s="87">
        <f t="shared" si="11"/>
        <v>0</v>
      </c>
      <c r="CS34" s="87">
        <f t="shared" si="12"/>
        <v>0</v>
      </c>
      <c r="CT34" s="87">
        <f t="shared" si="48"/>
        <v>0</v>
      </c>
      <c r="CU34" s="92">
        <f t="shared" si="13"/>
        <v>0</v>
      </c>
      <c r="CV34" s="326">
        <f t="shared" si="49"/>
        <v>0</v>
      </c>
      <c r="CW34" s="362">
        <f t="shared" si="14"/>
        <v>0</v>
      </c>
      <c r="CX34" s="362">
        <f t="shared" si="50"/>
        <v>1.6666666666669328E-2</v>
      </c>
      <c r="CY34" s="94" t="str">
        <f t="shared" si="51"/>
        <v>+</v>
      </c>
      <c r="CZ34" s="95">
        <f t="shared" si="52"/>
        <v>1.6666666666669328E-2</v>
      </c>
      <c r="DA34" s="363">
        <f t="shared" si="16"/>
        <v>0</v>
      </c>
      <c r="DB34" s="215">
        <f t="shared" si="17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customHeight="1" x14ac:dyDescent="0.2">
      <c r="A35" s="322">
        <f t="shared" si="18"/>
        <v>28</v>
      </c>
      <c r="B35" s="323">
        <f t="shared" si="19"/>
        <v>44224</v>
      </c>
      <c r="C35" s="239"/>
      <c r="D35" s="240"/>
      <c r="E35" s="240"/>
      <c r="F35" s="240"/>
      <c r="G35" s="278"/>
      <c r="H35" s="305" t="str">
        <f t="shared" si="20"/>
        <v/>
      </c>
      <c r="I35" s="307" t="str">
        <f t="shared" si="21"/>
        <v/>
      </c>
      <c r="J35" s="312">
        <f t="shared" si="22"/>
        <v>0</v>
      </c>
      <c r="K35" s="313" t="str">
        <f t="shared" si="23"/>
        <v>+</v>
      </c>
      <c r="L35" s="314">
        <f t="shared" si="24"/>
        <v>1.6666666666669328E-2</v>
      </c>
      <c r="M35" s="315">
        <f t="shared" si="25"/>
        <v>0.40000000040006384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26"/>
        <v>44224</v>
      </c>
      <c r="AA35" s="160">
        <f t="shared" si="27"/>
        <v>44224</v>
      </c>
      <c r="AB35" s="160">
        <f t="shared" si="28"/>
        <v>1</v>
      </c>
      <c r="AC35" s="81">
        <f t="shared" si="0"/>
        <v>5</v>
      </c>
      <c r="AD35" s="160">
        <f t="shared" si="1"/>
        <v>0</v>
      </c>
      <c r="AF35" s="337" t="s">
        <v>119</v>
      </c>
      <c r="AG35" s="345"/>
      <c r="AH35" s="343">
        <f t="shared" si="55"/>
        <v>0</v>
      </c>
      <c r="AI35" s="343">
        <f t="shared" si="55"/>
        <v>0</v>
      </c>
      <c r="AJ35" s="343">
        <f t="shared" si="55"/>
        <v>0</v>
      </c>
      <c r="AK35" s="343">
        <f t="shared" si="55"/>
        <v>0</v>
      </c>
      <c r="AL35" s="343">
        <f t="shared" si="55"/>
        <v>0</v>
      </c>
      <c r="AM35" s="343">
        <f t="shared" si="55"/>
        <v>0</v>
      </c>
      <c r="AN35" s="343">
        <f t="shared" si="55"/>
        <v>0</v>
      </c>
      <c r="AO35" s="343">
        <f t="shared" si="55"/>
        <v>0</v>
      </c>
      <c r="AP35" s="343">
        <f t="shared" si="55"/>
        <v>0</v>
      </c>
      <c r="AQ35" s="343">
        <f t="shared" si="55"/>
        <v>0</v>
      </c>
      <c r="AR35" s="343">
        <f t="shared" si="54"/>
        <v>0</v>
      </c>
      <c r="AS35" s="343">
        <f t="shared" si="54"/>
        <v>0</v>
      </c>
      <c r="AT35" s="343">
        <f t="shared" si="54"/>
        <v>0</v>
      </c>
      <c r="AU35" s="343">
        <f t="shared" si="54"/>
        <v>0</v>
      </c>
      <c r="AV35" s="343">
        <f t="shared" si="54"/>
        <v>0</v>
      </c>
      <c r="AW35" s="343">
        <f t="shared" si="54"/>
        <v>0</v>
      </c>
      <c r="AX35" s="343">
        <f t="shared" si="54"/>
        <v>0</v>
      </c>
      <c r="AY35" s="343">
        <f t="shared" si="54"/>
        <v>0</v>
      </c>
      <c r="AZ35" s="343">
        <f t="shared" si="54"/>
        <v>0</v>
      </c>
      <c r="BA35" s="343">
        <f t="shared" si="54"/>
        <v>0</v>
      </c>
      <c r="BB35" s="343">
        <f t="shared" si="56"/>
        <v>0</v>
      </c>
      <c r="BC35" s="343">
        <f t="shared" si="56"/>
        <v>0</v>
      </c>
      <c r="BD35" s="343">
        <f t="shared" si="56"/>
        <v>0</v>
      </c>
      <c r="BE35" s="343">
        <f t="shared" si="56"/>
        <v>0</v>
      </c>
      <c r="BF35" s="343">
        <f t="shared" si="56"/>
        <v>0</v>
      </c>
      <c r="BG35" s="343">
        <f t="shared" si="56"/>
        <v>0</v>
      </c>
      <c r="BH35" s="343">
        <f t="shared" si="56"/>
        <v>0</v>
      </c>
      <c r="BI35" s="343">
        <f t="shared" si="56"/>
        <v>0</v>
      </c>
      <c r="BJ35" s="343">
        <f t="shared" si="56"/>
        <v>0</v>
      </c>
      <c r="BK35" s="344">
        <f t="shared" si="56"/>
        <v>0</v>
      </c>
      <c r="BM35" s="84">
        <f t="shared" si="29"/>
        <v>0</v>
      </c>
      <c r="BN35" s="85">
        <f t="shared" si="30"/>
        <v>0</v>
      </c>
      <c r="BO35" s="84">
        <f t="shared" si="4"/>
        <v>0</v>
      </c>
      <c r="BP35" s="85">
        <f t="shared" si="5"/>
        <v>0</v>
      </c>
      <c r="BQ35" s="186">
        <f t="shared" si="31"/>
        <v>0</v>
      </c>
      <c r="BR35" s="191">
        <f t="shared" si="32"/>
        <v>0</v>
      </c>
      <c r="BS35" s="186">
        <f t="shared" si="33"/>
        <v>0</v>
      </c>
      <c r="BT35" s="195">
        <f t="shared" si="34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6"/>
        <v/>
      </c>
      <c r="CB35" s="87" t="str">
        <f t="shared" si="36"/>
        <v/>
      </c>
      <c r="CC35" s="88" t="str">
        <f t="shared" si="7"/>
        <v/>
      </c>
      <c r="CD35" s="88" t="str">
        <f t="shared" si="8"/>
        <v/>
      </c>
      <c r="CE35" s="89">
        <f t="shared" si="9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10"/>
        <v/>
      </c>
      <c r="CR35" s="87">
        <f t="shared" si="11"/>
        <v>0</v>
      </c>
      <c r="CS35" s="87">
        <f t="shared" si="12"/>
        <v>0</v>
      </c>
      <c r="CT35" s="87">
        <f t="shared" si="48"/>
        <v>0</v>
      </c>
      <c r="CU35" s="92">
        <f t="shared" si="13"/>
        <v>0</v>
      </c>
      <c r="CV35" s="326">
        <f t="shared" si="49"/>
        <v>0</v>
      </c>
      <c r="CW35" s="362">
        <f t="shared" si="14"/>
        <v>0</v>
      </c>
      <c r="CX35" s="362">
        <f t="shared" si="50"/>
        <v>1.6666666666669328E-2</v>
      </c>
      <c r="CY35" s="94" t="str">
        <f t="shared" si="51"/>
        <v>+</v>
      </c>
      <c r="CZ35" s="95">
        <f t="shared" si="52"/>
        <v>1.6666666666669328E-2</v>
      </c>
      <c r="DA35" s="363">
        <f t="shared" si="16"/>
        <v>0</v>
      </c>
      <c r="DB35" s="215">
        <f t="shared" si="17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customHeight="1" x14ac:dyDescent="0.2">
      <c r="A36" s="322">
        <f t="shared" si="18"/>
        <v>29</v>
      </c>
      <c r="B36" s="323">
        <f t="shared" si="19"/>
        <v>44225</v>
      </c>
      <c r="C36" s="239"/>
      <c r="D36" s="240"/>
      <c r="E36" s="240"/>
      <c r="F36" s="240"/>
      <c r="G36" s="278"/>
      <c r="H36" s="305" t="str">
        <f t="shared" si="20"/>
        <v/>
      </c>
      <c r="I36" s="307" t="str">
        <f t="shared" si="21"/>
        <v/>
      </c>
      <c r="J36" s="312">
        <f t="shared" si="22"/>
        <v>0</v>
      </c>
      <c r="K36" s="313" t="str">
        <f t="shared" si="23"/>
        <v>+</v>
      </c>
      <c r="L36" s="314">
        <f t="shared" si="24"/>
        <v>1.6666666666669328E-2</v>
      </c>
      <c r="M36" s="315">
        <f t="shared" si="25"/>
        <v>0.40000000040006384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26"/>
        <v>44225</v>
      </c>
      <c r="AA36" s="160">
        <f>IF(AB36&lt;&gt;$AB$8,"",Z36)</f>
        <v>44225</v>
      </c>
      <c r="AB36" s="160">
        <f t="shared" si="28"/>
        <v>1</v>
      </c>
      <c r="AC36" s="81">
        <f t="shared" si="0"/>
        <v>6</v>
      </c>
      <c r="AD36" s="160">
        <f t="shared" si="1"/>
        <v>0</v>
      </c>
      <c r="AF36" s="337" t="s">
        <v>119</v>
      </c>
      <c r="AG36" s="345"/>
      <c r="AH36" s="343">
        <f t="shared" si="55"/>
        <v>0</v>
      </c>
      <c r="AI36" s="343">
        <f t="shared" si="55"/>
        <v>0</v>
      </c>
      <c r="AJ36" s="343">
        <f t="shared" si="55"/>
        <v>0</v>
      </c>
      <c r="AK36" s="343">
        <f t="shared" si="55"/>
        <v>0</v>
      </c>
      <c r="AL36" s="343">
        <f t="shared" si="55"/>
        <v>0</v>
      </c>
      <c r="AM36" s="343">
        <f t="shared" si="55"/>
        <v>0</v>
      </c>
      <c r="AN36" s="343">
        <f t="shared" si="55"/>
        <v>0</v>
      </c>
      <c r="AO36" s="343">
        <f t="shared" si="55"/>
        <v>0</v>
      </c>
      <c r="AP36" s="343">
        <f t="shared" si="55"/>
        <v>0</v>
      </c>
      <c r="AQ36" s="343">
        <f t="shared" si="55"/>
        <v>0</v>
      </c>
      <c r="AR36" s="343">
        <f t="shared" si="54"/>
        <v>0</v>
      </c>
      <c r="AS36" s="343">
        <f t="shared" si="54"/>
        <v>0</v>
      </c>
      <c r="AT36" s="343">
        <f t="shared" si="54"/>
        <v>0</v>
      </c>
      <c r="AU36" s="343">
        <f t="shared" si="54"/>
        <v>0</v>
      </c>
      <c r="AV36" s="343">
        <f t="shared" si="54"/>
        <v>0</v>
      </c>
      <c r="AW36" s="343">
        <f t="shared" si="54"/>
        <v>0</v>
      </c>
      <c r="AX36" s="343">
        <f t="shared" si="54"/>
        <v>0</v>
      </c>
      <c r="AY36" s="343">
        <f t="shared" si="54"/>
        <v>0</v>
      </c>
      <c r="AZ36" s="343">
        <f t="shared" si="54"/>
        <v>0</v>
      </c>
      <c r="BA36" s="343">
        <f t="shared" si="54"/>
        <v>0</v>
      </c>
      <c r="BB36" s="343">
        <f t="shared" si="56"/>
        <v>0</v>
      </c>
      <c r="BC36" s="343">
        <f t="shared" si="56"/>
        <v>0</v>
      </c>
      <c r="BD36" s="343">
        <f t="shared" si="56"/>
        <v>0</v>
      </c>
      <c r="BE36" s="343">
        <f t="shared" si="56"/>
        <v>0</v>
      </c>
      <c r="BF36" s="343">
        <f t="shared" si="56"/>
        <v>0</v>
      </c>
      <c r="BG36" s="343">
        <f t="shared" si="56"/>
        <v>0</v>
      </c>
      <c r="BH36" s="343">
        <f t="shared" si="56"/>
        <v>0</v>
      </c>
      <c r="BI36" s="343">
        <f t="shared" si="56"/>
        <v>0</v>
      </c>
      <c r="BJ36" s="343">
        <f t="shared" si="56"/>
        <v>0</v>
      </c>
      <c r="BK36" s="344">
        <f t="shared" si="56"/>
        <v>0</v>
      </c>
      <c r="BM36" s="84">
        <f t="shared" si="29"/>
        <v>0</v>
      </c>
      <c r="BN36" s="85">
        <f t="shared" si="30"/>
        <v>0</v>
      </c>
      <c r="BO36" s="84">
        <f t="shared" si="4"/>
        <v>0</v>
      </c>
      <c r="BP36" s="85">
        <f t="shared" si="5"/>
        <v>0</v>
      </c>
      <c r="BQ36" s="186">
        <f t="shared" si="31"/>
        <v>0</v>
      </c>
      <c r="BR36" s="191">
        <f t="shared" si="32"/>
        <v>0</v>
      </c>
      <c r="BS36" s="186">
        <f t="shared" si="33"/>
        <v>0</v>
      </c>
      <c r="BT36" s="195">
        <f t="shared" si="34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6"/>
        <v/>
      </c>
      <c r="CB36" s="87" t="str">
        <f t="shared" si="36"/>
        <v/>
      </c>
      <c r="CC36" s="88" t="str">
        <f t="shared" si="7"/>
        <v/>
      </c>
      <c r="CD36" s="88" t="str">
        <f t="shared" si="8"/>
        <v/>
      </c>
      <c r="CE36" s="89">
        <f t="shared" si="9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10"/>
        <v/>
      </c>
      <c r="CR36" s="87">
        <f t="shared" si="11"/>
        <v>0</v>
      </c>
      <c r="CS36" s="87">
        <f t="shared" si="12"/>
        <v>0</v>
      </c>
      <c r="CT36" s="87">
        <f t="shared" si="48"/>
        <v>0</v>
      </c>
      <c r="CU36" s="92">
        <f t="shared" si="13"/>
        <v>0</v>
      </c>
      <c r="CV36" s="326">
        <f t="shared" si="49"/>
        <v>0</v>
      </c>
      <c r="CW36" s="362">
        <f t="shared" si="14"/>
        <v>0</v>
      </c>
      <c r="CX36" s="362">
        <f t="shared" si="50"/>
        <v>1.6666666666669328E-2</v>
      </c>
      <c r="CY36" s="94" t="str">
        <f t="shared" si="51"/>
        <v>+</v>
      </c>
      <c r="CZ36" s="95">
        <f t="shared" si="52"/>
        <v>1.6666666666669328E-2</v>
      </c>
      <c r="DA36" s="363">
        <f t="shared" si="16"/>
        <v>0</v>
      </c>
      <c r="DB36" s="215">
        <f t="shared" si="17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" customHeight="1" thickBot="1" x14ac:dyDescent="0.25">
      <c r="A37" s="322">
        <f t="shared" si="18"/>
        <v>30</v>
      </c>
      <c r="B37" s="323">
        <f t="shared" si="19"/>
        <v>44226</v>
      </c>
      <c r="C37" s="239"/>
      <c r="D37" s="240"/>
      <c r="E37" s="240"/>
      <c r="F37" s="240"/>
      <c r="G37" s="278"/>
      <c r="H37" s="305">
        <f t="shared" si="20"/>
        <v>21</v>
      </c>
      <c r="I37" s="307" t="str">
        <f t="shared" si="21"/>
        <v/>
      </c>
      <c r="J37" s="312">
        <f t="shared" si="22"/>
        <v>0.31666666666666698</v>
      </c>
      <c r="K37" s="313" t="str">
        <f t="shared" si="23"/>
        <v>+</v>
      </c>
      <c r="L37" s="314">
        <f t="shared" si="24"/>
        <v>1.6666666666669661E-2</v>
      </c>
      <c r="M37" s="315">
        <f t="shared" si="25"/>
        <v>0.40000000040007189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26"/>
        <v>44226</v>
      </c>
      <c r="AA37" s="160">
        <f>IF(AB37&lt;&gt;$AB$8,"",Z37)</f>
        <v>44226</v>
      </c>
      <c r="AB37" s="160">
        <f t="shared" si="28"/>
        <v>1</v>
      </c>
      <c r="AC37" s="81">
        <f t="shared" si="0"/>
        <v>0</v>
      </c>
      <c r="AD37" s="160">
        <f t="shared" si="1"/>
        <v>0</v>
      </c>
      <c r="AF37" s="337" t="s">
        <v>119</v>
      </c>
      <c r="AG37" s="345"/>
      <c r="AH37" s="343">
        <f t="shared" si="55"/>
        <v>0</v>
      </c>
      <c r="AI37" s="343">
        <f t="shared" si="55"/>
        <v>0</v>
      </c>
      <c r="AJ37" s="343">
        <f t="shared" si="55"/>
        <v>0</v>
      </c>
      <c r="AK37" s="343">
        <f t="shared" si="55"/>
        <v>0</v>
      </c>
      <c r="AL37" s="343">
        <f t="shared" si="55"/>
        <v>0</v>
      </c>
      <c r="AM37" s="343">
        <f t="shared" si="55"/>
        <v>0</v>
      </c>
      <c r="AN37" s="343">
        <f t="shared" si="55"/>
        <v>0</v>
      </c>
      <c r="AO37" s="343">
        <f t="shared" si="55"/>
        <v>0</v>
      </c>
      <c r="AP37" s="343">
        <f t="shared" si="55"/>
        <v>0</v>
      </c>
      <c r="AQ37" s="343">
        <f t="shared" si="55"/>
        <v>0</v>
      </c>
      <c r="AR37" s="343">
        <f t="shared" si="54"/>
        <v>0</v>
      </c>
      <c r="AS37" s="343">
        <f t="shared" si="54"/>
        <v>0</v>
      </c>
      <c r="AT37" s="343">
        <f t="shared" si="54"/>
        <v>0</v>
      </c>
      <c r="AU37" s="343">
        <f t="shared" si="54"/>
        <v>0</v>
      </c>
      <c r="AV37" s="343">
        <f t="shared" si="54"/>
        <v>0</v>
      </c>
      <c r="AW37" s="343">
        <f t="shared" si="54"/>
        <v>0</v>
      </c>
      <c r="AX37" s="343">
        <f t="shared" si="54"/>
        <v>0</v>
      </c>
      <c r="AY37" s="343">
        <f t="shared" si="54"/>
        <v>0</v>
      </c>
      <c r="AZ37" s="343">
        <f t="shared" si="54"/>
        <v>0</v>
      </c>
      <c r="BA37" s="343">
        <f t="shared" si="54"/>
        <v>0</v>
      </c>
      <c r="BB37" s="343">
        <f t="shared" si="56"/>
        <v>0</v>
      </c>
      <c r="BC37" s="343">
        <f t="shared" si="56"/>
        <v>0</v>
      </c>
      <c r="BD37" s="343">
        <f t="shared" si="56"/>
        <v>0</v>
      </c>
      <c r="BE37" s="343">
        <f t="shared" si="56"/>
        <v>0</v>
      </c>
      <c r="BF37" s="343">
        <f t="shared" si="56"/>
        <v>0</v>
      </c>
      <c r="BG37" s="343">
        <f t="shared" si="56"/>
        <v>0</v>
      </c>
      <c r="BH37" s="343">
        <f t="shared" si="56"/>
        <v>0</v>
      </c>
      <c r="BI37" s="343">
        <f t="shared" si="56"/>
        <v>0</v>
      </c>
      <c r="BJ37" s="343">
        <f t="shared" si="56"/>
        <v>0</v>
      </c>
      <c r="BK37" s="344">
        <f t="shared" si="56"/>
        <v>0</v>
      </c>
      <c r="BM37" s="84">
        <f t="shared" si="29"/>
        <v>0</v>
      </c>
      <c r="BN37" s="85">
        <f t="shared" si="30"/>
        <v>0</v>
      </c>
      <c r="BO37" s="84">
        <f t="shared" si="4"/>
        <v>0</v>
      </c>
      <c r="BP37" s="85">
        <f t="shared" si="5"/>
        <v>0</v>
      </c>
      <c r="BQ37" s="186">
        <f t="shared" si="31"/>
        <v>0</v>
      </c>
      <c r="BR37" s="191">
        <f t="shared" si="32"/>
        <v>0</v>
      </c>
      <c r="BS37" s="186">
        <f t="shared" si="33"/>
        <v>0</v>
      </c>
      <c r="BT37" s="195">
        <f t="shared" si="34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6"/>
        <v/>
      </c>
      <c r="CB37" s="87" t="str">
        <f t="shared" si="36"/>
        <v/>
      </c>
      <c r="CC37" s="88">
        <f t="shared" si="7"/>
        <v>0.31666666666666698</v>
      </c>
      <c r="CD37" s="88" t="str">
        <f t="shared" si="8"/>
        <v/>
      </c>
      <c r="CE37" s="89">
        <f t="shared" si="9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10"/>
        <v/>
      </c>
      <c r="CR37" s="87">
        <f t="shared" si="11"/>
        <v>0</v>
      </c>
      <c r="CS37" s="87">
        <f t="shared" si="12"/>
        <v>0</v>
      </c>
      <c r="CT37" s="87">
        <f t="shared" si="48"/>
        <v>0.31666666666666698</v>
      </c>
      <c r="CU37" s="92">
        <f t="shared" si="13"/>
        <v>0.31666666666666698</v>
      </c>
      <c r="CV37" s="326">
        <f t="shared" si="49"/>
        <v>0.31666666666666698</v>
      </c>
      <c r="CW37" s="362">
        <f t="shared" si="14"/>
        <v>3.3306690738754696E-16</v>
      </c>
      <c r="CX37" s="362">
        <f t="shared" si="50"/>
        <v>1.6666666666669661E-2</v>
      </c>
      <c r="CY37" s="94" t="str">
        <f t="shared" si="51"/>
        <v>+</v>
      </c>
      <c r="CZ37" s="95">
        <f t="shared" si="52"/>
        <v>1.6666666666669661E-2</v>
      </c>
      <c r="DA37" s="363">
        <f t="shared" si="16"/>
        <v>0</v>
      </c>
      <c r="DB37" s="215">
        <f t="shared" si="17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5" customHeight="1" thickTop="1" thickBot="1" x14ac:dyDescent="0.25">
      <c r="A38" s="324">
        <f t="shared" si="18"/>
        <v>31</v>
      </c>
      <c r="B38" s="325">
        <f t="shared" si="19"/>
        <v>44227</v>
      </c>
      <c r="C38" s="246"/>
      <c r="D38" s="247"/>
      <c r="E38" s="247"/>
      <c r="F38" s="247"/>
      <c r="G38" s="267"/>
      <c r="H38" s="305">
        <f t="shared" si="20"/>
        <v>1</v>
      </c>
      <c r="I38" s="307" t="str">
        <f t="shared" si="21"/>
        <v/>
      </c>
      <c r="J38" s="316">
        <f t="shared" si="22"/>
        <v>0.31666666666666698</v>
      </c>
      <c r="K38" s="317" t="str">
        <f t="shared" si="23"/>
        <v>+</v>
      </c>
      <c r="L38" s="318">
        <f t="shared" si="24"/>
        <v>1.6666666666669994E-2</v>
      </c>
      <c r="M38" s="319">
        <f t="shared" si="25"/>
        <v>0.40000000040007982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26"/>
        <v>44227</v>
      </c>
      <c r="AA38" s="161">
        <f>IF(AB38&lt;&gt;$AB$8,"",Z38)</f>
        <v>44227</v>
      </c>
      <c r="AB38" s="161">
        <f t="shared" si="28"/>
        <v>1</v>
      </c>
      <c r="AC38" s="106">
        <f t="shared" si="0"/>
        <v>1</v>
      </c>
      <c r="AD38" s="160">
        <f t="shared" si="1"/>
        <v>0</v>
      </c>
      <c r="AF38" s="337" t="s">
        <v>119</v>
      </c>
      <c r="AG38" s="345"/>
      <c r="AH38" s="343">
        <f t="shared" si="55"/>
        <v>0</v>
      </c>
      <c r="AI38" s="343">
        <f t="shared" si="55"/>
        <v>0</v>
      </c>
      <c r="AJ38" s="343">
        <f t="shared" si="55"/>
        <v>0</v>
      </c>
      <c r="AK38" s="343">
        <f t="shared" si="55"/>
        <v>0</v>
      </c>
      <c r="AL38" s="343">
        <f t="shared" si="55"/>
        <v>0</v>
      </c>
      <c r="AM38" s="343">
        <f t="shared" si="55"/>
        <v>0</v>
      </c>
      <c r="AN38" s="343">
        <f t="shared" si="55"/>
        <v>0</v>
      </c>
      <c r="AO38" s="343">
        <f t="shared" si="55"/>
        <v>0</v>
      </c>
      <c r="AP38" s="343">
        <f t="shared" si="55"/>
        <v>0</v>
      </c>
      <c r="AQ38" s="343">
        <f t="shared" si="55"/>
        <v>0</v>
      </c>
      <c r="AR38" s="343">
        <f t="shared" si="54"/>
        <v>0</v>
      </c>
      <c r="AS38" s="343">
        <f t="shared" si="54"/>
        <v>0</v>
      </c>
      <c r="AT38" s="343">
        <f t="shared" si="54"/>
        <v>0</v>
      </c>
      <c r="AU38" s="343">
        <f t="shared" si="54"/>
        <v>0</v>
      </c>
      <c r="AV38" s="343">
        <f t="shared" si="54"/>
        <v>0</v>
      </c>
      <c r="AW38" s="343">
        <f t="shared" si="54"/>
        <v>0</v>
      </c>
      <c r="AX38" s="343">
        <f t="shared" si="54"/>
        <v>0</v>
      </c>
      <c r="AY38" s="343">
        <f t="shared" si="54"/>
        <v>0</v>
      </c>
      <c r="AZ38" s="343">
        <f t="shared" si="54"/>
        <v>0</v>
      </c>
      <c r="BA38" s="343">
        <f t="shared" si="54"/>
        <v>0</v>
      </c>
      <c r="BB38" s="343">
        <f t="shared" si="56"/>
        <v>0</v>
      </c>
      <c r="BC38" s="343">
        <f t="shared" si="56"/>
        <v>0</v>
      </c>
      <c r="BD38" s="343">
        <f t="shared" si="56"/>
        <v>0</v>
      </c>
      <c r="BE38" s="343">
        <f t="shared" si="56"/>
        <v>0</v>
      </c>
      <c r="BF38" s="343">
        <f t="shared" si="56"/>
        <v>0</v>
      </c>
      <c r="BG38" s="343">
        <f t="shared" si="56"/>
        <v>0</v>
      </c>
      <c r="BH38" s="343">
        <f t="shared" si="56"/>
        <v>0</v>
      </c>
      <c r="BI38" s="343">
        <f t="shared" si="56"/>
        <v>0</v>
      </c>
      <c r="BJ38" s="343">
        <f t="shared" si="56"/>
        <v>0</v>
      </c>
      <c r="BK38" s="344">
        <f t="shared" si="56"/>
        <v>0</v>
      </c>
      <c r="BM38" s="65">
        <f t="shared" si="29"/>
        <v>0</v>
      </c>
      <c r="BN38" s="66">
        <f t="shared" si="30"/>
        <v>0</v>
      </c>
      <c r="BO38" s="65">
        <f t="shared" si="4"/>
        <v>0</v>
      </c>
      <c r="BP38" s="66">
        <f t="shared" si="5"/>
        <v>0</v>
      </c>
      <c r="BQ38" s="192">
        <f t="shared" si="31"/>
        <v>0</v>
      </c>
      <c r="BR38" s="193">
        <f t="shared" si="32"/>
        <v>0</v>
      </c>
      <c r="BS38" s="192">
        <f t="shared" si="33"/>
        <v>0</v>
      </c>
      <c r="BT38" s="196">
        <f t="shared" si="34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6"/>
        <v/>
      </c>
      <c r="CB38" s="87" t="str">
        <f t="shared" si="36"/>
        <v/>
      </c>
      <c r="CC38" s="88">
        <f t="shared" si="7"/>
        <v>0.31666666666666698</v>
      </c>
      <c r="CD38" s="88" t="str">
        <f t="shared" si="8"/>
        <v/>
      </c>
      <c r="CE38" s="89">
        <f t="shared" si="9"/>
        <v>0</v>
      </c>
      <c r="CF38" s="110">
        <f t="shared" si="37"/>
        <v>0.31666666666666698</v>
      </c>
      <c r="CG38" s="91">
        <f t="shared" si="38"/>
        <v>0</v>
      </c>
      <c r="CH38" s="87">
        <f t="shared" si="39"/>
        <v>0</v>
      </c>
      <c r="CI38" s="92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10"/>
        <v/>
      </c>
      <c r="CR38" s="112">
        <f t="shared" si="11"/>
        <v>0</v>
      </c>
      <c r="CS38" s="87">
        <f t="shared" si="12"/>
        <v>0</v>
      </c>
      <c r="CT38" s="87">
        <f t="shared" si="48"/>
        <v>0.31666666666666698</v>
      </c>
      <c r="CU38" s="92">
        <f t="shared" si="13"/>
        <v>0.31666666666666698</v>
      </c>
      <c r="CV38" s="326">
        <f t="shared" si="49"/>
        <v>0.31666666666666698</v>
      </c>
      <c r="CW38" s="362">
        <f t="shared" si="14"/>
        <v>3.3306690738754696E-16</v>
      </c>
      <c r="CX38" s="362">
        <f t="shared" si="50"/>
        <v>1.6666666666669994E-2</v>
      </c>
      <c r="CY38" s="115" t="str">
        <f t="shared" si="51"/>
        <v>+</v>
      </c>
      <c r="CZ38" s="116">
        <f t="shared" si="52"/>
        <v>1.6666666666669994E-2</v>
      </c>
      <c r="DA38" s="364">
        <f t="shared" si="16"/>
        <v>0</v>
      </c>
      <c r="DB38" s="215">
        <f t="shared" si="17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AF39" s="337" t="s">
        <v>120</v>
      </c>
      <c r="AG39" s="346">
        <f t="shared" ref="AG39:BJ39" si="57">ROUND((AG40-INT(AG40))*24+(INT(AG40)*24),0)</f>
        <v>0</v>
      </c>
      <c r="AH39" s="346">
        <f t="shared" si="57"/>
        <v>0</v>
      </c>
      <c r="AI39" s="346">
        <f t="shared" si="57"/>
        <v>0</v>
      </c>
      <c r="AJ39" s="346">
        <f t="shared" si="57"/>
        <v>0</v>
      </c>
      <c r="AK39" s="346">
        <f t="shared" si="57"/>
        <v>0</v>
      </c>
      <c r="AL39" s="346">
        <f t="shared" si="57"/>
        <v>0</v>
      </c>
      <c r="AM39" s="346">
        <f t="shared" si="57"/>
        <v>0</v>
      </c>
      <c r="AN39" s="346">
        <f t="shared" si="57"/>
        <v>0</v>
      </c>
      <c r="AO39" s="346">
        <f t="shared" si="57"/>
        <v>0</v>
      </c>
      <c r="AP39" s="346">
        <f t="shared" si="57"/>
        <v>0</v>
      </c>
      <c r="AQ39" s="346">
        <f t="shared" si="57"/>
        <v>0</v>
      </c>
      <c r="AR39" s="346">
        <f t="shared" si="57"/>
        <v>0</v>
      </c>
      <c r="AS39" s="346">
        <f t="shared" si="57"/>
        <v>0</v>
      </c>
      <c r="AT39" s="346">
        <f t="shared" si="57"/>
        <v>0</v>
      </c>
      <c r="AU39" s="346">
        <f t="shared" si="57"/>
        <v>0</v>
      </c>
      <c r="AV39" s="346">
        <f t="shared" si="57"/>
        <v>0</v>
      </c>
      <c r="AW39" s="346">
        <f t="shared" si="57"/>
        <v>0</v>
      </c>
      <c r="AX39" s="346">
        <f t="shared" si="57"/>
        <v>0</v>
      </c>
      <c r="AY39" s="346">
        <f t="shared" si="57"/>
        <v>0</v>
      </c>
      <c r="AZ39" s="346">
        <f t="shared" si="57"/>
        <v>0</v>
      </c>
      <c r="BA39" s="346">
        <f t="shared" si="57"/>
        <v>0</v>
      </c>
      <c r="BB39" s="346">
        <f t="shared" si="57"/>
        <v>0</v>
      </c>
      <c r="BC39" s="346">
        <f t="shared" si="57"/>
        <v>0</v>
      </c>
      <c r="BD39" s="346">
        <f t="shared" si="57"/>
        <v>0</v>
      </c>
      <c r="BE39" s="346">
        <f t="shared" si="57"/>
        <v>0</v>
      </c>
      <c r="BF39" s="346">
        <f t="shared" si="57"/>
        <v>0</v>
      </c>
      <c r="BG39" s="346">
        <f t="shared" si="57"/>
        <v>0</v>
      </c>
      <c r="BH39" s="346">
        <f t="shared" si="57"/>
        <v>0</v>
      </c>
      <c r="BI39" s="346">
        <f t="shared" si="57"/>
        <v>0</v>
      </c>
      <c r="BJ39" s="346">
        <f t="shared" si="57"/>
        <v>0</v>
      </c>
      <c r="BK39" s="339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I40" s="257" t="s">
        <v>286</v>
      </c>
      <c r="J40" s="258"/>
      <c r="K40" s="258"/>
      <c r="L40" s="258"/>
      <c r="M40" s="259"/>
      <c r="N40" s="119"/>
      <c r="O40" s="119"/>
      <c r="P40" s="119"/>
      <c r="Q40" s="119"/>
      <c r="R40" s="119"/>
      <c r="S40" s="119"/>
      <c r="AF40" s="337" t="s">
        <v>120</v>
      </c>
      <c r="AG40" s="347">
        <f t="shared" ref="AG40:BJ40" si="58">SUM(AH8:AH38)</f>
        <v>0</v>
      </c>
      <c r="AH40" s="347">
        <f t="shared" si="58"/>
        <v>0</v>
      </c>
      <c r="AI40" s="347">
        <f t="shared" si="58"/>
        <v>0</v>
      </c>
      <c r="AJ40" s="347">
        <f t="shared" si="58"/>
        <v>0</v>
      </c>
      <c r="AK40" s="347">
        <f t="shared" si="58"/>
        <v>0</v>
      </c>
      <c r="AL40" s="347">
        <f t="shared" si="58"/>
        <v>0</v>
      </c>
      <c r="AM40" s="347">
        <f t="shared" si="58"/>
        <v>0</v>
      </c>
      <c r="AN40" s="347">
        <f t="shared" si="58"/>
        <v>0</v>
      </c>
      <c r="AO40" s="347">
        <f t="shared" si="58"/>
        <v>0</v>
      </c>
      <c r="AP40" s="347">
        <f t="shared" si="58"/>
        <v>0</v>
      </c>
      <c r="AQ40" s="347">
        <f t="shared" si="58"/>
        <v>0</v>
      </c>
      <c r="AR40" s="347">
        <f t="shared" si="58"/>
        <v>0</v>
      </c>
      <c r="AS40" s="347">
        <f t="shared" si="58"/>
        <v>0</v>
      </c>
      <c r="AT40" s="347">
        <f t="shared" si="58"/>
        <v>0</v>
      </c>
      <c r="AU40" s="347">
        <f t="shared" si="58"/>
        <v>0</v>
      </c>
      <c r="AV40" s="347">
        <f t="shared" si="58"/>
        <v>0</v>
      </c>
      <c r="AW40" s="347">
        <f t="shared" si="58"/>
        <v>0</v>
      </c>
      <c r="AX40" s="347">
        <f t="shared" si="58"/>
        <v>0</v>
      </c>
      <c r="AY40" s="347">
        <f t="shared" si="58"/>
        <v>0</v>
      </c>
      <c r="AZ40" s="347">
        <f t="shared" si="58"/>
        <v>0</v>
      </c>
      <c r="BA40" s="347">
        <f t="shared" si="58"/>
        <v>0</v>
      </c>
      <c r="BB40" s="347">
        <f t="shared" si="58"/>
        <v>0</v>
      </c>
      <c r="BC40" s="347">
        <f t="shared" si="58"/>
        <v>0</v>
      </c>
      <c r="BD40" s="347">
        <f t="shared" si="58"/>
        <v>0</v>
      </c>
      <c r="BE40" s="347">
        <f t="shared" si="58"/>
        <v>0</v>
      </c>
      <c r="BF40" s="347">
        <f t="shared" si="58"/>
        <v>0</v>
      </c>
      <c r="BG40" s="347">
        <f t="shared" si="58"/>
        <v>0</v>
      </c>
      <c r="BH40" s="347">
        <f t="shared" si="58"/>
        <v>0</v>
      </c>
      <c r="BI40" s="347">
        <f t="shared" si="58"/>
        <v>0</v>
      </c>
      <c r="BJ40" s="347">
        <f t="shared" si="58"/>
        <v>0</v>
      </c>
      <c r="BK40" s="339"/>
      <c r="BM40" s="230"/>
      <c r="BN40" s="101"/>
      <c r="BO40" s="230"/>
      <c r="BP40" s="101"/>
      <c r="BQ40" s="230"/>
      <c r="BR40" s="101"/>
      <c r="BS40" s="230"/>
      <c r="BT40" s="101"/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18"/>
      <c r="DE40" s="18"/>
      <c r="DF40" s="18"/>
      <c r="DG40" s="18"/>
      <c r="DH40" s="18"/>
      <c r="DI40" s="18"/>
      <c r="DJ40" s="18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thickBot="1" x14ac:dyDescent="0.25">
      <c r="B41" s="286" t="s">
        <v>287</v>
      </c>
      <c r="C41" s="287" t="s">
        <v>284</v>
      </c>
      <c r="D41" s="288" t="s">
        <v>288</v>
      </c>
      <c r="H41" s="18"/>
      <c r="I41" s="260"/>
      <c r="J41" s="261"/>
      <c r="K41" s="261"/>
      <c r="L41" s="262"/>
      <c r="M41" s="263"/>
      <c r="N41" s="409" t="s">
        <v>36</v>
      </c>
      <c r="O41" s="410"/>
      <c r="P41" s="411" t="s">
        <v>37</v>
      </c>
      <c r="Q41" s="412"/>
      <c r="R41" s="413" t="s">
        <v>151</v>
      </c>
      <c r="S41" s="414"/>
      <c r="T41" s="372"/>
      <c r="V41" s="256">
        <v>1</v>
      </c>
      <c r="AF41" s="337" t="s">
        <v>122</v>
      </c>
      <c r="AG41" s="131" t="e">
        <f t="shared" ref="AG41:BJ41" si="59">AG40/$AG$44</f>
        <v>#DIV/0!</v>
      </c>
      <c r="AH41" s="131" t="e">
        <f t="shared" si="59"/>
        <v>#DIV/0!</v>
      </c>
      <c r="AI41" s="131" t="e">
        <f t="shared" si="59"/>
        <v>#DIV/0!</v>
      </c>
      <c r="AJ41" s="131" t="e">
        <f t="shared" si="59"/>
        <v>#DIV/0!</v>
      </c>
      <c r="AK41" s="131" t="e">
        <f t="shared" si="59"/>
        <v>#DIV/0!</v>
      </c>
      <c r="AL41" s="131" t="e">
        <f t="shared" si="59"/>
        <v>#DIV/0!</v>
      </c>
      <c r="AM41" s="131" t="e">
        <f t="shared" si="59"/>
        <v>#DIV/0!</v>
      </c>
      <c r="AN41" s="131" t="e">
        <f t="shared" si="59"/>
        <v>#DIV/0!</v>
      </c>
      <c r="AO41" s="131" t="e">
        <f t="shared" si="59"/>
        <v>#DIV/0!</v>
      </c>
      <c r="AP41" s="131" t="e">
        <f t="shared" si="59"/>
        <v>#DIV/0!</v>
      </c>
      <c r="AQ41" s="131" t="e">
        <f t="shared" si="59"/>
        <v>#DIV/0!</v>
      </c>
      <c r="AR41" s="131" t="e">
        <f t="shared" si="59"/>
        <v>#DIV/0!</v>
      </c>
      <c r="AS41" s="131" t="e">
        <f t="shared" si="59"/>
        <v>#DIV/0!</v>
      </c>
      <c r="AT41" s="131" t="e">
        <f t="shared" si="59"/>
        <v>#DIV/0!</v>
      </c>
      <c r="AU41" s="131" t="e">
        <f t="shared" si="59"/>
        <v>#DIV/0!</v>
      </c>
      <c r="AV41" s="131" t="e">
        <f t="shared" si="59"/>
        <v>#DIV/0!</v>
      </c>
      <c r="AW41" s="131" t="e">
        <f t="shared" si="59"/>
        <v>#DIV/0!</v>
      </c>
      <c r="AX41" s="131" t="e">
        <f t="shared" si="59"/>
        <v>#DIV/0!</v>
      </c>
      <c r="AY41" s="131" t="e">
        <f t="shared" si="59"/>
        <v>#DIV/0!</v>
      </c>
      <c r="AZ41" s="131" t="e">
        <f t="shared" si="59"/>
        <v>#DIV/0!</v>
      </c>
      <c r="BA41" s="131" t="e">
        <f t="shared" si="59"/>
        <v>#DIV/0!</v>
      </c>
      <c r="BB41" s="131" t="e">
        <f t="shared" si="59"/>
        <v>#DIV/0!</v>
      </c>
      <c r="BC41" s="131" t="e">
        <f t="shared" si="59"/>
        <v>#DIV/0!</v>
      </c>
      <c r="BD41" s="131" t="e">
        <f t="shared" si="59"/>
        <v>#DIV/0!</v>
      </c>
      <c r="BE41" s="131" t="e">
        <f t="shared" si="59"/>
        <v>#DIV/0!</v>
      </c>
      <c r="BF41" s="131" t="e">
        <f t="shared" si="59"/>
        <v>#DIV/0!</v>
      </c>
      <c r="BG41" s="131" t="e">
        <f t="shared" si="59"/>
        <v>#DIV/0!</v>
      </c>
      <c r="BH41" s="131" t="e">
        <f t="shared" si="59"/>
        <v>#DIV/0!</v>
      </c>
      <c r="BI41" s="131" t="e">
        <f t="shared" si="59"/>
        <v>#DIV/0!</v>
      </c>
      <c r="BJ41" s="131" t="e">
        <f t="shared" si="59"/>
        <v>#DIV/0!</v>
      </c>
      <c r="BK41" s="339"/>
      <c r="BM41" s="128">
        <f>SUM(BM8:BM38)</f>
        <v>0</v>
      </c>
      <c r="BN41" s="129">
        <f t="shared" ref="BN41:BT41" si="60">SUM(BN8:BN38)</f>
        <v>0</v>
      </c>
      <c r="BO41" s="128">
        <f t="shared" si="60"/>
        <v>0</v>
      </c>
      <c r="BP41" s="129">
        <f t="shared" si="60"/>
        <v>0</v>
      </c>
      <c r="BQ41" s="128">
        <f t="shared" si="60"/>
        <v>0</v>
      </c>
      <c r="BR41" s="129">
        <f t="shared" si="60"/>
        <v>0</v>
      </c>
      <c r="BS41" s="128">
        <f t="shared" si="60"/>
        <v>0</v>
      </c>
      <c r="BT41" s="129">
        <f t="shared" si="60"/>
        <v>0</v>
      </c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60"/>
      <c r="J42" s="261"/>
      <c r="K42" s="261"/>
      <c r="L42" s="262"/>
      <c r="M42" s="263"/>
      <c r="N42" s="415">
        <f>BQ43</f>
        <v>0</v>
      </c>
      <c r="O42" s="416"/>
      <c r="P42" s="418">
        <f>N42</f>
        <v>0</v>
      </c>
      <c r="Q42" s="419"/>
      <c r="R42" s="418">
        <f>G54-P42</f>
        <v>13</v>
      </c>
      <c r="S42" s="420"/>
      <c r="T42" s="373" t="s">
        <v>291</v>
      </c>
      <c r="U42" s="157"/>
      <c r="AF42" s="337" t="s">
        <v>123</v>
      </c>
      <c r="AG42" s="347" t="e">
        <f t="shared" ref="AG42:BJ42" si="61">INT((AG40/$AG$44)*100)</f>
        <v>#DIV/0!</v>
      </c>
      <c r="AH42" s="347" t="e">
        <f t="shared" si="61"/>
        <v>#DIV/0!</v>
      </c>
      <c r="AI42" s="347" t="e">
        <f t="shared" si="61"/>
        <v>#DIV/0!</v>
      </c>
      <c r="AJ42" s="347" t="e">
        <f t="shared" si="61"/>
        <v>#DIV/0!</v>
      </c>
      <c r="AK42" s="347" t="e">
        <f t="shared" si="61"/>
        <v>#DIV/0!</v>
      </c>
      <c r="AL42" s="347" t="e">
        <f t="shared" si="61"/>
        <v>#DIV/0!</v>
      </c>
      <c r="AM42" s="347" t="e">
        <f t="shared" si="61"/>
        <v>#DIV/0!</v>
      </c>
      <c r="AN42" s="347" t="e">
        <f t="shared" si="61"/>
        <v>#DIV/0!</v>
      </c>
      <c r="AO42" s="347" t="e">
        <f t="shared" si="61"/>
        <v>#DIV/0!</v>
      </c>
      <c r="AP42" s="347" t="e">
        <f t="shared" si="61"/>
        <v>#DIV/0!</v>
      </c>
      <c r="AQ42" s="347" t="e">
        <f t="shared" si="61"/>
        <v>#DIV/0!</v>
      </c>
      <c r="AR42" s="347" t="e">
        <f t="shared" si="61"/>
        <v>#DIV/0!</v>
      </c>
      <c r="AS42" s="347" t="e">
        <f t="shared" si="61"/>
        <v>#DIV/0!</v>
      </c>
      <c r="AT42" s="347" t="e">
        <f t="shared" si="61"/>
        <v>#DIV/0!</v>
      </c>
      <c r="AU42" s="347" t="e">
        <f t="shared" si="61"/>
        <v>#DIV/0!</v>
      </c>
      <c r="AV42" s="347" t="e">
        <f t="shared" si="61"/>
        <v>#DIV/0!</v>
      </c>
      <c r="AW42" s="347" t="e">
        <f t="shared" si="61"/>
        <v>#DIV/0!</v>
      </c>
      <c r="AX42" s="347" t="e">
        <f t="shared" si="61"/>
        <v>#DIV/0!</v>
      </c>
      <c r="AY42" s="347" t="e">
        <f t="shared" si="61"/>
        <v>#DIV/0!</v>
      </c>
      <c r="AZ42" s="347" t="e">
        <f t="shared" si="61"/>
        <v>#DIV/0!</v>
      </c>
      <c r="BA42" s="347" t="e">
        <f t="shared" si="61"/>
        <v>#DIV/0!</v>
      </c>
      <c r="BB42" s="347" t="e">
        <f t="shared" si="61"/>
        <v>#DIV/0!</v>
      </c>
      <c r="BC42" s="347" t="e">
        <f t="shared" si="61"/>
        <v>#DIV/0!</v>
      </c>
      <c r="BD42" s="347" t="e">
        <f t="shared" si="61"/>
        <v>#DIV/0!</v>
      </c>
      <c r="BE42" s="347" t="e">
        <f t="shared" si="61"/>
        <v>#DIV/0!</v>
      </c>
      <c r="BF42" s="347" t="e">
        <f t="shared" si="61"/>
        <v>#DIV/0!</v>
      </c>
      <c r="BG42" s="347" t="e">
        <f t="shared" si="61"/>
        <v>#DIV/0!</v>
      </c>
      <c r="BH42" s="347" t="e">
        <f t="shared" si="61"/>
        <v>#DIV/0!</v>
      </c>
      <c r="BI42" s="347" t="e">
        <f t="shared" si="61"/>
        <v>#DIV/0!</v>
      </c>
      <c r="BJ42" s="347" t="e">
        <f t="shared" si="61"/>
        <v>#DIV/0!</v>
      </c>
      <c r="BK42" s="339"/>
      <c r="BM42" s="132"/>
      <c r="BN42" s="133"/>
      <c r="BO42" s="132"/>
      <c r="BP42" s="133"/>
      <c r="BQ42" s="132"/>
      <c r="BR42" s="133"/>
      <c r="BS42" s="132"/>
      <c r="BT42" s="133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60" t="s">
        <v>276</v>
      </c>
      <c r="J43" s="262"/>
      <c r="K43" s="262"/>
      <c r="L43" s="262"/>
      <c r="M43" s="263"/>
      <c r="N43" s="415">
        <f>BM43</f>
        <v>0</v>
      </c>
      <c r="O43" s="417"/>
      <c r="P43" s="418">
        <f>N43</f>
        <v>0</v>
      </c>
      <c r="Q43" s="419"/>
      <c r="R43" s="418">
        <f>F49+F50-P43</f>
        <v>29</v>
      </c>
      <c r="S43" s="420"/>
      <c r="T43" s="374" t="s">
        <v>292</v>
      </c>
      <c r="U43" s="157"/>
      <c r="AF43" s="337" t="s">
        <v>124</v>
      </c>
      <c r="AG43" s="131" t="e">
        <f>(SUM(AG42:BJ42))/100</f>
        <v>#DIV/0!</v>
      </c>
      <c r="AH43" s="338"/>
      <c r="AI43" s="338"/>
      <c r="AJ43" s="338"/>
      <c r="AK43" s="338"/>
      <c r="AL43" s="338"/>
      <c r="AM43" s="338"/>
      <c r="AN43" s="338"/>
      <c r="AO43" s="338"/>
      <c r="AP43" s="338"/>
      <c r="AQ43" s="338"/>
      <c r="AR43" s="338"/>
      <c r="AS43" s="338"/>
      <c r="AT43" s="338"/>
      <c r="AU43" s="338"/>
      <c r="AV43" s="338"/>
      <c r="AW43" s="338"/>
      <c r="AX43" s="338"/>
      <c r="AY43" s="338"/>
      <c r="AZ43" s="338"/>
      <c r="BA43" s="338"/>
      <c r="BB43" s="338"/>
      <c r="BC43" s="338"/>
      <c r="BD43" s="338"/>
      <c r="BE43" s="338"/>
      <c r="BF43" s="338"/>
      <c r="BG43" s="338"/>
      <c r="BH43" s="338"/>
      <c r="BI43" s="338"/>
      <c r="BJ43" s="338"/>
      <c r="BK43" s="339"/>
      <c r="BM43" s="128">
        <f>BM41+BN41</f>
        <v>0</v>
      </c>
      <c r="BN43" s="101"/>
      <c r="BO43" s="128">
        <f>BO41+BP41</f>
        <v>0</v>
      </c>
      <c r="BP43" s="101"/>
      <c r="BQ43" s="128">
        <f>BQ41+BR41</f>
        <v>0</v>
      </c>
      <c r="BR43" s="101"/>
      <c r="BS43" s="128">
        <f>BS41+BT41</f>
        <v>0</v>
      </c>
      <c r="BT43" s="101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21"/>
      <c r="DE43" s="21"/>
      <c r="DF43" s="21"/>
      <c r="DG43" s="21"/>
      <c r="DH43" s="21"/>
      <c r="DI43" s="21"/>
      <c r="DJ43" s="21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2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H44" s="18"/>
      <c r="I44" s="260"/>
      <c r="J44" s="262"/>
      <c r="K44" s="262"/>
      <c r="L44" s="262"/>
      <c r="M44" s="263"/>
      <c r="N44" s="415">
        <f>BO43</f>
        <v>0</v>
      </c>
      <c r="O44" s="416"/>
      <c r="P44" s="418">
        <f>N44</f>
        <v>0</v>
      </c>
      <c r="Q44" s="419"/>
      <c r="R44" s="418">
        <f>F51+F52-P44</f>
        <v>18</v>
      </c>
      <c r="S44" s="420"/>
      <c r="T44" s="374" t="s">
        <v>293</v>
      </c>
      <c r="U44" s="157"/>
      <c r="V44" s="256">
        <v>1</v>
      </c>
      <c r="AF44" s="337" t="s">
        <v>121</v>
      </c>
      <c r="AG44" s="347">
        <f>SUM(AG40:BJ40)</f>
        <v>0</v>
      </c>
      <c r="AH44" s="338"/>
      <c r="AI44" s="338"/>
      <c r="AJ44" s="338"/>
      <c r="AK44" s="338"/>
      <c r="AL44" s="338"/>
      <c r="AM44" s="338"/>
      <c r="AN44" s="338"/>
      <c r="AO44" s="338"/>
      <c r="AP44" s="338"/>
      <c r="AQ44" s="338"/>
      <c r="AR44" s="338"/>
      <c r="AS44" s="338"/>
      <c r="AT44" s="338"/>
      <c r="AU44" s="338"/>
      <c r="AV44" s="338"/>
      <c r="AW44" s="338"/>
      <c r="AX44" s="338"/>
      <c r="AY44" s="338"/>
      <c r="AZ44" s="338"/>
      <c r="BA44" s="338"/>
      <c r="BB44" s="338"/>
      <c r="BC44" s="338"/>
      <c r="BD44" s="338"/>
      <c r="BE44" s="338"/>
      <c r="BF44" s="338"/>
      <c r="BG44" s="338"/>
      <c r="BH44" s="338"/>
      <c r="BI44" s="338"/>
      <c r="BJ44" s="338"/>
      <c r="BK44" s="339"/>
      <c r="BM44" s="138"/>
      <c r="BN44" s="139"/>
      <c r="BO44" s="138"/>
      <c r="BP44" s="139"/>
      <c r="BQ44" s="138"/>
      <c r="BR44" s="139"/>
      <c r="BS44" s="138"/>
      <c r="BT44" s="139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2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I45" s="260"/>
      <c r="J45" s="262"/>
      <c r="K45" s="262"/>
      <c r="L45" s="262"/>
      <c r="M45" s="263"/>
      <c r="N45" s="404">
        <f>BS43</f>
        <v>0</v>
      </c>
      <c r="O45" s="405"/>
      <c r="P45" s="406">
        <f>N45</f>
        <v>0</v>
      </c>
      <c r="Q45" s="407"/>
      <c r="R45" s="406">
        <f>F53-P45</f>
        <v>1</v>
      </c>
      <c r="S45" s="408"/>
      <c r="T45" s="375" t="s">
        <v>294</v>
      </c>
      <c r="U45" s="157"/>
      <c r="AF45" s="337" t="s">
        <v>121</v>
      </c>
      <c r="AG45" s="346">
        <f>ROUND((AG44-INT(AG44))*24+(INT(AG44)*24),0)</f>
        <v>0</v>
      </c>
      <c r="AH45" s="338"/>
      <c r="AI45" s="338"/>
      <c r="AJ45" s="338"/>
      <c r="AK45" s="338"/>
      <c r="AL45" s="338"/>
      <c r="AM45" s="338"/>
      <c r="AN45" s="338"/>
      <c r="AO45" s="338"/>
      <c r="AP45" s="338"/>
      <c r="AQ45" s="338"/>
      <c r="AR45" s="338"/>
      <c r="AS45" s="338"/>
      <c r="AT45" s="338"/>
      <c r="AU45" s="338"/>
      <c r="AV45" s="338"/>
      <c r="AW45" s="338"/>
      <c r="AX45" s="338"/>
      <c r="AY45" s="338"/>
      <c r="AZ45" s="338"/>
      <c r="BA45" s="338"/>
      <c r="BB45" s="338"/>
      <c r="BC45" s="338"/>
      <c r="BD45" s="338"/>
      <c r="BE45" s="338"/>
      <c r="BF45" s="338"/>
      <c r="BG45" s="338"/>
      <c r="BH45" s="338"/>
      <c r="BI45" s="338"/>
      <c r="BJ45" s="338"/>
      <c r="BK45" s="339"/>
      <c r="CF45" s="134"/>
      <c r="CG45" s="134"/>
      <c r="CH45" s="134"/>
      <c r="CI45" s="134"/>
      <c r="CJ45" s="134"/>
      <c r="CK45" s="361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27"/>
      <c r="DL45" s="183">
        <v>44</v>
      </c>
      <c r="DM45" s="102" t="s">
        <v>53</v>
      </c>
      <c r="DN45" s="103">
        <v>0.31666666666666665</v>
      </c>
      <c r="DO45" s="172">
        <f t="shared" si="62"/>
        <v>0.15833333333333333</v>
      </c>
      <c r="DP45" s="104">
        <v>0</v>
      </c>
      <c r="DQ45" s="179" t="s">
        <v>180</v>
      </c>
      <c r="DR45" s="22"/>
    </row>
    <row r="46" spans="1:122" ht="13.5" customHeight="1" thickBot="1" x14ac:dyDescent="0.25">
      <c r="B46" s="294">
        <v>6</v>
      </c>
      <c r="C46" s="295" t="s">
        <v>283</v>
      </c>
      <c r="D46" s="298">
        <v>0</v>
      </c>
      <c r="I46" s="264"/>
      <c r="J46" s="265"/>
      <c r="K46" s="265"/>
      <c r="L46" s="265"/>
      <c r="M46" s="266"/>
      <c r="O46" s="140"/>
      <c r="P46" s="140"/>
      <c r="T46" s="126"/>
      <c r="AF46" s="348"/>
      <c r="AG46" s="349"/>
      <c r="AH46" s="349"/>
      <c r="AI46" s="349"/>
      <c r="AJ46" s="349"/>
      <c r="AK46" s="349"/>
      <c r="AL46" s="349"/>
      <c r="AM46" s="349"/>
      <c r="AN46" s="349"/>
      <c r="AO46" s="349"/>
      <c r="AP46" s="349"/>
      <c r="AQ46" s="349"/>
      <c r="AR46" s="349"/>
      <c r="AS46" s="349"/>
      <c r="AT46" s="349"/>
      <c r="AU46" s="349"/>
      <c r="AV46" s="349"/>
      <c r="AW46" s="349"/>
      <c r="AX46" s="349"/>
      <c r="AY46" s="349"/>
      <c r="AZ46" s="349"/>
      <c r="BA46" s="349"/>
      <c r="BB46" s="349"/>
      <c r="BC46" s="349"/>
      <c r="BD46" s="349"/>
      <c r="BE46" s="349"/>
      <c r="BF46" s="349"/>
      <c r="BG46" s="349"/>
      <c r="BH46" s="349"/>
      <c r="BI46" s="349"/>
      <c r="BJ46" s="349"/>
      <c r="BK46" s="350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2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351"/>
      <c r="AG47" s="352">
        <f>AG40*24</f>
        <v>0</v>
      </c>
      <c r="AH47" s="352">
        <f t="shared" ref="AH47:BJ47" si="63">AH40*24</f>
        <v>0</v>
      </c>
      <c r="AI47" s="352">
        <f t="shared" si="63"/>
        <v>0</v>
      </c>
      <c r="AJ47" s="352">
        <f t="shared" si="63"/>
        <v>0</v>
      </c>
      <c r="AK47" s="352">
        <f t="shared" si="63"/>
        <v>0</v>
      </c>
      <c r="AL47" s="352">
        <f t="shared" si="63"/>
        <v>0</v>
      </c>
      <c r="AM47" s="352">
        <f t="shared" si="63"/>
        <v>0</v>
      </c>
      <c r="AN47" s="352">
        <f t="shared" si="63"/>
        <v>0</v>
      </c>
      <c r="AO47" s="352">
        <f t="shared" si="63"/>
        <v>0</v>
      </c>
      <c r="AP47" s="352">
        <f t="shared" si="63"/>
        <v>0</v>
      </c>
      <c r="AQ47" s="352">
        <f t="shared" si="63"/>
        <v>0</v>
      </c>
      <c r="AR47" s="352">
        <f t="shared" si="63"/>
        <v>0</v>
      </c>
      <c r="AS47" s="352">
        <f t="shared" si="63"/>
        <v>0</v>
      </c>
      <c r="AT47" s="352">
        <f t="shared" si="63"/>
        <v>0</v>
      </c>
      <c r="AU47" s="352">
        <f t="shared" si="63"/>
        <v>0</v>
      </c>
      <c r="AV47" s="352">
        <f t="shared" si="63"/>
        <v>0</v>
      </c>
      <c r="AW47" s="352">
        <f t="shared" si="63"/>
        <v>0</v>
      </c>
      <c r="AX47" s="352">
        <f t="shared" si="63"/>
        <v>0</v>
      </c>
      <c r="AY47" s="352">
        <f t="shared" si="63"/>
        <v>0</v>
      </c>
      <c r="AZ47" s="352">
        <f t="shared" si="63"/>
        <v>0</v>
      </c>
      <c r="BA47" s="352">
        <f t="shared" si="63"/>
        <v>0</v>
      </c>
      <c r="BB47" s="352">
        <f t="shared" si="63"/>
        <v>0</v>
      </c>
      <c r="BC47" s="352">
        <f t="shared" si="63"/>
        <v>0</v>
      </c>
      <c r="BD47" s="352">
        <f t="shared" si="63"/>
        <v>0</v>
      </c>
      <c r="BE47" s="352">
        <f t="shared" si="63"/>
        <v>0</v>
      </c>
      <c r="BF47" s="352">
        <f t="shared" si="63"/>
        <v>0</v>
      </c>
      <c r="BG47" s="352">
        <f t="shared" si="63"/>
        <v>0</v>
      </c>
      <c r="BH47" s="352">
        <f t="shared" si="63"/>
        <v>0</v>
      </c>
      <c r="BI47" s="352">
        <f t="shared" si="63"/>
        <v>0</v>
      </c>
      <c r="BJ47" s="352">
        <f t="shared" si="63"/>
        <v>0</v>
      </c>
      <c r="BK47" s="336"/>
      <c r="CH47" s="141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2"/>
        <v>0.15833333333333349</v>
      </c>
      <c r="DP47" s="104">
        <v>0</v>
      </c>
      <c r="DQ47" s="179" t="s">
        <v>215</v>
      </c>
      <c r="DR47" s="22"/>
    </row>
    <row r="48" spans="1:122" ht="13.5" customHeight="1" thickBot="1" x14ac:dyDescent="0.3">
      <c r="A48" s="425" t="s">
        <v>266</v>
      </c>
      <c r="B48" s="425"/>
      <c r="C48" s="425"/>
      <c r="D48" s="425"/>
      <c r="E48" s="425"/>
      <c r="F48" s="425"/>
      <c r="G48" s="425"/>
      <c r="T48" s="126"/>
      <c r="AF48" s="337"/>
      <c r="AG48" s="343">
        <f>AG44*24</f>
        <v>0</v>
      </c>
      <c r="AH48" s="338"/>
      <c r="AI48" s="338"/>
      <c r="AJ48" s="338"/>
      <c r="AK48" s="338"/>
      <c r="AL48" s="338"/>
      <c r="AM48" s="338"/>
      <c r="AN48" s="338"/>
      <c r="AO48" s="338"/>
      <c r="AP48" s="338"/>
      <c r="AQ48" s="338"/>
      <c r="AR48" s="338"/>
      <c r="AS48" s="338"/>
      <c r="AT48" s="338"/>
      <c r="AU48" s="338"/>
      <c r="AV48" s="338"/>
      <c r="AW48" s="338"/>
      <c r="AX48" s="338"/>
      <c r="AY48" s="338"/>
      <c r="AZ48" s="338"/>
      <c r="BA48" s="338"/>
      <c r="BB48" s="338"/>
      <c r="BC48" s="338"/>
      <c r="BD48" s="338"/>
      <c r="BE48" s="338"/>
      <c r="BF48" s="338"/>
      <c r="BG48" s="338"/>
      <c r="BH48" s="338"/>
      <c r="BI48" s="338"/>
      <c r="BJ48" s="338"/>
      <c r="BK48" s="339"/>
      <c r="CH48" s="143"/>
      <c r="CI48" s="134"/>
      <c r="CJ48" s="134"/>
      <c r="CK48" s="134"/>
      <c r="CL48" s="134"/>
      <c r="CM48" s="134"/>
      <c r="CN48" s="134"/>
      <c r="CO48" s="134"/>
      <c r="CP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2"/>
        <v>0.15833333333333349</v>
      </c>
      <c r="DP48" s="104">
        <v>0</v>
      </c>
      <c r="DQ48" s="179" t="s">
        <v>216</v>
      </c>
      <c r="DR48" s="22"/>
    </row>
    <row r="49" spans="1:122" ht="13.5" customHeight="1" x14ac:dyDescent="0.2">
      <c r="A49" s="443" t="s">
        <v>146</v>
      </c>
      <c r="B49" s="444"/>
      <c r="C49" s="444"/>
      <c r="D49" s="444"/>
      <c r="E49" s="368">
        <v>24</v>
      </c>
      <c r="F49" s="283">
        <f>E49</f>
        <v>24</v>
      </c>
      <c r="G49" s="435">
        <f>SUM(E49:E50)</f>
        <v>29</v>
      </c>
      <c r="T49" s="126"/>
      <c r="AF49" s="337"/>
      <c r="AG49" s="353" t="e">
        <f t="shared" ref="AG49:BJ49" si="64">AG47/$AG$48</f>
        <v>#DIV/0!</v>
      </c>
      <c r="AH49" s="353" t="e">
        <f t="shared" si="64"/>
        <v>#DIV/0!</v>
      </c>
      <c r="AI49" s="353" t="e">
        <f t="shared" si="64"/>
        <v>#DIV/0!</v>
      </c>
      <c r="AJ49" s="353" t="e">
        <f t="shared" si="64"/>
        <v>#DIV/0!</v>
      </c>
      <c r="AK49" s="353" t="e">
        <f t="shared" si="64"/>
        <v>#DIV/0!</v>
      </c>
      <c r="AL49" s="353" t="e">
        <f t="shared" si="64"/>
        <v>#DIV/0!</v>
      </c>
      <c r="AM49" s="353" t="e">
        <f t="shared" si="64"/>
        <v>#DIV/0!</v>
      </c>
      <c r="AN49" s="353" t="e">
        <f t="shared" si="64"/>
        <v>#DIV/0!</v>
      </c>
      <c r="AO49" s="353" t="e">
        <f t="shared" si="64"/>
        <v>#DIV/0!</v>
      </c>
      <c r="AP49" s="353" t="e">
        <f t="shared" si="64"/>
        <v>#DIV/0!</v>
      </c>
      <c r="AQ49" s="353" t="e">
        <f t="shared" si="64"/>
        <v>#DIV/0!</v>
      </c>
      <c r="AR49" s="353" t="e">
        <f t="shared" si="64"/>
        <v>#DIV/0!</v>
      </c>
      <c r="AS49" s="353" t="e">
        <f t="shared" si="64"/>
        <v>#DIV/0!</v>
      </c>
      <c r="AT49" s="353" t="e">
        <f t="shared" si="64"/>
        <v>#DIV/0!</v>
      </c>
      <c r="AU49" s="353" t="e">
        <f t="shared" si="64"/>
        <v>#DIV/0!</v>
      </c>
      <c r="AV49" s="353" t="e">
        <f t="shared" si="64"/>
        <v>#DIV/0!</v>
      </c>
      <c r="AW49" s="353" t="e">
        <f t="shared" si="64"/>
        <v>#DIV/0!</v>
      </c>
      <c r="AX49" s="353" t="e">
        <f t="shared" si="64"/>
        <v>#DIV/0!</v>
      </c>
      <c r="AY49" s="353" t="e">
        <f t="shared" si="64"/>
        <v>#DIV/0!</v>
      </c>
      <c r="AZ49" s="353" t="e">
        <f t="shared" si="64"/>
        <v>#DIV/0!</v>
      </c>
      <c r="BA49" s="353" t="e">
        <f t="shared" si="64"/>
        <v>#DIV/0!</v>
      </c>
      <c r="BB49" s="353" t="e">
        <f t="shared" si="64"/>
        <v>#DIV/0!</v>
      </c>
      <c r="BC49" s="353" t="e">
        <f t="shared" si="64"/>
        <v>#DIV/0!</v>
      </c>
      <c r="BD49" s="353" t="e">
        <f t="shared" si="64"/>
        <v>#DIV/0!</v>
      </c>
      <c r="BE49" s="353" t="e">
        <f t="shared" si="64"/>
        <v>#DIV/0!</v>
      </c>
      <c r="BF49" s="353" t="e">
        <f t="shared" si="64"/>
        <v>#DIV/0!</v>
      </c>
      <c r="BG49" s="353" t="e">
        <f t="shared" si="64"/>
        <v>#DIV/0!</v>
      </c>
      <c r="BH49" s="353" t="e">
        <f t="shared" si="64"/>
        <v>#DIV/0!</v>
      </c>
      <c r="BI49" s="353" t="e">
        <f t="shared" si="64"/>
        <v>#DIV/0!</v>
      </c>
      <c r="BJ49" s="353" t="e">
        <f t="shared" si="64"/>
        <v>#DIV/0!</v>
      </c>
      <c r="BK49" s="339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2"/>
        <v>8.3333333333333329E-2</v>
      </c>
      <c r="DP49" s="104">
        <v>0</v>
      </c>
      <c r="DQ49" s="179" t="s">
        <v>218</v>
      </c>
      <c r="DR49" s="22"/>
    </row>
    <row r="50" spans="1:122" ht="13.5" customHeight="1" x14ac:dyDescent="0.2">
      <c r="A50" s="441" t="s">
        <v>148</v>
      </c>
      <c r="B50" s="442"/>
      <c r="C50" s="442"/>
      <c r="D50" s="442"/>
      <c r="E50" s="369">
        <v>5</v>
      </c>
      <c r="F50" s="284">
        <f>E50</f>
        <v>5</v>
      </c>
      <c r="G50" s="436"/>
      <c r="T50" s="126"/>
      <c r="AF50" s="337"/>
      <c r="AG50" s="354" t="e">
        <f>(SUM(AG40:BJ40))/$AG$44</f>
        <v>#DIV/0!</v>
      </c>
      <c r="AH50" s="338"/>
      <c r="AI50" s="338"/>
      <c r="AJ50" s="338"/>
      <c r="AK50" s="338"/>
      <c r="AL50" s="338"/>
      <c r="AM50" s="338"/>
      <c r="AN50" s="338"/>
      <c r="AO50" s="338"/>
      <c r="AP50" s="338"/>
      <c r="AQ50" s="338"/>
      <c r="AR50" s="338"/>
      <c r="AS50" s="338"/>
      <c r="AT50" s="338"/>
      <c r="AU50" s="338"/>
      <c r="AV50" s="338"/>
      <c r="AW50" s="338"/>
      <c r="AX50" s="338"/>
      <c r="AY50" s="338"/>
      <c r="AZ50" s="338"/>
      <c r="BA50" s="338"/>
      <c r="BB50" s="338"/>
      <c r="BC50" s="338"/>
      <c r="BD50" s="338"/>
      <c r="BE50" s="338"/>
      <c r="BF50" s="338"/>
      <c r="BG50" s="338"/>
      <c r="BH50" s="338"/>
      <c r="BI50" s="338"/>
      <c r="BJ50" s="338"/>
      <c r="BK50" s="339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2"/>
        <v>0</v>
      </c>
      <c r="DP50" s="104">
        <v>0</v>
      </c>
      <c r="DQ50" s="179" t="s">
        <v>217</v>
      </c>
      <c r="DR50" s="22"/>
    </row>
    <row r="51" spans="1:122" ht="13.5" customHeight="1" x14ac:dyDescent="0.2">
      <c r="A51" s="441" t="s">
        <v>147</v>
      </c>
      <c r="B51" s="442"/>
      <c r="C51" s="442"/>
      <c r="D51" s="442"/>
      <c r="E51" s="369">
        <v>13</v>
      </c>
      <c r="F51" s="284">
        <f>E51</f>
        <v>13</v>
      </c>
      <c r="G51" s="437">
        <f>SUM(E51:E52)</f>
        <v>18</v>
      </c>
      <c r="T51" s="126"/>
      <c r="AF51" s="337"/>
      <c r="AG51" s="338"/>
      <c r="AH51" s="338"/>
      <c r="AI51" s="338"/>
      <c r="AJ51" s="338"/>
      <c r="AK51" s="338"/>
      <c r="AL51" s="338"/>
      <c r="AM51" s="338"/>
      <c r="AN51" s="338"/>
      <c r="AO51" s="338"/>
      <c r="AP51" s="338"/>
      <c r="AQ51" s="338"/>
      <c r="AR51" s="338"/>
      <c r="AS51" s="338"/>
      <c r="AT51" s="338"/>
      <c r="AU51" s="338"/>
      <c r="AV51" s="338"/>
      <c r="AW51" s="338"/>
      <c r="AX51" s="338"/>
      <c r="AY51" s="338"/>
      <c r="AZ51" s="338"/>
      <c r="BA51" s="338"/>
      <c r="BB51" s="338"/>
      <c r="BC51" s="338"/>
      <c r="BD51" s="338"/>
      <c r="BE51" s="338"/>
      <c r="BF51" s="338"/>
      <c r="BG51" s="338"/>
      <c r="BH51" s="338"/>
      <c r="BI51" s="338"/>
      <c r="BJ51" s="338"/>
      <c r="BK51" s="339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2"/>
        <v>0.15833333333333349</v>
      </c>
      <c r="DP51" s="104">
        <v>0</v>
      </c>
      <c r="DQ51" s="179" t="s">
        <v>221</v>
      </c>
      <c r="DR51" s="22"/>
    </row>
    <row r="52" spans="1:122" ht="13.5" customHeight="1" thickBot="1" x14ac:dyDescent="0.25">
      <c r="A52" s="441" t="s">
        <v>149</v>
      </c>
      <c r="B52" s="442"/>
      <c r="C52" s="442"/>
      <c r="D52" s="442"/>
      <c r="E52" s="370">
        <v>5</v>
      </c>
      <c r="F52" s="284">
        <f>E52</f>
        <v>5</v>
      </c>
      <c r="G52" s="436"/>
      <c r="T52" s="126"/>
      <c r="AF52" s="348"/>
      <c r="AG52" s="355">
        <f t="shared" ref="AG52:BJ52" si="65">AG40</f>
        <v>0</v>
      </c>
      <c r="AH52" s="355">
        <f t="shared" si="65"/>
        <v>0</v>
      </c>
      <c r="AI52" s="355">
        <f t="shared" si="65"/>
        <v>0</v>
      </c>
      <c r="AJ52" s="355">
        <f t="shared" si="65"/>
        <v>0</v>
      </c>
      <c r="AK52" s="355">
        <f t="shared" si="65"/>
        <v>0</v>
      </c>
      <c r="AL52" s="355">
        <f t="shared" si="65"/>
        <v>0</v>
      </c>
      <c r="AM52" s="355">
        <f t="shared" si="65"/>
        <v>0</v>
      </c>
      <c r="AN52" s="355">
        <f t="shared" si="65"/>
        <v>0</v>
      </c>
      <c r="AO52" s="355">
        <f t="shared" si="65"/>
        <v>0</v>
      </c>
      <c r="AP52" s="355">
        <f t="shared" si="65"/>
        <v>0</v>
      </c>
      <c r="AQ52" s="355">
        <f t="shared" si="65"/>
        <v>0</v>
      </c>
      <c r="AR52" s="355">
        <f t="shared" si="65"/>
        <v>0</v>
      </c>
      <c r="AS52" s="355">
        <f t="shared" si="65"/>
        <v>0</v>
      </c>
      <c r="AT52" s="355">
        <f t="shared" si="65"/>
        <v>0</v>
      </c>
      <c r="AU52" s="355">
        <f t="shared" si="65"/>
        <v>0</v>
      </c>
      <c r="AV52" s="355">
        <f t="shared" si="65"/>
        <v>0</v>
      </c>
      <c r="AW52" s="355">
        <f t="shared" si="65"/>
        <v>0</v>
      </c>
      <c r="AX52" s="355">
        <f t="shared" si="65"/>
        <v>0</v>
      </c>
      <c r="AY52" s="355">
        <f t="shared" si="65"/>
        <v>0</v>
      </c>
      <c r="AZ52" s="355">
        <f t="shared" si="65"/>
        <v>0</v>
      </c>
      <c r="BA52" s="355">
        <f t="shared" si="65"/>
        <v>0</v>
      </c>
      <c r="BB52" s="355">
        <f t="shared" si="65"/>
        <v>0</v>
      </c>
      <c r="BC52" s="355">
        <f t="shared" si="65"/>
        <v>0</v>
      </c>
      <c r="BD52" s="355">
        <f t="shared" si="65"/>
        <v>0</v>
      </c>
      <c r="BE52" s="355">
        <f t="shared" si="65"/>
        <v>0</v>
      </c>
      <c r="BF52" s="355">
        <f t="shared" si="65"/>
        <v>0</v>
      </c>
      <c r="BG52" s="355">
        <f t="shared" si="65"/>
        <v>0</v>
      </c>
      <c r="BH52" s="355">
        <f t="shared" si="65"/>
        <v>0</v>
      </c>
      <c r="BI52" s="355">
        <f t="shared" si="65"/>
        <v>0</v>
      </c>
      <c r="BJ52" s="355">
        <f t="shared" si="65"/>
        <v>0</v>
      </c>
      <c r="BK52" s="350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2"/>
        <v>0.15833333333333349</v>
      </c>
      <c r="DP52" s="104">
        <v>0</v>
      </c>
      <c r="DQ52" s="179" t="s">
        <v>181</v>
      </c>
      <c r="DR52" s="22"/>
    </row>
    <row r="53" spans="1:122" ht="13.5" customHeight="1" x14ac:dyDescent="0.2">
      <c r="A53" s="438" t="s">
        <v>150</v>
      </c>
      <c r="B53" s="439"/>
      <c r="C53" s="439"/>
      <c r="D53" s="439"/>
      <c r="E53" s="440"/>
      <c r="F53" s="284">
        <f>G53</f>
        <v>1</v>
      </c>
      <c r="G53" s="365">
        <v>1</v>
      </c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2"/>
        <v>0.15833333333333333</v>
      </c>
      <c r="DP53" s="104">
        <v>0</v>
      </c>
      <c r="DQ53" s="179" t="s">
        <v>182</v>
      </c>
      <c r="DR53" s="22"/>
    </row>
    <row r="54" spans="1:122" ht="13.5" thickBot="1" x14ac:dyDescent="0.25">
      <c r="A54" s="432" t="s">
        <v>165</v>
      </c>
      <c r="B54" s="433"/>
      <c r="C54" s="433"/>
      <c r="D54" s="433"/>
      <c r="E54" s="434"/>
      <c r="F54" s="285">
        <f>G54</f>
        <v>13</v>
      </c>
      <c r="G54" s="366">
        <v>13</v>
      </c>
      <c r="T54" s="126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2"/>
        <v>0.15833333333333349</v>
      </c>
      <c r="DP54" s="104">
        <v>0</v>
      </c>
      <c r="DQ54" s="179" t="s">
        <v>222</v>
      </c>
      <c r="DR54" s="22"/>
    </row>
    <row r="55" spans="1:122" x14ac:dyDescent="0.2">
      <c r="U55" s="268"/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2"/>
        <v>0.15833333333333333</v>
      </c>
      <c r="DP55" s="104">
        <v>0</v>
      </c>
      <c r="DQ55" s="179" t="s">
        <v>223</v>
      </c>
      <c r="DR55" s="22"/>
    </row>
    <row r="56" spans="1:122" x14ac:dyDescent="0.2">
      <c r="A56" s="463" t="s">
        <v>305</v>
      </c>
      <c r="B56" s="463"/>
      <c r="C56" s="464" t="s">
        <v>306</v>
      </c>
      <c r="D56" s="463"/>
      <c r="U56" s="268"/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2"/>
        <v>0.15833333333333349</v>
      </c>
      <c r="DP56" s="104">
        <v>0</v>
      </c>
      <c r="DQ56" s="179" t="s">
        <v>183</v>
      </c>
      <c r="DR56" s="22"/>
    </row>
    <row r="57" spans="1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2"/>
        <v>0.16666666666666666</v>
      </c>
      <c r="DP57" s="104">
        <v>0</v>
      </c>
      <c r="DQ57" s="179" t="s">
        <v>224</v>
      </c>
      <c r="DR57" s="22"/>
    </row>
    <row r="58" spans="1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2"/>
        <v>0.15833333333333349</v>
      </c>
      <c r="DP58" s="104">
        <v>0</v>
      </c>
      <c r="DQ58" s="179" t="s">
        <v>227</v>
      </c>
      <c r="DR58" s="22"/>
    </row>
    <row r="59" spans="1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2"/>
        <v>0</v>
      </c>
      <c r="DP59" s="104">
        <v>0</v>
      </c>
      <c r="DQ59" s="179" t="s">
        <v>229</v>
      </c>
      <c r="DR59" s="22"/>
    </row>
    <row r="60" spans="1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2"/>
        <v>0.15833333333333333</v>
      </c>
      <c r="DP60" s="104">
        <v>0</v>
      </c>
      <c r="DQ60" s="179" t="s">
        <v>226</v>
      </c>
      <c r="DR60" s="22"/>
    </row>
    <row r="61" spans="1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2"/>
        <v>0.15833333333333333</v>
      </c>
      <c r="DP61" s="104">
        <v>0</v>
      </c>
      <c r="DQ61" s="179" t="s">
        <v>230</v>
      </c>
      <c r="DR61" s="22"/>
    </row>
    <row r="62" spans="1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2"/>
        <v>0.15833333333333333</v>
      </c>
      <c r="DP62" s="104">
        <v>0</v>
      </c>
      <c r="DQ62" s="179" t="s">
        <v>184</v>
      </c>
      <c r="DR62" s="22"/>
    </row>
    <row r="63" spans="1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2"/>
        <v>0.15833333333333349</v>
      </c>
      <c r="DP63" s="104">
        <v>0</v>
      </c>
      <c r="DQ63" s="179" t="s">
        <v>185</v>
      </c>
      <c r="DR63" s="22"/>
    </row>
    <row r="64" spans="1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2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2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2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2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2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2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ht="13.5" thickBot="1" x14ac:dyDescent="0.25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14"/>
      <c r="DL76" s="6"/>
      <c r="DM76" s="6"/>
      <c r="DN76" s="14"/>
      <c r="DO76" s="14"/>
      <c r="DP76" s="14"/>
      <c r="DQ76" s="123"/>
      <c r="DR76" s="14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R83" s="119"/>
      <c r="S83" s="119"/>
      <c r="T83" s="119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19"/>
      <c r="S85" s="119"/>
      <c r="T85" s="119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19"/>
      <c r="O86" s="119"/>
      <c r="P86" s="119"/>
      <c r="Q86" s="119"/>
      <c r="R86" s="125"/>
      <c r="S86" s="125"/>
      <c r="T86" s="125"/>
      <c r="U86" s="119"/>
      <c r="V86" s="119"/>
      <c r="W86" s="147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N87" s="125"/>
      <c r="O87" s="125"/>
      <c r="P87" s="125"/>
      <c r="Q87" s="125"/>
      <c r="U87" s="125"/>
      <c r="V87" s="125"/>
      <c r="W87" s="148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W88" s="149"/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/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 t="s">
        <v>38</v>
      </c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  <c r="DS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21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B127" s="1"/>
      <c r="DC127" s="1"/>
      <c r="DD127" s="1"/>
      <c r="DE127" s="1"/>
      <c r="DF127" s="1"/>
      <c r="DG127" s="1"/>
      <c r="DH127" s="1"/>
      <c r="DI127" s="1"/>
      <c r="DJ127" s="1"/>
      <c r="DK127" s="18"/>
      <c r="DL127" s="18"/>
      <c r="DM127" s="18"/>
      <c r="DN127" s="21"/>
      <c r="DO127" s="21"/>
      <c r="DP127" s="21"/>
      <c r="DQ127" s="130"/>
      <c r="DR127" s="21"/>
    </row>
    <row r="128" spans="106:123" x14ac:dyDescent="0.2">
      <c r="DK128" s="18"/>
      <c r="DL128" s="18"/>
      <c r="DM128" s="18"/>
      <c r="DN128" s="21"/>
      <c r="DO128" s="21"/>
      <c r="DP128" s="21"/>
      <c r="DQ128" s="130"/>
      <c r="DR128" s="21"/>
    </row>
  </sheetData>
  <sheetProtection sheet="1"/>
  <dataConsolidate link="1"/>
  <mergeCells count="67">
    <mergeCell ref="A54:E54"/>
    <mergeCell ref="G49:G50"/>
    <mergeCell ref="G51:G52"/>
    <mergeCell ref="A53:E53"/>
    <mergeCell ref="A50:D50"/>
    <mergeCell ref="A49:D49"/>
    <mergeCell ref="A51:D51"/>
    <mergeCell ref="A52:D52"/>
    <mergeCell ref="A48:G48"/>
    <mergeCell ref="U21:V21"/>
    <mergeCell ref="U22:V22"/>
    <mergeCell ref="U37:V37"/>
    <mergeCell ref="U38:V38"/>
    <mergeCell ref="U36:V36"/>
    <mergeCell ref="U31:V31"/>
    <mergeCell ref="U32:V32"/>
    <mergeCell ref="U27:V27"/>
    <mergeCell ref="U28:V28"/>
    <mergeCell ref="U29:V29"/>
    <mergeCell ref="U30:V30"/>
    <mergeCell ref="U25:V25"/>
    <mergeCell ref="C40:D40"/>
    <mergeCell ref="U1:V1"/>
    <mergeCell ref="U33:V33"/>
    <mergeCell ref="U34:V34"/>
    <mergeCell ref="U35:V35"/>
    <mergeCell ref="U23:V23"/>
    <mergeCell ref="U7:V7"/>
    <mergeCell ref="U8:V8"/>
    <mergeCell ref="U9:V9"/>
    <mergeCell ref="U10:V10"/>
    <mergeCell ref="U15:V15"/>
    <mergeCell ref="U16:V16"/>
    <mergeCell ref="U17:V17"/>
    <mergeCell ref="U18:V18"/>
    <mergeCell ref="U24:V24"/>
    <mergeCell ref="U11:V11"/>
    <mergeCell ref="U12:V12"/>
    <mergeCell ref="O1:R1"/>
    <mergeCell ref="N45:O45"/>
    <mergeCell ref="P45:Q45"/>
    <mergeCell ref="R45:S45"/>
    <mergeCell ref="N41:O41"/>
    <mergeCell ref="P41:Q41"/>
    <mergeCell ref="R41:S41"/>
    <mergeCell ref="N42:O42"/>
    <mergeCell ref="N43:O43"/>
    <mergeCell ref="N44:O44"/>
    <mergeCell ref="P43:Q43"/>
    <mergeCell ref="P44:Q44"/>
    <mergeCell ref="R42:S42"/>
    <mergeCell ref="R43:S43"/>
    <mergeCell ref="R44:S44"/>
    <mergeCell ref="P42:Q42"/>
    <mergeCell ref="E3:F3"/>
    <mergeCell ref="S3:V3"/>
    <mergeCell ref="A6:B6"/>
    <mergeCell ref="K6:L6"/>
    <mergeCell ref="A5:B5"/>
    <mergeCell ref="K5:L5"/>
    <mergeCell ref="U5:V5"/>
    <mergeCell ref="U6:V6"/>
    <mergeCell ref="U13:V13"/>
    <mergeCell ref="U14:V14"/>
    <mergeCell ref="U26:V26"/>
    <mergeCell ref="U19:V19"/>
    <mergeCell ref="U20:V20"/>
  </mergeCells>
  <phoneticPr fontId="16" type="noConversion"/>
  <conditionalFormatting sqref="M8:M38">
    <cfRule type="expression" dxfId="110" priority="49" stopIfTrue="1">
      <formula>M8&lt;-8</formula>
    </cfRule>
    <cfRule type="expression" dxfId="109" priority="50">
      <formula>M8&lt;0</formula>
    </cfRule>
  </conditionalFormatting>
  <conditionalFormatting sqref="S3:V3">
    <cfRule type="expression" dxfId="108" priority="3" stopIfTrue="1">
      <formula>$S$3&lt;&gt;""</formula>
    </cfRule>
  </conditionalFormatting>
  <conditionalFormatting sqref="K8:L38">
    <cfRule type="expression" dxfId="107" priority="51" stopIfTrue="1">
      <formula>$CX8&lt;-0.33334</formula>
    </cfRule>
    <cfRule type="expression" dxfId="106" priority="52">
      <formula>$CX8&lt;0</formula>
    </cfRule>
  </conditionalFormatting>
  <conditionalFormatting sqref="A34:R38">
    <cfRule type="expression" dxfId="105" priority="1" stopIfTrue="1">
      <formula>$AB$8&lt;&gt;$AB34</formula>
    </cfRule>
  </conditionalFormatting>
  <conditionalFormatting sqref="N8:R38 A8:I38">
    <cfRule type="expression" dxfId="104" priority="307" stopIfTrue="1">
      <formula>OR($AC8=0,$AC8=1)</formula>
    </cfRule>
    <cfRule type="expression" dxfId="103" priority="308" stopIfTrue="1">
      <formula>COUNTIFS($DG$5:$DG$19,$AA8)&gt;0</formula>
    </cfRule>
    <cfRule type="expression" dxfId="102" priority="309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00000000-0002-0000-0000-000000000000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1" orientation="landscape" r:id="rId1"/>
  <headerFooter alignWithMargins="0"/>
  <rowBreaks count="1" manualBreakCount="1">
    <brk id="42" max="24" man="1"/>
  </rowBreaks>
  <colBreaks count="1" manualBreakCount="1">
    <brk id="13" max="1048575" man="1"/>
  </colBreaks>
  <cellWatches>
    <cellWatch r="CC13"/>
    <cellWatch r="CD13"/>
  </cellWatche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Toggle_Protected_View">
                <anchor moveWithCells="1" sizeWithCells="1">
                  <from>
                    <xdr:col>9</xdr:col>
                    <xdr:colOff>200025</xdr:colOff>
                    <xdr:row>0</xdr:row>
                    <xdr:rowOff>171450</xdr:rowOff>
                  </from>
                  <to>
                    <xdr:col>12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Drop Down 13">
              <controlPr defaultSize="0" autoLine="0" autoPict="0">
                <anchor moveWithCells="1">
                  <from>
                    <xdr:col>8</xdr:col>
                    <xdr:colOff>66675</xdr:colOff>
                    <xdr:row>40</xdr:row>
                    <xdr:rowOff>47625</xdr:rowOff>
                  </from>
                  <to>
                    <xdr:col>12</xdr:col>
                    <xdr:colOff>38100</xdr:colOff>
                    <xdr:row>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Drop Down 14">
              <controlPr defaultSize="0" autoLine="0" autoPict="0">
                <anchor moveWithCells="1">
                  <from>
                    <xdr:col>8</xdr:col>
                    <xdr:colOff>66675</xdr:colOff>
                    <xdr:row>43</xdr:row>
                    <xdr:rowOff>85725</xdr:rowOff>
                  </from>
                  <to>
                    <xdr:col>12</xdr:col>
                    <xdr:colOff>38100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7" name="Button 122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1285875</xdr:colOff>
                    <xdr:row>38</xdr:row>
                    <xdr:rowOff>28575</xdr:rowOff>
                  </from>
                  <to>
                    <xdr:col>24</xdr:col>
                    <xdr:colOff>571500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.14062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</f>
        <v>44228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januari!K38</f>
        <v>+</v>
      </c>
      <c r="E3" s="385">
        <f>ABS(januari!M38)</f>
        <v>0.40000000040007982</v>
      </c>
      <c r="F3" s="386"/>
      <c r="G3" s="228">
        <f>E3/24</f>
        <v>1.6666666683336658E-2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1.6666666683336658E-2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ht="12.75" customHeight="1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44228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K38" si="3">CY8</f>
        <v>+</v>
      </c>
      <c r="L8" s="310">
        <f t="shared" ref="L8:L38" si="4">CZ8</f>
        <v>1.6666666683336658E-2</v>
      </c>
      <c r="M8" s="311">
        <f>800/0.333333333*CX8/100</f>
        <v>0.4000000008000798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44228</v>
      </c>
      <c r="AA8" s="160">
        <f t="shared" ref="AA8:AA35" si="5">Z8</f>
        <v>44228</v>
      </c>
      <c r="AB8" s="160">
        <f t="shared" ref="AB8:AB38" si="6">MONTH(Z8)</f>
        <v>2</v>
      </c>
      <c r="AC8" s="81">
        <f t="shared" ref="AC8:AC38" si="7">MOD(Z8,7)</f>
        <v>2</v>
      </c>
      <c r="AD8" s="160">
        <f t="shared" ref="AD8:AD38" si="8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9">IF($N8=AH$7,$DB8,IF($O8=AH$7,$P8,IF($Q8=AH$7,$R8,0)))</f>
        <v>0</v>
      </c>
      <c r="AI8" s="82">
        <f t="shared" si="9"/>
        <v>0</v>
      </c>
      <c r="AJ8" s="82">
        <f t="shared" si="9"/>
        <v>0</v>
      </c>
      <c r="AK8" s="82">
        <f t="shared" si="9"/>
        <v>0</v>
      </c>
      <c r="AL8" s="82">
        <f t="shared" si="9"/>
        <v>0</v>
      </c>
      <c r="AM8" s="82">
        <f t="shared" si="9"/>
        <v>0</v>
      </c>
      <c r="AN8" s="82">
        <f t="shared" si="9"/>
        <v>0</v>
      </c>
      <c r="AO8" s="82">
        <f t="shared" si="9"/>
        <v>0</v>
      </c>
      <c r="AP8" s="82">
        <f t="shared" si="9"/>
        <v>0</v>
      </c>
      <c r="AQ8" s="82">
        <f t="shared" si="9"/>
        <v>0</v>
      </c>
      <c r="AR8" s="82">
        <f t="shared" ref="AR8:BA17" si="10">IF($N8=AR$7,$DB8,IF($O8=AR$7,$P8,IF($Q8=AR$7,$R8,0)))</f>
        <v>0</v>
      </c>
      <c r="AS8" s="82">
        <f t="shared" si="10"/>
        <v>0</v>
      </c>
      <c r="AT8" s="82">
        <f t="shared" si="10"/>
        <v>0</v>
      </c>
      <c r="AU8" s="82">
        <f t="shared" si="10"/>
        <v>0</v>
      </c>
      <c r="AV8" s="82">
        <f t="shared" si="10"/>
        <v>0</v>
      </c>
      <c r="AW8" s="82">
        <f t="shared" si="10"/>
        <v>0</v>
      </c>
      <c r="AX8" s="82">
        <f t="shared" si="10"/>
        <v>0</v>
      </c>
      <c r="AY8" s="82">
        <f t="shared" si="10"/>
        <v>0</v>
      </c>
      <c r="AZ8" s="82">
        <f t="shared" si="10"/>
        <v>0</v>
      </c>
      <c r="BA8" s="82">
        <f t="shared" si="10"/>
        <v>0</v>
      </c>
      <c r="BB8" s="82">
        <f t="shared" ref="BB8:BK17" si="11">IF($N8=BB$7,$DB8,IF($O8=BB$7,$P8,IF($Q8=BB$7,$R8,0)))</f>
        <v>0</v>
      </c>
      <c r="BC8" s="82">
        <f t="shared" si="11"/>
        <v>0</v>
      </c>
      <c r="BD8" s="82">
        <f t="shared" si="11"/>
        <v>0</v>
      </c>
      <c r="BE8" s="82">
        <f t="shared" si="11"/>
        <v>0</v>
      </c>
      <c r="BF8" s="82">
        <f t="shared" si="11"/>
        <v>0</v>
      </c>
      <c r="BG8" s="82">
        <f t="shared" si="11"/>
        <v>0</v>
      </c>
      <c r="BH8" s="82">
        <f t="shared" si="11"/>
        <v>0</v>
      </c>
      <c r="BI8" s="82">
        <f t="shared" si="11"/>
        <v>0</v>
      </c>
      <c r="BJ8" s="82">
        <f t="shared" si="11"/>
        <v>0</v>
      </c>
      <c r="BK8" s="83">
        <f t="shared" si="11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2">IF(AND($H8=30,$CC8=$BW$19),1,IF(AND($H8=30,$CC8=$BW$20),0.5,0))</f>
        <v>0</v>
      </c>
      <c r="BP8" s="188">
        <f t="shared" ref="BP8:BP38" si="13">IF(AND($I8=30,$CD8=$BW$19),1,IF(AND($I8=30,$CD8=$BW$20),0.5,0))</f>
        <v>0</v>
      </c>
      <c r="BQ8" s="189">
        <f t="shared" ref="BQ8:BQ38" si="14">CM8</f>
        <v>0</v>
      </c>
      <c r="BR8" s="190">
        <f t="shared" ref="BR8:BR38" si="15">CN8</f>
        <v>0</v>
      </c>
      <c r="BS8" s="189">
        <f t="shared" ref="BS8:BS38" si="16">CO8</f>
        <v>0</v>
      </c>
      <c r="BT8" s="194">
        <f t="shared" ref="BT8:BT38" si="17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8">IF(TRIM(C8)="","",IF(C8&lt;$BW$8,$BW$8,C8))</f>
        <v/>
      </c>
      <c r="CB8" s="87" t="str">
        <f>IF(TRIM(D8)="","",IF(D8&gt;$BW$16,$BW$16,D8))</f>
        <v/>
      </c>
      <c r="CC8" s="88" t="str">
        <f t="shared" ref="CC8:CC38" si="19">IF(TRIM(H8)="","",IF(AND(TRIM(C8)="",TRIM(I8)=""),VLOOKUP(H8,$DL$8:$DO$71,3,FALSE),VLOOKUP(H8,$DL$8:$DO$71,4,FALSE)))</f>
        <v/>
      </c>
      <c r="CD8" s="88" t="str">
        <f t="shared" ref="CD8:CD38" si="20">IF(TRIM(I8)="","",IF(AND(TRIM(C8)="",TRIM(H8)=""),VLOOKUP(I8,$DL$8:$DO$71,3,FALSE),VLOOKUP(I8,$DL$8:$DO$71,4,FALSE)))</f>
        <v/>
      </c>
      <c r="CE8" s="89">
        <f t="shared" ref="CE8:CE38" si="21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2">IF(CA8="","",CB8-CA8-CL8)</f>
        <v/>
      </c>
      <c r="CR8" s="87">
        <f t="shared" ref="CR8:CR38" si="23">IF(CA8="",0,IF(OR(H8=97,I8=97),$BW$7,IF(OR(TRIM(H8)&lt;&gt;"",TRIM(I8)&lt;&gt;""),0,IF(CI8&lt;$BW$7,$BW$7,CI8))))</f>
        <v>0</v>
      </c>
      <c r="CS8" s="87">
        <f t="shared" ref="CS8:CS38" si="24">IF(CQ8="",0,IF(CF8=0,IF((CQ8-CR8)&lt;$BW$9,(CQ8-CR8),$BW$9),IF((CQ8-CR8)&lt;$BW$14,(CQ8-CR8),$BW$14)))</f>
        <v>0</v>
      </c>
      <c r="CT8" s="87">
        <f>CF8</f>
        <v>0</v>
      </c>
      <c r="CU8" s="92">
        <f t="shared" ref="CU8:CU38" si="25">IF(CF8=0,CS8,MIN(CT8+CS8,0.375))</f>
        <v>0</v>
      </c>
      <c r="CV8" s="326">
        <f>CU8</f>
        <v>0</v>
      </c>
      <c r="CW8" s="328">
        <f t="shared" ref="CW8:CW38" si="26">IF(CV8=0,0,CV8-IF(Arbeidsstelsel=4,$BW$17,$BW$18))</f>
        <v>0</v>
      </c>
      <c r="CX8" s="330">
        <f t="shared" ref="CX8" si="27">IF(OR($CM8=1,$CN8=1,$CO8=1,$CP8=1),$CW$3-IF(Arbeidsstelsel=4,$BX$29,$BX$26),$CW$3+$CW8)</f>
        <v>1.6666666683336658E-2</v>
      </c>
      <c r="CY8" s="94" t="str">
        <f>IF((CX8)&gt;0,"+","-")</f>
        <v>+</v>
      </c>
      <c r="CZ8" s="95">
        <f>ABS(CX8)</f>
        <v>1.6666666683336658E-2</v>
      </c>
      <c r="DA8" s="96">
        <f t="shared" ref="DA8:DA38" si="28">IF(AND(CA8="",CB8=""),0,CV8)</f>
        <v>0</v>
      </c>
      <c r="DB8" s="215">
        <f t="shared" ref="DB8:DB38" si="29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44229</v>
      </c>
      <c r="C9" s="239"/>
      <c r="D9" s="240"/>
      <c r="E9" s="240"/>
      <c r="F9" s="240"/>
      <c r="G9" s="278"/>
      <c r="H9" s="305" t="str">
        <f t="shared" ref="H9:H38" si="30">IF(AC9=0,21,IF(AC9=1,1,IF(AD9=2,2,IF(VLOOKUP($AC9,$B$42:$D$46,3)=1,$E$40,""))))</f>
        <v/>
      </c>
      <c r="I9" s="273" t="str">
        <f t="shared" ref="I9:I38" si="31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4"/>
        <v>1.6666666683336658E-2</v>
      </c>
      <c r="M9" s="315">
        <f t="shared" ref="M9:M38" si="32">800/0.333333333*CX9/100</f>
        <v>0.4000000008000798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3">Z8+1</f>
        <v>44229</v>
      </c>
      <c r="AA9" s="160">
        <f t="shared" si="5"/>
        <v>44229</v>
      </c>
      <c r="AB9" s="160">
        <f t="shared" si="6"/>
        <v>2</v>
      </c>
      <c r="AC9" s="81">
        <f t="shared" si="7"/>
        <v>3</v>
      </c>
      <c r="AD9" s="160">
        <f t="shared" si="8"/>
        <v>0</v>
      </c>
      <c r="AF9" s="27" t="s">
        <v>119</v>
      </c>
      <c r="AG9" s="100"/>
      <c r="AH9" s="82">
        <f t="shared" si="9"/>
        <v>0</v>
      </c>
      <c r="AI9" s="82">
        <f t="shared" si="9"/>
        <v>0</v>
      </c>
      <c r="AJ9" s="82">
        <f t="shared" si="9"/>
        <v>0</v>
      </c>
      <c r="AK9" s="82">
        <f t="shared" si="9"/>
        <v>0</v>
      </c>
      <c r="AL9" s="82">
        <f t="shared" si="9"/>
        <v>0</v>
      </c>
      <c r="AM9" s="82">
        <f t="shared" si="9"/>
        <v>0</v>
      </c>
      <c r="AN9" s="82">
        <f t="shared" si="9"/>
        <v>0</v>
      </c>
      <c r="AO9" s="82">
        <f t="shared" si="9"/>
        <v>0</v>
      </c>
      <c r="AP9" s="82">
        <f t="shared" si="9"/>
        <v>0</v>
      </c>
      <c r="AQ9" s="82">
        <f t="shared" si="9"/>
        <v>0</v>
      </c>
      <c r="AR9" s="82">
        <f t="shared" si="10"/>
        <v>0</v>
      </c>
      <c r="AS9" s="82">
        <f t="shared" si="10"/>
        <v>0</v>
      </c>
      <c r="AT9" s="82">
        <f t="shared" si="10"/>
        <v>0</v>
      </c>
      <c r="AU9" s="82">
        <f t="shared" si="10"/>
        <v>0</v>
      </c>
      <c r="AV9" s="82">
        <f t="shared" si="10"/>
        <v>0</v>
      </c>
      <c r="AW9" s="82">
        <f t="shared" si="10"/>
        <v>0</v>
      </c>
      <c r="AX9" s="82">
        <f t="shared" si="10"/>
        <v>0</v>
      </c>
      <c r="AY9" s="82">
        <f t="shared" si="10"/>
        <v>0</v>
      </c>
      <c r="AZ9" s="82">
        <f t="shared" si="10"/>
        <v>0</v>
      </c>
      <c r="BA9" s="82">
        <f t="shared" si="10"/>
        <v>0</v>
      </c>
      <c r="BB9" s="82">
        <f t="shared" si="11"/>
        <v>0</v>
      </c>
      <c r="BC9" s="82">
        <f t="shared" si="11"/>
        <v>0</v>
      </c>
      <c r="BD9" s="82">
        <f t="shared" si="11"/>
        <v>0</v>
      </c>
      <c r="BE9" s="82">
        <f t="shared" si="11"/>
        <v>0</v>
      </c>
      <c r="BF9" s="82">
        <f t="shared" si="11"/>
        <v>0</v>
      </c>
      <c r="BG9" s="82">
        <f t="shared" si="11"/>
        <v>0</v>
      </c>
      <c r="BH9" s="82">
        <f t="shared" si="11"/>
        <v>0</v>
      </c>
      <c r="BI9" s="82">
        <f t="shared" si="11"/>
        <v>0</v>
      </c>
      <c r="BJ9" s="82">
        <f t="shared" si="11"/>
        <v>0</v>
      </c>
      <c r="BK9" s="83">
        <f t="shared" si="11"/>
        <v>0</v>
      </c>
      <c r="BM9" s="84">
        <f t="shared" ref="BM9:BM38" si="34">IF(AND(H9=7,CC9=$BW$19),1,IF(AND(H9=7,CC9=$BW$20),0.5,0))</f>
        <v>0</v>
      </c>
      <c r="BN9" s="85">
        <f t="shared" ref="BN9:BN38" si="35">IF(AND(I9=7,CD9=$BW$19),1,IF(AND(I9=7,CD9=$BW$20),0.5,0))</f>
        <v>0</v>
      </c>
      <c r="BO9" s="84">
        <f t="shared" si="12"/>
        <v>0</v>
      </c>
      <c r="BP9" s="85">
        <f t="shared" si="13"/>
        <v>0</v>
      </c>
      <c r="BQ9" s="186">
        <f t="shared" si="14"/>
        <v>0</v>
      </c>
      <c r="BR9" s="191">
        <f t="shared" si="15"/>
        <v>0</v>
      </c>
      <c r="BS9" s="186">
        <f t="shared" si="16"/>
        <v>0</v>
      </c>
      <c r="BT9" s="195">
        <f t="shared" si="17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6">A9</f>
        <v>2</v>
      </c>
      <c r="CA9" s="87" t="str">
        <f t="shared" si="18"/>
        <v/>
      </c>
      <c r="CB9" s="87" t="str">
        <f t="shared" ref="CB9:CB38" si="37">IF(TRIM(D9)="","",IF(D9&gt;$BW$16,$BW$16,D9))</f>
        <v/>
      </c>
      <c r="CC9" s="88" t="str">
        <f t="shared" si="19"/>
        <v/>
      </c>
      <c r="CD9" s="88" t="str">
        <f t="shared" si="20"/>
        <v/>
      </c>
      <c r="CE9" s="89">
        <f t="shared" si="21"/>
        <v>0</v>
      </c>
      <c r="CF9" s="90">
        <f t="shared" ref="CF9:CF38" si="38">SUM(CC9:CE9)</f>
        <v>0</v>
      </c>
      <c r="CG9" s="91">
        <f t="shared" ref="CG9:CG38" si="39">IF(TRIM(E9)="",0,(G9-E9))</f>
        <v>0</v>
      </c>
      <c r="CH9" s="87">
        <f t="shared" ref="CH9:CH38" si="40">IF(TRIM(F9)="",0,F9)</f>
        <v>0</v>
      </c>
      <c r="CI9" s="92">
        <f t="shared" ref="CI9:CI38" si="41">IF(AND(CC9="",CD9=""),IF(AND(CG9+CH9&gt;=0,CG9+CH9&lt;=$BW$7),$BW$7,CG9+CH9),0)</f>
        <v>2.0833333333333332E-2</v>
      </c>
      <c r="CJ9" s="93">
        <f t="shared" ref="CJ9:CJ38" si="42">IF(AND(CA9&lt;$BW$11,CA9&gt;=$BW$10),($BW$11-CA9),0)</f>
        <v>0</v>
      </c>
      <c r="CK9" s="89">
        <f t="shared" ref="CK9:CK38" si="43">IF(AND(CB9&lt;$BW$13,CB9&gt;$BW$12),(CB9-$BW$12),0)</f>
        <v>0</v>
      </c>
      <c r="CL9" s="90">
        <f t="shared" ref="CL9:CL38" si="44">SUM(CJ9:CK9)</f>
        <v>0</v>
      </c>
      <c r="CM9" s="185">
        <f t="shared" ref="CM9:CM38" si="45">IF(AND(TRIM(C9)="",TRIM(I9)="",H9=22),1,IF(AND(H9=22,(OR(TRIM(C9)&lt;&gt;"",TRIM(I9)&lt;&gt;""))),0.5,0))</f>
        <v>0</v>
      </c>
      <c r="CN9" s="185">
        <f t="shared" ref="CN9:CN38" si="46">IF(AND(TRIM(C9)="",TRIM(H9)="",I9=22),1,IF(AND(I9=22,(OR(TRIM(C9)&lt;&gt;"",TRIM(H9)&lt;&gt;""))),0.5,0))</f>
        <v>0</v>
      </c>
      <c r="CO9" s="185">
        <f t="shared" ref="CO9:CO38" si="47">IF(AND(TRIM(C9)="",TRIM(I9)="",H9=27),1,IF(AND(H9=27,(OR(TRIM(C9)&lt;&gt;"",TRIM(I9)&lt;&gt;""))),0.5,0))</f>
        <v>0</v>
      </c>
      <c r="CP9" s="185">
        <f t="shared" ref="CP9:CP38" si="48">IF(AND(TRIM(C9)="",TRIM(H9)="",I9=27),1,IF(AND(I9=27,(OR(TRIM(C9)&lt;&gt;"",TRIM(H9)&lt;&gt;""))),0.5,0))</f>
        <v>0</v>
      </c>
      <c r="CQ9" s="91" t="str">
        <f t="shared" si="22"/>
        <v/>
      </c>
      <c r="CR9" s="87">
        <f t="shared" si="23"/>
        <v>0</v>
      </c>
      <c r="CS9" s="87">
        <f t="shared" si="24"/>
        <v>0</v>
      </c>
      <c r="CT9" s="87">
        <f t="shared" ref="CT9:CT38" si="49">CF9</f>
        <v>0</v>
      </c>
      <c r="CU9" s="92">
        <f t="shared" si="25"/>
        <v>0</v>
      </c>
      <c r="CV9" s="326">
        <f t="shared" ref="CV9:CV38" si="50">CU9</f>
        <v>0</v>
      </c>
      <c r="CW9" s="328">
        <f t="shared" si="26"/>
        <v>0</v>
      </c>
      <c r="CX9" s="330">
        <f t="shared" ref="CX9:CX38" si="51">IF(OR($CM9=1,$CN9=1,$CO9=1,$CP9=1),$CX8-IF(Arbeidsstelsel=4,$BX$29,$BX$26),$CX8+$CW9)</f>
        <v>1.6666666683336658E-2</v>
      </c>
      <c r="CY9" s="94" t="str">
        <f t="shared" ref="CY9:CY38" si="52">IF((CX9)&gt;0,"+","-")</f>
        <v>+</v>
      </c>
      <c r="CZ9" s="95">
        <f t="shared" ref="CZ9:CZ38" si="53">ABS(CX9)</f>
        <v>1.6666666683336658E-2</v>
      </c>
      <c r="DA9" s="96">
        <f t="shared" si="28"/>
        <v>0</v>
      </c>
      <c r="DB9" s="215">
        <f t="shared" si="29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44230</v>
      </c>
      <c r="C10" s="239"/>
      <c r="D10" s="240"/>
      <c r="E10" s="240"/>
      <c r="F10" s="240"/>
      <c r="G10" s="278"/>
      <c r="H10" s="305" t="str">
        <f t="shared" si="30"/>
        <v/>
      </c>
      <c r="I10" s="273" t="str">
        <f t="shared" si="31"/>
        <v/>
      </c>
      <c r="J10" s="312">
        <f t="shared" si="2"/>
        <v>0</v>
      </c>
      <c r="K10" s="313" t="str">
        <f t="shared" si="3"/>
        <v>+</v>
      </c>
      <c r="L10" s="314">
        <f t="shared" si="4"/>
        <v>1.6666666683336658E-2</v>
      </c>
      <c r="M10" s="315">
        <f t="shared" si="32"/>
        <v>0.4000000008000798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3"/>
        <v>44230</v>
      </c>
      <c r="AA10" s="160">
        <f t="shared" si="5"/>
        <v>44230</v>
      </c>
      <c r="AB10" s="160">
        <f t="shared" si="6"/>
        <v>2</v>
      </c>
      <c r="AC10" s="81">
        <f t="shared" si="7"/>
        <v>4</v>
      </c>
      <c r="AD10" s="160">
        <f t="shared" si="8"/>
        <v>0</v>
      </c>
      <c r="AF10" s="27" t="s">
        <v>119</v>
      </c>
      <c r="AG10" s="100"/>
      <c r="AH10" s="82">
        <f t="shared" si="9"/>
        <v>0</v>
      </c>
      <c r="AI10" s="82">
        <f t="shared" si="9"/>
        <v>0</v>
      </c>
      <c r="AJ10" s="82">
        <f t="shared" si="9"/>
        <v>0</v>
      </c>
      <c r="AK10" s="82">
        <f t="shared" si="9"/>
        <v>0</v>
      </c>
      <c r="AL10" s="82">
        <f t="shared" si="9"/>
        <v>0</v>
      </c>
      <c r="AM10" s="82">
        <f t="shared" si="9"/>
        <v>0</v>
      </c>
      <c r="AN10" s="82">
        <f t="shared" si="9"/>
        <v>0</v>
      </c>
      <c r="AO10" s="82">
        <f t="shared" si="9"/>
        <v>0</v>
      </c>
      <c r="AP10" s="82">
        <f t="shared" si="9"/>
        <v>0</v>
      </c>
      <c r="AQ10" s="82">
        <f t="shared" si="9"/>
        <v>0</v>
      </c>
      <c r="AR10" s="82">
        <f t="shared" si="10"/>
        <v>0</v>
      </c>
      <c r="AS10" s="82">
        <f t="shared" si="10"/>
        <v>0</v>
      </c>
      <c r="AT10" s="82">
        <f t="shared" si="10"/>
        <v>0</v>
      </c>
      <c r="AU10" s="82">
        <f t="shared" si="10"/>
        <v>0</v>
      </c>
      <c r="AV10" s="82">
        <f t="shared" si="10"/>
        <v>0</v>
      </c>
      <c r="AW10" s="82">
        <f t="shared" si="10"/>
        <v>0</v>
      </c>
      <c r="AX10" s="82">
        <f t="shared" si="10"/>
        <v>0</v>
      </c>
      <c r="AY10" s="82">
        <f t="shared" si="10"/>
        <v>0</v>
      </c>
      <c r="AZ10" s="82">
        <f t="shared" si="10"/>
        <v>0</v>
      </c>
      <c r="BA10" s="82">
        <f t="shared" si="10"/>
        <v>0</v>
      </c>
      <c r="BB10" s="82">
        <f t="shared" si="11"/>
        <v>0</v>
      </c>
      <c r="BC10" s="82">
        <f t="shared" si="11"/>
        <v>0</v>
      </c>
      <c r="BD10" s="82">
        <f t="shared" si="11"/>
        <v>0</v>
      </c>
      <c r="BE10" s="82">
        <f t="shared" si="11"/>
        <v>0</v>
      </c>
      <c r="BF10" s="82">
        <f t="shared" si="11"/>
        <v>0</v>
      </c>
      <c r="BG10" s="82">
        <f t="shared" si="11"/>
        <v>0</v>
      </c>
      <c r="BH10" s="82">
        <f t="shared" si="11"/>
        <v>0</v>
      </c>
      <c r="BI10" s="82">
        <f t="shared" si="11"/>
        <v>0</v>
      </c>
      <c r="BJ10" s="82">
        <f t="shared" si="11"/>
        <v>0</v>
      </c>
      <c r="BK10" s="83">
        <f t="shared" si="11"/>
        <v>0</v>
      </c>
      <c r="BM10" s="84">
        <f t="shared" si="34"/>
        <v>0</v>
      </c>
      <c r="BN10" s="85">
        <f t="shared" si="35"/>
        <v>0</v>
      </c>
      <c r="BO10" s="84">
        <f t="shared" si="12"/>
        <v>0</v>
      </c>
      <c r="BP10" s="85">
        <f t="shared" si="13"/>
        <v>0</v>
      </c>
      <c r="BQ10" s="186">
        <f t="shared" si="14"/>
        <v>0</v>
      </c>
      <c r="BR10" s="191">
        <f t="shared" si="15"/>
        <v>0</v>
      </c>
      <c r="BS10" s="186">
        <f t="shared" si="16"/>
        <v>0</v>
      </c>
      <c r="BT10" s="195">
        <f t="shared" si="17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6"/>
        <v>3</v>
      </c>
      <c r="CA10" s="87" t="str">
        <f t="shared" si="18"/>
        <v/>
      </c>
      <c r="CB10" s="87" t="str">
        <f t="shared" si="37"/>
        <v/>
      </c>
      <c r="CC10" s="88" t="str">
        <f t="shared" si="19"/>
        <v/>
      </c>
      <c r="CD10" s="88" t="str">
        <f t="shared" si="20"/>
        <v/>
      </c>
      <c r="CE10" s="89">
        <f t="shared" si="21"/>
        <v>0</v>
      </c>
      <c r="CF10" s="90">
        <f t="shared" si="38"/>
        <v>0</v>
      </c>
      <c r="CG10" s="91">
        <f t="shared" si="39"/>
        <v>0</v>
      </c>
      <c r="CH10" s="87">
        <f t="shared" si="40"/>
        <v>0</v>
      </c>
      <c r="CI10" s="92">
        <f t="shared" si="41"/>
        <v>2.0833333333333332E-2</v>
      </c>
      <c r="CJ10" s="93">
        <f t="shared" si="42"/>
        <v>0</v>
      </c>
      <c r="CK10" s="89">
        <f t="shared" si="43"/>
        <v>0</v>
      </c>
      <c r="CL10" s="90">
        <f t="shared" si="44"/>
        <v>0</v>
      </c>
      <c r="CM10" s="185">
        <f t="shared" si="45"/>
        <v>0</v>
      </c>
      <c r="CN10" s="185">
        <f t="shared" si="46"/>
        <v>0</v>
      </c>
      <c r="CO10" s="185">
        <f t="shared" si="47"/>
        <v>0</v>
      </c>
      <c r="CP10" s="185">
        <f t="shared" si="48"/>
        <v>0</v>
      </c>
      <c r="CQ10" s="91" t="str">
        <f t="shared" si="22"/>
        <v/>
      </c>
      <c r="CR10" s="87">
        <f t="shared" si="23"/>
        <v>0</v>
      </c>
      <c r="CS10" s="87">
        <f t="shared" si="24"/>
        <v>0</v>
      </c>
      <c r="CT10" s="87">
        <f t="shared" si="49"/>
        <v>0</v>
      </c>
      <c r="CU10" s="92">
        <f t="shared" si="25"/>
        <v>0</v>
      </c>
      <c r="CV10" s="326">
        <f t="shared" si="50"/>
        <v>0</v>
      </c>
      <c r="CW10" s="328">
        <f t="shared" si="26"/>
        <v>0</v>
      </c>
      <c r="CX10" s="330">
        <f t="shared" si="51"/>
        <v>1.6666666683336658E-2</v>
      </c>
      <c r="CY10" s="94" t="str">
        <f t="shared" si="52"/>
        <v>+</v>
      </c>
      <c r="CZ10" s="95">
        <f t="shared" si="53"/>
        <v>1.6666666683336658E-2</v>
      </c>
      <c r="DA10" s="96">
        <f t="shared" si="28"/>
        <v>0</v>
      </c>
      <c r="DB10" s="215">
        <f t="shared" si="29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4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44231</v>
      </c>
      <c r="C11" s="239"/>
      <c r="D11" s="240"/>
      <c r="E11" s="240"/>
      <c r="F11" s="240"/>
      <c r="G11" s="278"/>
      <c r="H11" s="305" t="str">
        <f t="shared" si="30"/>
        <v/>
      </c>
      <c r="I11" s="273" t="str">
        <f t="shared" si="31"/>
        <v/>
      </c>
      <c r="J11" s="312">
        <f t="shared" si="2"/>
        <v>0</v>
      </c>
      <c r="K11" s="313" t="str">
        <f t="shared" si="3"/>
        <v>+</v>
      </c>
      <c r="L11" s="314">
        <f t="shared" si="4"/>
        <v>1.6666666683336658E-2</v>
      </c>
      <c r="M11" s="315">
        <f t="shared" si="32"/>
        <v>0.4000000008000798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3"/>
        <v>44231</v>
      </c>
      <c r="AA11" s="160">
        <f t="shared" si="5"/>
        <v>44231</v>
      </c>
      <c r="AB11" s="160">
        <f t="shared" si="6"/>
        <v>2</v>
      </c>
      <c r="AC11" s="81">
        <f t="shared" si="7"/>
        <v>5</v>
      </c>
      <c r="AD11" s="160">
        <f t="shared" si="8"/>
        <v>0</v>
      </c>
      <c r="AF11" s="27" t="s">
        <v>119</v>
      </c>
      <c r="AG11" s="100"/>
      <c r="AH11" s="82">
        <f t="shared" si="9"/>
        <v>0</v>
      </c>
      <c r="AI11" s="82">
        <f t="shared" si="9"/>
        <v>0</v>
      </c>
      <c r="AJ11" s="82">
        <f t="shared" si="9"/>
        <v>0</v>
      </c>
      <c r="AK11" s="82">
        <f t="shared" si="9"/>
        <v>0</v>
      </c>
      <c r="AL11" s="82">
        <f t="shared" si="9"/>
        <v>0</v>
      </c>
      <c r="AM11" s="82">
        <f t="shared" si="9"/>
        <v>0</v>
      </c>
      <c r="AN11" s="82">
        <f t="shared" si="9"/>
        <v>0</v>
      </c>
      <c r="AO11" s="82">
        <f t="shared" si="9"/>
        <v>0</v>
      </c>
      <c r="AP11" s="82">
        <f t="shared" si="9"/>
        <v>0</v>
      </c>
      <c r="AQ11" s="82">
        <f t="shared" si="9"/>
        <v>0</v>
      </c>
      <c r="AR11" s="82">
        <f t="shared" si="10"/>
        <v>0</v>
      </c>
      <c r="AS11" s="82">
        <f t="shared" si="10"/>
        <v>0</v>
      </c>
      <c r="AT11" s="82">
        <f t="shared" si="10"/>
        <v>0</v>
      </c>
      <c r="AU11" s="82">
        <f t="shared" si="10"/>
        <v>0</v>
      </c>
      <c r="AV11" s="82">
        <f t="shared" si="10"/>
        <v>0</v>
      </c>
      <c r="AW11" s="82">
        <f t="shared" si="10"/>
        <v>0</v>
      </c>
      <c r="AX11" s="82">
        <f t="shared" si="10"/>
        <v>0</v>
      </c>
      <c r="AY11" s="82">
        <f t="shared" si="10"/>
        <v>0</v>
      </c>
      <c r="AZ11" s="82">
        <f t="shared" si="10"/>
        <v>0</v>
      </c>
      <c r="BA11" s="82">
        <f t="shared" si="10"/>
        <v>0</v>
      </c>
      <c r="BB11" s="82">
        <f t="shared" si="11"/>
        <v>0</v>
      </c>
      <c r="BC11" s="82">
        <f t="shared" si="11"/>
        <v>0</v>
      </c>
      <c r="BD11" s="82">
        <f t="shared" si="11"/>
        <v>0</v>
      </c>
      <c r="BE11" s="82">
        <f t="shared" si="11"/>
        <v>0</v>
      </c>
      <c r="BF11" s="82">
        <f t="shared" si="11"/>
        <v>0</v>
      </c>
      <c r="BG11" s="82">
        <f t="shared" si="11"/>
        <v>0</v>
      </c>
      <c r="BH11" s="82">
        <f t="shared" si="11"/>
        <v>0</v>
      </c>
      <c r="BI11" s="82">
        <f t="shared" si="11"/>
        <v>0</v>
      </c>
      <c r="BJ11" s="82">
        <f t="shared" si="11"/>
        <v>0</v>
      </c>
      <c r="BK11" s="83">
        <f t="shared" si="11"/>
        <v>0</v>
      </c>
      <c r="BM11" s="84">
        <f t="shared" si="34"/>
        <v>0</v>
      </c>
      <c r="BN11" s="85">
        <f t="shared" si="35"/>
        <v>0</v>
      </c>
      <c r="BO11" s="84">
        <f t="shared" si="12"/>
        <v>0</v>
      </c>
      <c r="BP11" s="85">
        <f t="shared" si="13"/>
        <v>0</v>
      </c>
      <c r="BQ11" s="186">
        <f t="shared" si="14"/>
        <v>0</v>
      </c>
      <c r="BR11" s="191">
        <f t="shared" si="15"/>
        <v>0</v>
      </c>
      <c r="BS11" s="186">
        <f t="shared" si="16"/>
        <v>0</v>
      </c>
      <c r="BT11" s="195">
        <f t="shared" si="17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6"/>
        <v>4</v>
      </c>
      <c r="CA11" s="87" t="str">
        <f t="shared" si="18"/>
        <v/>
      </c>
      <c r="CB11" s="87" t="str">
        <f t="shared" si="37"/>
        <v/>
      </c>
      <c r="CC11" s="88" t="str">
        <f t="shared" si="19"/>
        <v/>
      </c>
      <c r="CD11" s="88" t="str">
        <f t="shared" si="20"/>
        <v/>
      </c>
      <c r="CE11" s="89">
        <f t="shared" si="21"/>
        <v>0</v>
      </c>
      <c r="CF11" s="90">
        <f t="shared" si="38"/>
        <v>0</v>
      </c>
      <c r="CG11" s="91">
        <f t="shared" si="39"/>
        <v>0</v>
      </c>
      <c r="CH11" s="87">
        <f t="shared" si="40"/>
        <v>0</v>
      </c>
      <c r="CI11" s="92">
        <f t="shared" si="41"/>
        <v>2.0833333333333332E-2</v>
      </c>
      <c r="CJ11" s="93">
        <f t="shared" si="42"/>
        <v>0</v>
      </c>
      <c r="CK11" s="89">
        <f t="shared" si="43"/>
        <v>0</v>
      </c>
      <c r="CL11" s="90">
        <f t="shared" si="44"/>
        <v>0</v>
      </c>
      <c r="CM11" s="185">
        <f t="shared" si="45"/>
        <v>0</v>
      </c>
      <c r="CN11" s="185">
        <f t="shared" si="46"/>
        <v>0</v>
      </c>
      <c r="CO11" s="185">
        <f t="shared" si="47"/>
        <v>0</v>
      </c>
      <c r="CP11" s="185">
        <f t="shared" si="48"/>
        <v>0</v>
      </c>
      <c r="CQ11" s="91" t="str">
        <f t="shared" si="22"/>
        <v/>
      </c>
      <c r="CR11" s="87">
        <f t="shared" si="23"/>
        <v>0</v>
      </c>
      <c r="CS11" s="87">
        <f t="shared" si="24"/>
        <v>0</v>
      </c>
      <c r="CT11" s="87">
        <f t="shared" si="49"/>
        <v>0</v>
      </c>
      <c r="CU11" s="92">
        <f>IF(CF11=0,CS11,MIN(CT11+CS11,0.375))</f>
        <v>0</v>
      </c>
      <c r="CV11" s="326">
        <f t="shared" si="50"/>
        <v>0</v>
      </c>
      <c r="CW11" s="328">
        <f t="shared" si="26"/>
        <v>0</v>
      </c>
      <c r="CX11" s="330">
        <f t="shared" si="51"/>
        <v>1.6666666683336658E-2</v>
      </c>
      <c r="CY11" s="94" t="str">
        <f t="shared" si="52"/>
        <v>+</v>
      </c>
      <c r="CZ11" s="95">
        <f t="shared" si="53"/>
        <v>1.6666666683336658E-2</v>
      </c>
      <c r="DA11" s="96">
        <f t="shared" si="28"/>
        <v>0</v>
      </c>
      <c r="DB11" s="215">
        <f t="shared" si="29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4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44232</v>
      </c>
      <c r="C12" s="239"/>
      <c r="D12" s="240"/>
      <c r="E12" s="240"/>
      <c r="F12" s="240"/>
      <c r="G12" s="278"/>
      <c r="H12" s="305" t="str">
        <f t="shared" si="30"/>
        <v/>
      </c>
      <c r="I12" s="273" t="str">
        <f t="shared" si="31"/>
        <v/>
      </c>
      <c r="J12" s="312">
        <f t="shared" si="2"/>
        <v>0</v>
      </c>
      <c r="K12" s="313" t="str">
        <f t="shared" si="3"/>
        <v>+</v>
      </c>
      <c r="L12" s="314">
        <f t="shared" si="4"/>
        <v>1.6666666683336658E-2</v>
      </c>
      <c r="M12" s="315">
        <f t="shared" si="32"/>
        <v>0.4000000008000798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3"/>
        <v>44232</v>
      </c>
      <c r="AA12" s="160">
        <f t="shared" si="5"/>
        <v>44232</v>
      </c>
      <c r="AB12" s="160">
        <f t="shared" si="6"/>
        <v>2</v>
      </c>
      <c r="AC12" s="81">
        <f t="shared" si="7"/>
        <v>6</v>
      </c>
      <c r="AD12" s="160">
        <f t="shared" si="8"/>
        <v>0</v>
      </c>
      <c r="AF12" s="27" t="s">
        <v>119</v>
      </c>
      <c r="AG12" s="100"/>
      <c r="AH12" s="82">
        <f t="shared" si="9"/>
        <v>0</v>
      </c>
      <c r="AI12" s="82">
        <f t="shared" si="9"/>
        <v>0</v>
      </c>
      <c r="AJ12" s="82">
        <f t="shared" si="9"/>
        <v>0</v>
      </c>
      <c r="AK12" s="82">
        <f t="shared" si="9"/>
        <v>0</v>
      </c>
      <c r="AL12" s="82">
        <f t="shared" si="9"/>
        <v>0</v>
      </c>
      <c r="AM12" s="82">
        <f t="shared" si="9"/>
        <v>0</v>
      </c>
      <c r="AN12" s="82">
        <f t="shared" si="9"/>
        <v>0</v>
      </c>
      <c r="AO12" s="82">
        <f t="shared" si="9"/>
        <v>0</v>
      </c>
      <c r="AP12" s="82">
        <f t="shared" si="9"/>
        <v>0</v>
      </c>
      <c r="AQ12" s="82">
        <f t="shared" si="9"/>
        <v>0</v>
      </c>
      <c r="AR12" s="82">
        <f t="shared" si="10"/>
        <v>0</v>
      </c>
      <c r="AS12" s="82">
        <f t="shared" si="10"/>
        <v>0</v>
      </c>
      <c r="AT12" s="82">
        <f t="shared" si="10"/>
        <v>0</v>
      </c>
      <c r="AU12" s="82">
        <f t="shared" si="10"/>
        <v>0</v>
      </c>
      <c r="AV12" s="82">
        <f t="shared" si="10"/>
        <v>0</v>
      </c>
      <c r="AW12" s="82">
        <f t="shared" si="10"/>
        <v>0</v>
      </c>
      <c r="AX12" s="82">
        <f t="shared" si="10"/>
        <v>0</v>
      </c>
      <c r="AY12" s="82">
        <f t="shared" si="10"/>
        <v>0</v>
      </c>
      <c r="AZ12" s="82">
        <f t="shared" si="10"/>
        <v>0</v>
      </c>
      <c r="BA12" s="82">
        <f t="shared" si="10"/>
        <v>0</v>
      </c>
      <c r="BB12" s="82">
        <f t="shared" si="11"/>
        <v>0</v>
      </c>
      <c r="BC12" s="82">
        <f t="shared" si="11"/>
        <v>0</v>
      </c>
      <c r="BD12" s="82">
        <f t="shared" si="11"/>
        <v>0</v>
      </c>
      <c r="BE12" s="82">
        <f t="shared" si="11"/>
        <v>0</v>
      </c>
      <c r="BF12" s="82">
        <f t="shared" si="11"/>
        <v>0</v>
      </c>
      <c r="BG12" s="82">
        <f t="shared" si="11"/>
        <v>0</v>
      </c>
      <c r="BH12" s="82">
        <f t="shared" si="11"/>
        <v>0</v>
      </c>
      <c r="BI12" s="82">
        <f t="shared" si="11"/>
        <v>0</v>
      </c>
      <c r="BJ12" s="82">
        <f t="shared" si="11"/>
        <v>0</v>
      </c>
      <c r="BK12" s="83">
        <f t="shared" si="11"/>
        <v>0</v>
      </c>
      <c r="BM12" s="84">
        <f t="shared" si="34"/>
        <v>0</v>
      </c>
      <c r="BN12" s="85">
        <f t="shared" si="35"/>
        <v>0</v>
      </c>
      <c r="BO12" s="84">
        <f t="shared" si="12"/>
        <v>0</v>
      </c>
      <c r="BP12" s="85">
        <f t="shared" si="13"/>
        <v>0</v>
      </c>
      <c r="BQ12" s="186">
        <f t="shared" si="14"/>
        <v>0</v>
      </c>
      <c r="BR12" s="191">
        <f t="shared" si="15"/>
        <v>0</v>
      </c>
      <c r="BS12" s="186">
        <f t="shared" si="16"/>
        <v>0</v>
      </c>
      <c r="BT12" s="195">
        <f t="shared" si="17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6"/>
        <v>5</v>
      </c>
      <c r="CA12" s="87" t="str">
        <f t="shared" si="18"/>
        <v/>
      </c>
      <c r="CB12" s="87" t="str">
        <f t="shared" si="37"/>
        <v/>
      </c>
      <c r="CC12" s="88" t="str">
        <f t="shared" si="19"/>
        <v/>
      </c>
      <c r="CD12" s="88" t="str">
        <f t="shared" si="20"/>
        <v/>
      </c>
      <c r="CE12" s="89">
        <f t="shared" si="21"/>
        <v>0</v>
      </c>
      <c r="CF12" s="90">
        <f t="shared" si="38"/>
        <v>0</v>
      </c>
      <c r="CG12" s="91">
        <f t="shared" si="39"/>
        <v>0</v>
      </c>
      <c r="CH12" s="87">
        <f t="shared" si="40"/>
        <v>0</v>
      </c>
      <c r="CI12" s="92">
        <f t="shared" si="41"/>
        <v>2.0833333333333332E-2</v>
      </c>
      <c r="CJ12" s="93">
        <f t="shared" si="42"/>
        <v>0</v>
      </c>
      <c r="CK12" s="89">
        <f t="shared" si="43"/>
        <v>0</v>
      </c>
      <c r="CL12" s="90">
        <f t="shared" si="44"/>
        <v>0</v>
      </c>
      <c r="CM12" s="185">
        <f t="shared" si="45"/>
        <v>0</v>
      </c>
      <c r="CN12" s="185">
        <f t="shared" si="46"/>
        <v>0</v>
      </c>
      <c r="CO12" s="185">
        <f t="shared" si="47"/>
        <v>0</v>
      </c>
      <c r="CP12" s="185">
        <f t="shared" si="48"/>
        <v>0</v>
      </c>
      <c r="CQ12" s="91" t="str">
        <f t="shared" si="22"/>
        <v/>
      </c>
      <c r="CR12" s="87">
        <f t="shared" si="23"/>
        <v>0</v>
      </c>
      <c r="CS12" s="87">
        <f>IF(CQ12="",0,IF(CF12=0,IF((CQ12-CR12)&lt;$BW$9,(CQ12-CR12),$BW$9),IF((CQ12-CR12)&lt;$BW$14,(CQ12-CR12),$BW$14)))</f>
        <v>0</v>
      </c>
      <c r="CT12" s="87">
        <f t="shared" si="49"/>
        <v>0</v>
      </c>
      <c r="CU12" s="92">
        <f t="shared" si="25"/>
        <v>0</v>
      </c>
      <c r="CV12" s="326">
        <f t="shared" si="50"/>
        <v>0</v>
      </c>
      <c r="CW12" s="328">
        <f t="shared" si="26"/>
        <v>0</v>
      </c>
      <c r="CX12" s="330">
        <f t="shared" si="51"/>
        <v>1.6666666683336658E-2</v>
      </c>
      <c r="CY12" s="94" t="str">
        <f t="shared" si="52"/>
        <v>+</v>
      </c>
      <c r="CZ12" s="95">
        <f t="shared" si="53"/>
        <v>1.6666666683336658E-2</v>
      </c>
      <c r="DA12" s="96">
        <f t="shared" si="28"/>
        <v>0</v>
      </c>
      <c r="DB12" s="215">
        <f t="shared" si="29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4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44233</v>
      </c>
      <c r="C13" s="239"/>
      <c r="D13" s="240"/>
      <c r="E13" s="240"/>
      <c r="F13" s="240"/>
      <c r="G13" s="278"/>
      <c r="H13" s="305">
        <f t="shared" si="30"/>
        <v>21</v>
      </c>
      <c r="I13" s="273" t="str">
        <f t="shared" si="31"/>
        <v/>
      </c>
      <c r="J13" s="312">
        <f t="shared" si="2"/>
        <v>0.31666666666666698</v>
      </c>
      <c r="K13" s="313" t="str">
        <f t="shared" si="3"/>
        <v>+</v>
      </c>
      <c r="L13" s="314">
        <f t="shared" si="4"/>
        <v>1.6666666683336991E-2</v>
      </c>
      <c r="M13" s="315">
        <f t="shared" si="32"/>
        <v>0.4000000008000878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3"/>
        <v>44233</v>
      </c>
      <c r="AA13" s="160">
        <f t="shared" si="5"/>
        <v>44233</v>
      </c>
      <c r="AB13" s="160">
        <f t="shared" si="6"/>
        <v>2</v>
      </c>
      <c r="AC13" s="81">
        <f t="shared" si="7"/>
        <v>0</v>
      </c>
      <c r="AD13" s="160">
        <f t="shared" si="8"/>
        <v>0</v>
      </c>
      <c r="AF13" s="27" t="s">
        <v>119</v>
      </c>
      <c r="AG13" s="100"/>
      <c r="AH13" s="82">
        <f t="shared" si="9"/>
        <v>0</v>
      </c>
      <c r="AI13" s="82">
        <f t="shared" si="9"/>
        <v>0</v>
      </c>
      <c r="AJ13" s="82">
        <f t="shared" si="9"/>
        <v>0</v>
      </c>
      <c r="AK13" s="82">
        <f t="shared" si="9"/>
        <v>0</v>
      </c>
      <c r="AL13" s="82">
        <f t="shared" si="9"/>
        <v>0</v>
      </c>
      <c r="AM13" s="82">
        <f t="shared" si="9"/>
        <v>0</v>
      </c>
      <c r="AN13" s="82">
        <f t="shared" si="9"/>
        <v>0</v>
      </c>
      <c r="AO13" s="82">
        <f t="shared" si="9"/>
        <v>0</v>
      </c>
      <c r="AP13" s="82">
        <f t="shared" si="9"/>
        <v>0</v>
      </c>
      <c r="AQ13" s="82">
        <f t="shared" si="9"/>
        <v>0</v>
      </c>
      <c r="AR13" s="82">
        <f t="shared" si="10"/>
        <v>0</v>
      </c>
      <c r="AS13" s="82">
        <f t="shared" si="10"/>
        <v>0</v>
      </c>
      <c r="AT13" s="82">
        <f t="shared" si="10"/>
        <v>0</v>
      </c>
      <c r="AU13" s="82">
        <f t="shared" si="10"/>
        <v>0</v>
      </c>
      <c r="AV13" s="82">
        <f t="shared" si="10"/>
        <v>0</v>
      </c>
      <c r="AW13" s="82">
        <f t="shared" si="10"/>
        <v>0</v>
      </c>
      <c r="AX13" s="82">
        <f t="shared" si="10"/>
        <v>0</v>
      </c>
      <c r="AY13" s="82">
        <f t="shared" si="10"/>
        <v>0</v>
      </c>
      <c r="AZ13" s="82">
        <f t="shared" si="10"/>
        <v>0</v>
      </c>
      <c r="BA13" s="82">
        <f t="shared" si="10"/>
        <v>0</v>
      </c>
      <c r="BB13" s="82">
        <f t="shared" si="11"/>
        <v>0</v>
      </c>
      <c r="BC13" s="82">
        <f t="shared" si="11"/>
        <v>0</v>
      </c>
      <c r="BD13" s="82">
        <f t="shared" si="11"/>
        <v>0</v>
      </c>
      <c r="BE13" s="82">
        <f t="shared" si="11"/>
        <v>0</v>
      </c>
      <c r="BF13" s="82">
        <f t="shared" si="11"/>
        <v>0</v>
      </c>
      <c r="BG13" s="82">
        <f t="shared" si="11"/>
        <v>0</v>
      </c>
      <c r="BH13" s="82">
        <f t="shared" si="11"/>
        <v>0</v>
      </c>
      <c r="BI13" s="82">
        <f t="shared" si="11"/>
        <v>0</v>
      </c>
      <c r="BJ13" s="82">
        <f t="shared" si="11"/>
        <v>0</v>
      </c>
      <c r="BK13" s="83">
        <f t="shared" si="11"/>
        <v>0</v>
      </c>
      <c r="BM13" s="84">
        <f t="shared" si="34"/>
        <v>0</v>
      </c>
      <c r="BN13" s="85">
        <f t="shared" si="35"/>
        <v>0</v>
      </c>
      <c r="BO13" s="84">
        <f t="shared" si="12"/>
        <v>0</v>
      </c>
      <c r="BP13" s="85">
        <f t="shared" si="13"/>
        <v>0</v>
      </c>
      <c r="BQ13" s="186">
        <f t="shared" si="14"/>
        <v>0</v>
      </c>
      <c r="BR13" s="191">
        <f t="shared" si="15"/>
        <v>0</v>
      </c>
      <c r="BS13" s="186">
        <f t="shared" si="16"/>
        <v>0</v>
      </c>
      <c r="BT13" s="195">
        <f t="shared" si="17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6"/>
        <v>6</v>
      </c>
      <c r="CA13" s="87" t="str">
        <f t="shared" si="18"/>
        <v/>
      </c>
      <c r="CB13" s="87" t="str">
        <f t="shared" si="37"/>
        <v/>
      </c>
      <c r="CC13" s="88">
        <f t="shared" si="19"/>
        <v>0.31666666666666698</v>
      </c>
      <c r="CD13" s="88" t="str">
        <f t="shared" si="20"/>
        <v/>
      </c>
      <c r="CE13" s="89">
        <f t="shared" si="21"/>
        <v>0</v>
      </c>
      <c r="CF13" s="90">
        <f t="shared" si="38"/>
        <v>0.31666666666666698</v>
      </c>
      <c r="CG13" s="91">
        <f t="shared" si="39"/>
        <v>0</v>
      </c>
      <c r="CH13" s="87">
        <f t="shared" si="40"/>
        <v>0</v>
      </c>
      <c r="CI13" s="92">
        <f t="shared" si="41"/>
        <v>0</v>
      </c>
      <c r="CJ13" s="93">
        <f t="shared" si="42"/>
        <v>0</v>
      </c>
      <c r="CK13" s="89">
        <f t="shared" si="43"/>
        <v>0</v>
      </c>
      <c r="CL13" s="90">
        <f t="shared" si="44"/>
        <v>0</v>
      </c>
      <c r="CM13" s="185">
        <f t="shared" si="45"/>
        <v>0</v>
      </c>
      <c r="CN13" s="185">
        <f t="shared" si="46"/>
        <v>0</v>
      </c>
      <c r="CO13" s="185">
        <f t="shared" si="47"/>
        <v>0</v>
      </c>
      <c r="CP13" s="185">
        <f t="shared" si="48"/>
        <v>0</v>
      </c>
      <c r="CQ13" s="91" t="str">
        <f t="shared" si="22"/>
        <v/>
      </c>
      <c r="CR13" s="87">
        <f t="shared" si="23"/>
        <v>0</v>
      </c>
      <c r="CS13" s="87">
        <f t="shared" si="24"/>
        <v>0</v>
      </c>
      <c r="CT13" s="87">
        <f t="shared" si="49"/>
        <v>0.31666666666666698</v>
      </c>
      <c r="CU13" s="92">
        <f t="shared" si="25"/>
        <v>0.31666666666666698</v>
      </c>
      <c r="CV13" s="326">
        <f t="shared" si="50"/>
        <v>0.31666666666666698</v>
      </c>
      <c r="CW13" s="328">
        <f t="shared" si="26"/>
        <v>3.3306690738754696E-16</v>
      </c>
      <c r="CX13" s="330">
        <f t="shared" si="51"/>
        <v>1.6666666683336991E-2</v>
      </c>
      <c r="CY13" s="94" t="str">
        <f t="shared" si="52"/>
        <v>+</v>
      </c>
      <c r="CZ13" s="95">
        <f t="shared" si="53"/>
        <v>1.6666666683336991E-2</v>
      </c>
      <c r="DA13" s="96">
        <f t="shared" si="28"/>
        <v>0</v>
      </c>
      <c r="DB13" s="215">
        <f t="shared" si="29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4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44234</v>
      </c>
      <c r="C14" s="239"/>
      <c r="D14" s="240"/>
      <c r="E14" s="240"/>
      <c r="F14" s="240"/>
      <c r="G14" s="278"/>
      <c r="H14" s="305">
        <f t="shared" si="30"/>
        <v>1</v>
      </c>
      <c r="I14" s="273" t="str">
        <f t="shared" si="31"/>
        <v/>
      </c>
      <c r="J14" s="312">
        <f t="shared" si="2"/>
        <v>0.31666666666666698</v>
      </c>
      <c r="K14" s="313" t="str">
        <f t="shared" si="3"/>
        <v>+</v>
      </c>
      <c r="L14" s="314">
        <f t="shared" si="4"/>
        <v>1.6666666683337324E-2</v>
      </c>
      <c r="M14" s="315">
        <f t="shared" si="32"/>
        <v>0.40000000080009579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3"/>
        <v>44234</v>
      </c>
      <c r="AA14" s="160">
        <f t="shared" si="5"/>
        <v>44234</v>
      </c>
      <c r="AB14" s="160">
        <f t="shared" si="6"/>
        <v>2</v>
      </c>
      <c r="AC14" s="81">
        <f t="shared" si="7"/>
        <v>1</v>
      </c>
      <c r="AD14" s="160">
        <f t="shared" si="8"/>
        <v>0</v>
      </c>
      <c r="AF14" s="27" t="s">
        <v>119</v>
      </c>
      <c r="AG14" s="100"/>
      <c r="AH14" s="82">
        <f t="shared" si="9"/>
        <v>0</v>
      </c>
      <c r="AI14" s="82">
        <f t="shared" si="9"/>
        <v>0</v>
      </c>
      <c r="AJ14" s="82">
        <f t="shared" si="9"/>
        <v>0</v>
      </c>
      <c r="AK14" s="82">
        <f t="shared" si="9"/>
        <v>0</v>
      </c>
      <c r="AL14" s="82">
        <f t="shared" si="9"/>
        <v>0</v>
      </c>
      <c r="AM14" s="82">
        <f t="shared" si="9"/>
        <v>0</v>
      </c>
      <c r="AN14" s="82">
        <f t="shared" si="9"/>
        <v>0</v>
      </c>
      <c r="AO14" s="82">
        <f t="shared" si="9"/>
        <v>0</v>
      </c>
      <c r="AP14" s="82">
        <f t="shared" si="9"/>
        <v>0</v>
      </c>
      <c r="AQ14" s="82">
        <f t="shared" si="9"/>
        <v>0</v>
      </c>
      <c r="AR14" s="82">
        <f t="shared" si="10"/>
        <v>0</v>
      </c>
      <c r="AS14" s="82">
        <f t="shared" si="10"/>
        <v>0</v>
      </c>
      <c r="AT14" s="82">
        <f t="shared" si="10"/>
        <v>0</v>
      </c>
      <c r="AU14" s="82">
        <f t="shared" si="10"/>
        <v>0</v>
      </c>
      <c r="AV14" s="82">
        <f t="shared" si="10"/>
        <v>0</v>
      </c>
      <c r="AW14" s="82">
        <f t="shared" si="10"/>
        <v>0</v>
      </c>
      <c r="AX14" s="82">
        <f t="shared" si="10"/>
        <v>0</v>
      </c>
      <c r="AY14" s="82">
        <f t="shared" si="10"/>
        <v>0</v>
      </c>
      <c r="AZ14" s="82">
        <f t="shared" si="10"/>
        <v>0</v>
      </c>
      <c r="BA14" s="82">
        <f t="shared" si="10"/>
        <v>0</v>
      </c>
      <c r="BB14" s="82">
        <f t="shared" si="11"/>
        <v>0</v>
      </c>
      <c r="BC14" s="82">
        <f t="shared" si="11"/>
        <v>0</v>
      </c>
      <c r="BD14" s="82">
        <f t="shared" si="11"/>
        <v>0</v>
      </c>
      <c r="BE14" s="82">
        <f t="shared" si="11"/>
        <v>0</v>
      </c>
      <c r="BF14" s="82">
        <f t="shared" si="11"/>
        <v>0</v>
      </c>
      <c r="BG14" s="82">
        <f t="shared" si="11"/>
        <v>0</v>
      </c>
      <c r="BH14" s="82">
        <f t="shared" si="11"/>
        <v>0</v>
      </c>
      <c r="BI14" s="82">
        <f t="shared" si="11"/>
        <v>0</v>
      </c>
      <c r="BJ14" s="82">
        <f t="shared" si="11"/>
        <v>0</v>
      </c>
      <c r="BK14" s="83">
        <f t="shared" si="11"/>
        <v>0</v>
      </c>
      <c r="BM14" s="84">
        <f t="shared" si="34"/>
        <v>0</v>
      </c>
      <c r="BN14" s="85">
        <f t="shared" si="35"/>
        <v>0</v>
      </c>
      <c r="BO14" s="84">
        <f t="shared" si="12"/>
        <v>0</v>
      </c>
      <c r="BP14" s="85">
        <f t="shared" si="13"/>
        <v>0</v>
      </c>
      <c r="BQ14" s="186">
        <f t="shared" si="14"/>
        <v>0</v>
      </c>
      <c r="BR14" s="191">
        <f t="shared" si="15"/>
        <v>0</v>
      </c>
      <c r="BS14" s="186">
        <f t="shared" si="16"/>
        <v>0</v>
      </c>
      <c r="BT14" s="195">
        <f t="shared" si="17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6"/>
        <v>7</v>
      </c>
      <c r="CA14" s="87" t="str">
        <f t="shared" si="18"/>
        <v/>
      </c>
      <c r="CB14" s="87" t="str">
        <f t="shared" si="37"/>
        <v/>
      </c>
      <c r="CC14" s="88">
        <f t="shared" si="19"/>
        <v>0.31666666666666698</v>
      </c>
      <c r="CD14" s="88" t="str">
        <f t="shared" si="20"/>
        <v/>
      </c>
      <c r="CE14" s="89">
        <f t="shared" si="21"/>
        <v>0</v>
      </c>
      <c r="CF14" s="90">
        <f t="shared" si="38"/>
        <v>0.31666666666666698</v>
      </c>
      <c r="CG14" s="91">
        <f t="shared" si="39"/>
        <v>0</v>
      </c>
      <c r="CH14" s="87">
        <f t="shared" si="40"/>
        <v>0</v>
      </c>
      <c r="CI14" s="92">
        <f t="shared" si="41"/>
        <v>0</v>
      </c>
      <c r="CJ14" s="93">
        <f t="shared" si="42"/>
        <v>0</v>
      </c>
      <c r="CK14" s="89">
        <f t="shared" si="43"/>
        <v>0</v>
      </c>
      <c r="CL14" s="90">
        <f t="shared" si="44"/>
        <v>0</v>
      </c>
      <c r="CM14" s="185">
        <f t="shared" si="45"/>
        <v>0</v>
      </c>
      <c r="CN14" s="185">
        <f t="shared" si="46"/>
        <v>0</v>
      </c>
      <c r="CO14" s="185">
        <f t="shared" si="47"/>
        <v>0</v>
      </c>
      <c r="CP14" s="185">
        <f t="shared" si="48"/>
        <v>0</v>
      </c>
      <c r="CQ14" s="91" t="str">
        <f t="shared" si="22"/>
        <v/>
      </c>
      <c r="CR14" s="87">
        <f t="shared" si="23"/>
        <v>0</v>
      </c>
      <c r="CS14" s="87">
        <f t="shared" si="24"/>
        <v>0</v>
      </c>
      <c r="CT14" s="87">
        <f t="shared" si="49"/>
        <v>0.31666666666666698</v>
      </c>
      <c r="CU14" s="92">
        <f t="shared" si="25"/>
        <v>0.31666666666666698</v>
      </c>
      <c r="CV14" s="326">
        <f t="shared" si="50"/>
        <v>0.31666666666666698</v>
      </c>
      <c r="CW14" s="328">
        <f t="shared" si="26"/>
        <v>3.3306690738754696E-16</v>
      </c>
      <c r="CX14" s="330">
        <f t="shared" si="51"/>
        <v>1.6666666683337324E-2</v>
      </c>
      <c r="CY14" s="94" t="str">
        <f t="shared" si="52"/>
        <v>+</v>
      </c>
      <c r="CZ14" s="95">
        <f t="shared" si="53"/>
        <v>1.6666666683337324E-2</v>
      </c>
      <c r="DA14" s="96">
        <f t="shared" si="28"/>
        <v>0</v>
      </c>
      <c r="DB14" s="215">
        <f t="shared" si="29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4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44235</v>
      </c>
      <c r="C15" s="239"/>
      <c r="D15" s="240"/>
      <c r="E15" s="240"/>
      <c r="F15" s="240"/>
      <c r="G15" s="278"/>
      <c r="H15" s="305" t="str">
        <f t="shared" si="30"/>
        <v/>
      </c>
      <c r="I15" s="273" t="str">
        <f t="shared" si="31"/>
        <v/>
      </c>
      <c r="J15" s="312">
        <f t="shared" si="2"/>
        <v>0</v>
      </c>
      <c r="K15" s="313" t="str">
        <f t="shared" si="3"/>
        <v>+</v>
      </c>
      <c r="L15" s="314">
        <f t="shared" si="4"/>
        <v>1.6666666683337324E-2</v>
      </c>
      <c r="M15" s="315">
        <f t="shared" si="32"/>
        <v>0.40000000080009579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3"/>
        <v>44235</v>
      </c>
      <c r="AA15" s="160">
        <f t="shared" si="5"/>
        <v>44235</v>
      </c>
      <c r="AB15" s="160">
        <f t="shared" si="6"/>
        <v>2</v>
      </c>
      <c r="AC15" s="81">
        <f t="shared" si="7"/>
        <v>2</v>
      </c>
      <c r="AD15" s="160">
        <f t="shared" si="8"/>
        <v>0</v>
      </c>
      <c r="AF15" s="27" t="s">
        <v>119</v>
      </c>
      <c r="AG15" s="100"/>
      <c r="AH15" s="82">
        <f t="shared" si="9"/>
        <v>0</v>
      </c>
      <c r="AI15" s="82">
        <f t="shared" si="9"/>
        <v>0</v>
      </c>
      <c r="AJ15" s="82">
        <f t="shared" si="9"/>
        <v>0</v>
      </c>
      <c r="AK15" s="82">
        <f t="shared" si="9"/>
        <v>0</v>
      </c>
      <c r="AL15" s="82">
        <f t="shared" si="9"/>
        <v>0</v>
      </c>
      <c r="AM15" s="82">
        <f t="shared" si="9"/>
        <v>0</v>
      </c>
      <c r="AN15" s="82">
        <f t="shared" si="9"/>
        <v>0</v>
      </c>
      <c r="AO15" s="82">
        <f t="shared" si="9"/>
        <v>0</v>
      </c>
      <c r="AP15" s="82">
        <f t="shared" si="9"/>
        <v>0</v>
      </c>
      <c r="AQ15" s="82">
        <f t="shared" si="9"/>
        <v>0</v>
      </c>
      <c r="AR15" s="82">
        <f t="shared" si="10"/>
        <v>0</v>
      </c>
      <c r="AS15" s="82">
        <f t="shared" si="10"/>
        <v>0</v>
      </c>
      <c r="AT15" s="82">
        <f t="shared" si="10"/>
        <v>0</v>
      </c>
      <c r="AU15" s="82">
        <f t="shared" si="10"/>
        <v>0</v>
      </c>
      <c r="AV15" s="82">
        <f t="shared" si="10"/>
        <v>0</v>
      </c>
      <c r="AW15" s="82">
        <f t="shared" si="10"/>
        <v>0</v>
      </c>
      <c r="AX15" s="82">
        <f t="shared" si="10"/>
        <v>0</v>
      </c>
      <c r="AY15" s="82">
        <f t="shared" si="10"/>
        <v>0</v>
      </c>
      <c r="AZ15" s="82">
        <f t="shared" si="10"/>
        <v>0</v>
      </c>
      <c r="BA15" s="82">
        <f t="shared" si="10"/>
        <v>0</v>
      </c>
      <c r="BB15" s="82">
        <f t="shared" si="11"/>
        <v>0</v>
      </c>
      <c r="BC15" s="82">
        <f t="shared" si="11"/>
        <v>0</v>
      </c>
      <c r="BD15" s="82">
        <f t="shared" si="11"/>
        <v>0</v>
      </c>
      <c r="BE15" s="82">
        <f t="shared" si="11"/>
        <v>0</v>
      </c>
      <c r="BF15" s="82">
        <f t="shared" si="11"/>
        <v>0</v>
      </c>
      <c r="BG15" s="82">
        <f t="shared" si="11"/>
        <v>0</v>
      </c>
      <c r="BH15" s="82">
        <f t="shared" si="11"/>
        <v>0</v>
      </c>
      <c r="BI15" s="82">
        <f t="shared" si="11"/>
        <v>0</v>
      </c>
      <c r="BJ15" s="82">
        <f t="shared" si="11"/>
        <v>0</v>
      </c>
      <c r="BK15" s="83">
        <f t="shared" si="11"/>
        <v>0</v>
      </c>
      <c r="BM15" s="84">
        <f t="shared" si="34"/>
        <v>0</v>
      </c>
      <c r="BN15" s="85">
        <f t="shared" si="35"/>
        <v>0</v>
      </c>
      <c r="BO15" s="84">
        <f t="shared" si="12"/>
        <v>0</v>
      </c>
      <c r="BP15" s="85">
        <f t="shared" si="13"/>
        <v>0</v>
      </c>
      <c r="BQ15" s="186">
        <f t="shared" si="14"/>
        <v>0</v>
      </c>
      <c r="BR15" s="191">
        <f t="shared" si="15"/>
        <v>0</v>
      </c>
      <c r="BS15" s="186">
        <f t="shared" si="16"/>
        <v>0</v>
      </c>
      <c r="BT15" s="195">
        <f t="shared" si="17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6"/>
        <v>8</v>
      </c>
      <c r="CA15" s="87" t="str">
        <f t="shared" si="18"/>
        <v/>
      </c>
      <c r="CB15" s="87" t="str">
        <f t="shared" si="37"/>
        <v/>
      </c>
      <c r="CC15" s="88" t="str">
        <f t="shared" si="19"/>
        <v/>
      </c>
      <c r="CD15" s="88" t="str">
        <f t="shared" si="20"/>
        <v/>
      </c>
      <c r="CE15" s="89">
        <f t="shared" si="21"/>
        <v>0</v>
      </c>
      <c r="CF15" s="90">
        <f t="shared" si="38"/>
        <v>0</v>
      </c>
      <c r="CG15" s="91">
        <f t="shared" si="39"/>
        <v>0</v>
      </c>
      <c r="CH15" s="87">
        <f t="shared" si="40"/>
        <v>0</v>
      </c>
      <c r="CI15" s="92">
        <f t="shared" si="41"/>
        <v>2.0833333333333332E-2</v>
      </c>
      <c r="CJ15" s="93">
        <f t="shared" si="42"/>
        <v>0</v>
      </c>
      <c r="CK15" s="89">
        <f t="shared" si="43"/>
        <v>0</v>
      </c>
      <c r="CL15" s="90">
        <f t="shared" si="44"/>
        <v>0</v>
      </c>
      <c r="CM15" s="185">
        <f t="shared" si="45"/>
        <v>0</v>
      </c>
      <c r="CN15" s="185">
        <f t="shared" si="46"/>
        <v>0</v>
      </c>
      <c r="CO15" s="185">
        <f t="shared" si="47"/>
        <v>0</v>
      </c>
      <c r="CP15" s="185">
        <f t="shared" si="48"/>
        <v>0</v>
      </c>
      <c r="CQ15" s="91" t="str">
        <f t="shared" si="22"/>
        <v/>
      </c>
      <c r="CR15" s="87">
        <f t="shared" si="23"/>
        <v>0</v>
      </c>
      <c r="CS15" s="87">
        <f t="shared" si="24"/>
        <v>0</v>
      </c>
      <c r="CT15" s="87">
        <f t="shared" si="49"/>
        <v>0</v>
      </c>
      <c r="CU15" s="92">
        <f t="shared" si="25"/>
        <v>0</v>
      </c>
      <c r="CV15" s="326">
        <f t="shared" si="50"/>
        <v>0</v>
      </c>
      <c r="CW15" s="328">
        <f t="shared" si="26"/>
        <v>0</v>
      </c>
      <c r="CX15" s="330">
        <f t="shared" si="51"/>
        <v>1.6666666683337324E-2</v>
      </c>
      <c r="CY15" s="94" t="str">
        <f t="shared" si="52"/>
        <v>+</v>
      </c>
      <c r="CZ15" s="95">
        <f t="shared" si="53"/>
        <v>1.6666666683337324E-2</v>
      </c>
      <c r="DA15" s="96">
        <f t="shared" si="28"/>
        <v>0</v>
      </c>
      <c r="DB15" s="215">
        <f t="shared" si="29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4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44236</v>
      </c>
      <c r="C16" s="239"/>
      <c r="D16" s="240"/>
      <c r="E16" s="240"/>
      <c r="F16" s="240"/>
      <c r="G16" s="278"/>
      <c r="H16" s="305" t="str">
        <f t="shared" si="30"/>
        <v/>
      </c>
      <c r="I16" s="273" t="str">
        <f t="shared" si="31"/>
        <v/>
      </c>
      <c r="J16" s="312">
        <f t="shared" si="2"/>
        <v>0</v>
      </c>
      <c r="K16" s="313" t="str">
        <f t="shared" si="3"/>
        <v>+</v>
      </c>
      <c r="L16" s="314">
        <f t="shared" si="4"/>
        <v>1.6666666683337324E-2</v>
      </c>
      <c r="M16" s="315">
        <f t="shared" si="32"/>
        <v>0.40000000080009579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3"/>
        <v>44236</v>
      </c>
      <c r="AA16" s="160">
        <f t="shared" si="5"/>
        <v>44236</v>
      </c>
      <c r="AB16" s="160">
        <f t="shared" si="6"/>
        <v>2</v>
      </c>
      <c r="AC16" s="81">
        <f t="shared" si="7"/>
        <v>3</v>
      </c>
      <c r="AD16" s="160">
        <f t="shared" si="8"/>
        <v>0</v>
      </c>
      <c r="AF16" s="27" t="s">
        <v>119</v>
      </c>
      <c r="AG16" s="100"/>
      <c r="AH16" s="82">
        <f t="shared" si="9"/>
        <v>0</v>
      </c>
      <c r="AI16" s="82">
        <f t="shared" si="9"/>
        <v>0</v>
      </c>
      <c r="AJ16" s="82">
        <f t="shared" si="9"/>
        <v>0</v>
      </c>
      <c r="AK16" s="82">
        <f t="shared" si="9"/>
        <v>0</v>
      </c>
      <c r="AL16" s="82">
        <f t="shared" si="9"/>
        <v>0</v>
      </c>
      <c r="AM16" s="82">
        <f t="shared" si="9"/>
        <v>0</v>
      </c>
      <c r="AN16" s="82">
        <f t="shared" si="9"/>
        <v>0</v>
      </c>
      <c r="AO16" s="82">
        <f t="shared" si="9"/>
        <v>0</v>
      </c>
      <c r="AP16" s="82">
        <f t="shared" si="9"/>
        <v>0</v>
      </c>
      <c r="AQ16" s="82">
        <f t="shared" si="9"/>
        <v>0</v>
      </c>
      <c r="AR16" s="82">
        <f t="shared" si="10"/>
        <v>0</v>
      </c>
      <c r="AS16" s="82">
        <f t="shared" si="10"/>
        <v>0</v>
      </c>
      <c r="AT16" s="82">
        <f t="shared" si="10"/>
        <v>0</v>
      </c>
      <c r="AU16" s="82">
        <f t="shared" si="10"/>
        <v>0</v>
      </c>
      <c r="AV16" s="82">
        <f t="shared" si="10"/>
        <v>0</v>
      </c>
      <c r="AW16" s="82">
        <f t="shared" si="10"/>
        <v>0</v>
      </c>
      <c r="AX16" s="82">
        <f t="shared" si="10"/>
        <v>0</v>
      </c>
      <c r="AY16" s="82">
        <f t="shared" si="10"/>
        <v>0</v>
      </c>
      <c r="AZ16" s="82">
        <f t="shared" si="10"/>
        <v>0</v>
      </c>
      <c r="BA16" s="82">
        <f t="shared" si="10"/>
        <v>0</v>
      </c>
      <c r="BB16" s="82">
        <f t="shared" si="11"/>
        <v>0</v>
      </c>
      <c r="BC16" s="82">
        <f t="shared" si="11"/>
        <v>0</v>
      </c>
      <c r="BD16" s="82">
        <f t="shared" si="11"/>
        <v>0</v>
      </c>
      <c r="BE16" s="82">
        <f t="shared" si="11"/>
        <v>0</v>
      </c>
      <c r="BF16" s="82">
        <f t="shared" si="11"/>
        <v>0</v>
      </c>
      <c r="BG16" s="82">
        <f t="shared" si="11"/>
        <v>0</v>
      </c>
      <c r="BH16" s="82">
        <f t="shared" si="11"/>
        <v>0</v>
      </c>
      <c r="BI16" s="82">
        <f t="shared" si="11"/>
        <v>0</v>
      </c>
      <c r="BJ16" s="82">
        <f t="shared" si="11"/>
        <v>0</v>
      </c>
      <c r="BK16" s="83">
        <f t="shared" si="11"/>
        <v>0</v>
      </c>
      <c r="BM16" s="84">
        <f t="shared" si="34"/>
        <v>0</v>
      </c>
      <c r="BN16" s="85">
        <f t="shared" si="35"/>
        <v>0</v>
      </c>
      <c r="BO16" s="84">
        <f t="shared" si="12"/>
        <v>0</v>
      </c>
      <c r="BP16" s="85">
        <f t="shared" si="13"/>
        <v>0</v>
      </c>
      <c r="BQ16" s="186">
        <f t="shared" si="14"/>
        <v>0</v>
      </c>
      <c r="BR16" s="191">
        <f t="shared" si="15"/>
        <v>0</v>
      </c>
      <c r="BS16" s="186">
        <f t="shared" si="16"/>
        <v>0</v>
      </c>
      <c r="BT16" s="195">
        <f t="shared" si="17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6"/>
        <v>9</v>
      </c>
      <c r="CA16" s="87" t="str">
        <f t="shared" si="18"/>
        <v/>
      </c>
      <c r="CB16" s="87" t="str">
        <f t="shared" si="37"/>
        <v/>
      </c>
      <c r="CC16" s="88" t="str">
        <f t="shared" si="19"/>
        <v/>
      </c>
      <c r="CD16" s="88" t="str">
        <f t="shared" si="20"/>
        <v/>
      </c>
      <c r="CE16" s="89">
        <f t="shared" si="21"/>
        <v>0</v>
      </c>
      <c r="CF16" s="90">
        <f t="shared" si="38"/>
        <v>0</v>
      </c>
      <c r="CG16" s="91">
        <f t="shared" si="39"/>
        <v>0</v>
      </c>
      <c r="CH16" s="87">
        <f t="shared" si="40"/>
        <v>0</v>
      </c>
      <c r="CI16" s="92">
        <f t="shared" si="41"/>
        <v>2.0833333333333332E-2</v>
      </c>
      <c r="CJ16" s="93">
        <f t="shared" si="42"/>
        <v>0</v>
      </c>
      <c r="CK16" s="89">
        <f t="shared" si="43"/>
        <v>0</v>
      </c>
      <c r="CL16" s="90">
        <f t="shared" si="44"/>
        <v>0</v>
      </c>
      <c r="CM16" s="185">
        <f t="shared" si="45"/>
        <v>0</v>
      </c>
      <c r="CN16" s="185">
        <f t="shared" si="46"/>
        <v>0</v>
      </c>
      <c r="CO16" s="185">
        <f t="shared" si="47"/>
        <v>0</v>
      </c>
      <c r="CP16" s="185">
        <f t="shared" si="48"/>
        <v>0</v>
      </c>
      <c r="CQ16" s="91" t="str">
        <f t="shared" si="22"/>
        <v/>
      </c>
      <c r="CR16" s="87">
        <f t="shared" si="23"/>
        <v>0</v>
      </c>
      <c r="CS16" s="87">
        <f t="shared" si="24"/>
        <v>0</v>
      </c>
      <c r="CT16" s="87">
        <f t="shared" si="49"/>
        <v>0</v>
      </c>
      <c r="CU16" s="92">
        <f t="shared" si="25"/>
        <v>0</v>
      </c>
      <c r="CV16" s="326">
        <f t="shared" si="50"/>
        <v>0</v>
      </c>
      <c r="CW16" s="328">
        <f t="shared" si="26"/>
        <v>0</v>
      </c>
      <c r="CX16" s="330">
        <f t="shared" si="51"/>
        <v>1.6666666683337324E-2</v>
      </c>
      <c r="CY16" s="94" t="str">
        <f t="shared" si="52"/>
        <v>+</v>
      </c>
      <c r="CZ16" s="95">
        <f t="shared" si="53"/>
        <v>1.6666666683337324E-2</v>
      </c>
      <c r="DA16" s="96">
        <f t="shared" si="28"/>
        <v>0</v>
      </c>
      <c r="DB16" s="215">
        <f t="shared" si="29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44237</v>
      </c>
      <c r="C17" s="239"/>
      <c r="D17" s="240"/>
      <c r="E17" s="240"/>
      <c r="F17" s="240"/>
      <c r="G17" s="278"/>
      <c r="H17" s="305" t="str">
        <f t="shared" si="30"/>
        <v/>
      </c>
      <c r="I17" s="273" t="str">
        <f t="shared" si="31"/>
        <v/>
      </c>
      <c r="J17" s="312">
        <f t="shared" si="2"/>
        <v>0</v>
      </c>
      <c r="K17" s="313" t="str">
        <f t="shared" si="3"/>
        <v>+</v>
      </c>
      <c r="L17" s="314">
        <f t="shared" si="4"/>
        <v>1.6666666683337324E-2</v>
      </c>
      <c r="M17" s="315">
        <f t="shared" si="32"/>
        <v>0.40000000080009579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3"/>
        <v>44237</v>
      </c>
      <c r="AA17" s="160">
        <f t="shared" si="5"/>
        <v>44237</v>
      </c>
      <c r="AB17" s="160">
        <f t="shared" si="6"/>
        <v>2</v>
      </c>
      <c r="AC17" s="81">
        <f t="shared" si="7"/>
        <v>4</v>
      </c>
      <c r="AD17" s="160">
        <f t="shared" si="8"/>
        <v>0</v>
      </c>
      <c r="AF17" s="27" t="s">
        <v>119</v>
      </c>
      <c r="AG17" s="100"/>
      <c r="AH17" s="82">
        <f t="shared" si="9"/>
        <v>0</v>
      </c>
      <c r="AI17" s="82">
        <f t="shared" si="9"/>
        <v>0</v>
      </c>
      <c r="AJ17" s="82">
        <f t="shared" si="9"/>
        <v>0</v>
      </c>
      <c r="AK17" s="82">
        <f t="shared" si="9"/>
        <v>0</v>
      </c>
      <c r="AL17" s="82">
        <f t="shared" si="9"/>
        <v>0</v>
      </c>
      <c r="AM17" s="82">
        <f t="shared" si="9"/>
        <v>0</v>
      </c>
      <c r="AN17" s="82">
        <f t="shared" si="9"/>
        <v>0</v>
      </c>
      <c r="AO17" s="82">
        <f t="shared" si="9"/>
        <v>0</v>
      </c>
      <c r="AP17" s="82">
        <f t="shared" si="9"/>
        <v>0</v>
      </c>
      <c r="AQ17" s="82">
        <f t="shared" si="9"/>
        <v>0</v>
      </c>
      <c r="AR17" s="82">
        <f t="shared" si="10"/>
        <v>0</v>
      </c>
      <c r="AS17" s="82">
        <f t="shared" si="10"/>
        <v>0</v>
      </c>
      <c r="AT17" s="82">
        <f t="shared" si="10"/>
        <v>0</v>
      </c>
      <c r="AU17" s="82">
        <f t="shared" si="10"/>
        <v>0</v>
      </c>
      <c r="AV17" s="82">
        <f t="shared" si="10"/>
        <v>0</v>
      </c>
      <c r="AW17" s="82">
        <f t="shared" si="10"/>
        <v>0</v>
      </c>
      <c r="AX17" s="82">
        <f t="shared" si="10"/>
        <v>0</v>
      </c>
      <c r="AY17" s="82">
        <f t="shared" si="10"/>
        <v>0</v>
      </c>
      <c r="AZ17" s="82">
        <f t="shared" si="10"/>
        <v>0</v>
      </c>
      <c r="BA17" s="82">
        <f t="shared" si="10"/>
        <v>0</v>
      </c>
      <c r="BB17" s="82">
        <f t="shared" si="11"/>
        <v>0</v>
      </c>
      <c r="BC17" s="82">
        <f t="shared" si="11"/>
        <v>0</v>
      </c>
      <c r="BD17" s="82">
        <f t="shared" si="11"/>
        <v>0</v>
      </c>
      <c r="BE17" s="82">
        <f t="shared" si="11"/>
        <v>0</v>
      </c>
      <c r="BF17" s="82">
        <f t="shared" si="11"/>
        <v>0</v>
      </c>
      <c r="BG17" s="82">
        <f t="shared" si="11"/>
        <v>0</v>
      </c>
      <c r="BH17" s="82">
        <f t="shared" si="11"/>
        <v>0</v>
      </c>
      <c r="BI17" s="82">
        <f t="shared" si="11"/>
        <v>0</v>
      </c>
      <c r="BJ17" s="82">
        <f t="shared" si="11"/>
        <v>0</v>
      </c>
      <c r="BK17" s="83">
        <f t="shared" si="11"/>
        <v>0</v>
      </c>
      <c r="BM17" s="84">
        <f t="shared" si="34"/>
        <v>0</v>
      </c>
      <c r="BN17" s="85">
        <f t="shared" si="35"/>
        <v>0</v>
      </c>
      <c r="BO17" s="84">
        <f t="shared" si="12"/>
        <v>0</v>
      </c>
      <c r="BP17" s="85">
        <f t="shared" si="13"/>
        <v>0</v>
      </c>
      <c r="BQ17" s="186">
        <f t="shared" si="14"/>
        <v>0</v>
      </c>
      <c r="BR17" s="191">
        <f t="shared" si="15"/>
        <v>0</v>
      </c>
      <c r="BS17" s="186">
        <f t="shared" si="16"/>
        <v>0</v>
      </c>
      <c r="BT17" s="195">
        <f t="shared" si="17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6"/>
        <v>10</v>
      </c>
      <c r="CA17" s="87" t="str">
        <f t="shared" si="18"/>
        <v/>
      </c>
      <c r="CB17" s="87" t="str">
        <f t="shared" si="37"/>
        <v/>
      </c>
      <c r="CC17" s="88" t="str">
        <f t="shared" si="19"/>
        <v/>
      </c>
      <c r="CD17" s="88" t="str">
        <f t="shared" si="20"/>
        <v/>
      </c>
      <c r="CE17" s="89">
        <f t="shared" si="21"/>
        <v>0</v>
      </c>
      <c r="CF17" s="90">
        <f t="shared" si="38"/>
        <v>0</v>
      </c>
      <c r="CG17" s="91">
        <f t="shared" si="39"/>
        <v>0</v>
      </c>
      <c r="CH17" s="87">
        <f t="shared" si="40"/>
        <v>0</v>
      </c>
      <c r="CI17" s="92">
        <f t="shared" si="41"/>
        <v>2.0833333333333332E-2</v>
      </c>
      <c r="CJ17" s="93">
        <f t="shared" si="42"/>
        <v>0</v>
      </c>
      <c r="CK17" s="89">
        <f t="shared" si="43"/>
        <v>0</v>
      </c>
      <c r="CL17" s="90">
        <f t="shared" si="44"/>
        <v>0</v>
      </c>
      <c r="CM17" s="185">
        <f t="shared" si="45"/>
        <v>0</v>
      </c>
      <c r="CN17" s="185">
        <f t="shared" si="46"/>
        <v>0</v>
      </c>
      <c r="CO17" s="185">
        <f t="shared" si="47"/>
        <v>0</v>
      </c>
      <c r="CP17" s="185">
        <f t="shared" si="48"/>
        <v>0</v>
      </c>
      <c r="CQ17" s="91" t="str">
        <f t="shared" si="22"/>
        <v/>
      </c>
      <c r="CR17" s="87">
        <f t="shared" si="23"/>
        <v>0</v>
      </c>
      <c r="CS17" s="87">
        <f t="shared" si="24"/>
        <v>0</v>
      </c>
      <c r="CT17" s="87">
        <f t="shared" si="49"/>
        <v>0</v>
      </c>
      <c r="CU17" s="92">
        <f t="shared" si="25"/>
        <v>0</v>
      </c>
      <c r="CV17" s="326">
        <f t="shared" si="50"/>
        <v>0</v>
      </c>
      <c r="CW17" s="328">
        <f t="shared" si="26"/>
        <v>0</v>
      </c>
      <c r="CX17" s="330">
        <f t="shared" si="51"/>
        <v>1.6666666683337324E-2</v>
      </c>
      <c r="CY17" s="94" t="str">
        <f t="shared" si="52"/>
        <v>+</v>
      </c>
      <c r="CZ17" s="95">
        <f t="shared" si="53"/>
        <v>1.6666666683337324E-2</v>
      </c>
      <c r="DA17" s="96">
        <f t="shared" si="28"/>
        <v>0</v>
      </c>
      <c r="DB17" s="215">
        <f t="shared" si="29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4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44238</v>
      </c>
      <c r="C18" s="239"/>
      <c r="D18" s="240"/>
      <c r="E18" s="240"/>
      <c r="F18" s="240"/>
      <c r="G18" s="278"/>
      <c r="H18" s="305" t="str">
        <f t="shared" si="30"/>
        <v/>
      </c>
      <c r="I18" s="273" t="str">
        <f t="shared" si="31"/>
        <v/>
      </c>
      <c r="J18" s="312">
        <f t="shared" si="2"/>
        <v>0</v>
      </c>
      <c r="K18" s="313" t="str">
        <f t="shared" si="3"/>
        <v>+</v>
      </c>
      <c r="L18" s="314">
        <f t="shared" si="4"/>
        <v>1.6666666683337324E-2</v>
      </c>
      <c r="M18" s="315">
        <f t="shared" si="32"/>
        <v>0.40000000080009579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3"/>
        <v>44238</v>
      </c>
      <c r="AA18" s="160">
        <f t="shared" si="5"/>
        <v>44238</v>
      </c>
      <c r="AB18" s="160">
        <f t="shared" si="6"/>
        <v>2</v>
      </c>
      <c r="AC18" s="81">
        <f t="shared" si="7"/>
        <v>5</v>
      </c>
      <c r="AD18" s="160">
        <f t="shared" si="8"/>
        <v>0</v>
      </c>
      <c r="AF18" s="27" t="s">
        <v>119</v>
      </c>
      <c r="AG18" s="100"/>
      <c r="AH18" s="82">
        <f t="shared" ref="AH18:AQ27" si="55">IF($N18=AH$7,$DB18,IF($O18=AH$7,$P18,IF($Q18=AH$7,$R18,0)))</f>
        <v>0</v>
      </c>
      <c r="AI18" s="82">
        <f t="shared" si="55"/>
        <v>0</v>
      </c>
      <c r="AJ18" s="82">
        <f t="shared" si="55"/>
        <v>0</v>
      </c>
      <c r="AK18" s="82">
        <f t="shared" si="55"/>
        <v>0</v>
      </c>
      <c r="AL18" s="82">
        <f t="shared" si="55"/>
        <v>0</v>
      </c>
      <c r="AM18" s="82">
        <f t="shared" si="55"/>
        <v>0</v>
      </c>
      <c r="AN18" s="82">
        <f t="shared" si="55"/>
        <v>0</v>
      </c>
      <c r="AO18" s="82">
        <f t="shared" si="55"/>
        <v>0</v>
      </c>
      <c r="AP18" s="82">
        <f t="shared" si="55"/>
        <v>0</v>
      </c>
      <c r="AQ18" s="82">
        <f t="shared" si="55"/>
        <v>0</v>
      </c>
      <c r="AR18" s="82">
        <f t="shared" ref="AR18:BA27" si="56">IF($N18=AR$7,$DB18,IF($O18=AR$7,$P18,IF($Q18=AR$7,$R18,0)))</f>
        <v>0</v>
      </c>
      <c r="AS18" s="82">
        <f t="shared" si="56"/>
        <v>0</v>
      </c>
      <c r="AT18" s="82">
        <f t="shared" si="56"/>
        <v>0</v>
      </c>
      <c r="AU18" s="82">
        <f t="shared" si="56"/>
        <v>0</v>
      </c>
      <c r="AV18" s="82">
        <f t="shared" si="56"/>
        <v>0</v>
      </c>
      <c r="AW18" s="82">
        <f t="shared" si="56"/>
        <v>0</v>
      </c>
      <c r="AX18" s="82">
        <f t="shared" si="56"/>
        <v>0</v>
      </c>
      <c r="AY18" s="82">
        <f t="shared" si="56"/>
        <v>0</v>
      </c>
      <c r="AZ18" s="82">
        <f t="shared" si="56"/>
        <v>0</v>
      </c>
      <c r="BA18" s="82">
        <f t="shared" si="56"/>
        <v>0</v>
      </c>
      <c r="BB18" s="82">
        <f t="shared" ref="BB18:BK27" si="57">IF($N18=BB$7,$DB18,IF($O18=BB$7,$P18,IF($Q18=BB$7,$R18,0)))</f>
        <v>0</v>
      </c>
      <c r="BC18" s="82">
        <f t="shared" si="57"/>
        <v>0</v>
      </c>
      <c r="BD18" s="82">
        <f t="shared" si="57"/>
        <v>0</v>
      </c>
      <c r="BE18" s="82">
        <f t="shared" si="57"/>
        <v>0</v>
      </c>
      <c r="BF18" s="82">
        <f t="shared" si="57"/>
        <v>0</v>
      </c>
      <c r="BG18" s="82">
        <f t="shared" si="57"/>
        <v>0</v>
      </c>
      <c r="BH18" s="82">
        <f t="shared" si="57"/>
        <v>0</v>
      </c>
      <c r="BI18" s="82">
        <f t="shared" si="57"/>
        <v>0</v>
      </c>
      <c r="BJ18" s="82">
        <f t="shared" si="57"/>
        <v>0</v>
      </c>
      <c r="BK18" s="83">
        <f t="shared" si="57"/>
        <v>0</v>
      </c>
      <c r="BM18" s="84">
        <f t="shared" si="34"/>
        <v>0</v>
      </c>
      <c r="BN18" s="85">
        <f t="shared" si="35"/>
        <v>0</v>
      </c>
      <c r="BO18" s="84">
        <f t="shared" si="12"/>
        <v>0</v>
      </c>
      <c r="BP18" s="85">
        <f t="shared" si="13"/>
        <v>0</v>
      </c>
      <c r="BQ18" s="186">
        <f t="shared" si="14"/>
        <v>0</v>
      </c>
      <c r="BR18" s="191">
        <f t="shared" si="15"/>
        <v>0</v>
      </c>
      <c r="BS18" s="186">
        <f t="shared" si="16"/>
        <v>0</v>
      </c>
      <c r="BT18" s="195">
        <f t="shared" si="17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6"/>
        <v>11</v>
      </c>
      <c r="CA18" s="87" t="str">
        <f>IF(TRIM(C18)="","",IF(C18&lt;$BW$8,$BW$8,C18))</f>
        <v/>
      </c>
      <c r="CB18" s="87" t="str">
        <f t="shared" si="37"/>
        <v/>
      </c>
      <c r="CC18" s="88" t="str">
        <f t="shared" si="19"/>
        <v/>
      </c>
      <c r="CD18" s="88" t="str">
        <f t="shared" si="20"/>
        <v/>
      </c>
      <c r="CE18" s="89">
        <f t="shared" si="21"/>
        <v>0</v>
      </c>
      <c r="CF18" s="90">
        <f t="shared" si="38"/>
        <v>0</v>
      </c>
      <c r="CG18" s="91">
        <f t="shared" si="39"/>
        <v>0</v>
      </c>
      <c r="CH18" s="87">
        <f t="shared" si="40"/>
        <v>0</v>
      </c>
      <c r="CI18" s="92">
        <f t="shared" si="41"/>
        <v>2.0833333333333332E-2</v>
      </c>
      <c r="CJ18" s="93">
        <f t="shared" si="42"/>
        <v>0</v>
      </c>
      <c r="CK18" s="89">
        <f t="shared" si="43"/>
        <v>0</v>
      </c>
      <c r="CL18" s="90">
        <f t="shared" si="44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2"/>
        <v/>
      </c>
      <c r="CR18" s="87">
        <f t="shared" si="23"/>
        <v>0</v>
      </c>
      <c r="CS18" s="87">
        <f t="shared" si="24"/>
        <v>0</v>
      </c>
      <c r="CT18" s="87">
        <f t="shared" si="49"/>
        <v>0</v>
      </c>
      <c r="CU18" s="92">
        <f t="shared" si="25"/>
        <v>0</v>
      </c>
      <c r="CV18" s="326">
        <f t="shared" si="50"/>
        <v>0</v>
      </c>
      <c r="CW18" s="328">
        <f t="shared" si="26"/>
        <v>0</v>
      </c>
      <c r="CX18" s="330">
        <f t="shared" si="51"/>
        <v>1.6666666683337324E-2</v>
      </c>
      <c r="CY18" s="94" t="str">
        <f t="shared" si="52"/>
        <v>+</v>
      </c>
      <c r="CZ18" s="95">
        <f t="shared" si="53"/>
        <v>1.6666666683337324E-2</v>
      </c>
      <c r="DA18" s="96">
        <f t="shared" si="28"/>
        <v>0</v>
      </c>
      <c r="DB18" s="215">
        <f t="shared" si="29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4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44239</v>
      </c>
      <c r="C19" s="239"/>
      <c r="D19" s="240"/>
      <c r="E19" s="240"/>
      <c r="F19" s="240"/>
      <c r="G19" s="278"/>
      <c r="H19" s="305" t="str">
        <f t="shared" si="30"/>
        <v/>
      </c>
      <c r="I19" s="273" t="str">
        <f t="shared" si="31"/>
        <v/>
      </c>
      <c r="J19" s="312">
        <f t="shared" si="2"/>
        <v>0</v>
      </c>
      <c r="K19" s="313" t="str">
        <f t="shared" si="3"/>
        <v>+</v>
      </c>
      <c r="L19" s="314">
        <f t="shared" si="4"/>
        <v>1.6666666683337324E-2</v>
      </c>
      <c r="M19" s="315">
        <f t="shared" si="32"/>
        <v>0.40000000080009579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3"/>
        <v>44239</v>
      </c>
      <c r="AA19" s="160">
        <f t="shared" si="5"/>
        <v>44239</v>
      </c>
      <c r="AB19" s="160">
        <f t="shared" si="6"/>
        <v>2</v>
      </c>
      <c r="AC19" s="81">
        <f t="shared" si="7"/>
        <v>6</v>
      </c>
      <c r="AD19" s="160">
        <f t="shared" si="8"/>
        <v>0</v>
      </c>
      <c r="AF19" s="27" t="s">
        <v>119</v>
      </c>
      <c r="AG19" s="100"/>
      <c r="AH19" s="82">
        <f t="shared" si="55"/>
        <v>0</v>
      </c>
      <c r="AI19" s="82">
        <f t="shared" si="55"/>
        <v>0</v>
      </c>
      <c r="AJ19" s="82">
        <f t="shared" si="55"/>
        <v>0</v>
      </c>
      <c r="AK19" s="82">
        <f t="shared" si="55"/>
        <v>0</v>
      </c>
      <c r="AL19" s="82">
        <f t="shared" si="55"/>
        <v>0</v>
      </c>
      <c r="AM19" s="82">
        <f t="shared" si="55"/>
        <v>0</v>
      </c>
      <c r="AN19" s="82">
        <f t="shared" si="55"/>
        <v>0</v>
      </c>
      <c r="AO19" s="82">
        <f t="shared" si="55"/>
        <v>0</v>
      </c>
      <c r="AP19" s="82">
        <f t="shared" si="55"/>
        <v>0</v>
      </c>
      <c r="AQ19" s="82">
        <f t="shared" si="55"/>
        <v>0</v>
      </c>
      <c r="AR19" s="82">
        <f t="shared" si="56"/>
        <v>0</v>
      </c>
      <c r="AS19" s="82">
        <f t="shared" si="56"/>
        <v>0</v>
      </c>
      <c r="AT19" s="82">
        <f t="shared" si="56"/>
        <v>0</v>
      </c>
      <c r="AU19" s="82">
        <f t="shared" si="56"/>
        <v>0</v>
      </c>
      <c r="AV19" s="82">
        <f t="shared" si="56"/>
        <v>0</v>
      </c>
      <c r="AW19" s="82">
        <f t="shared" si="56"/>
        <v>0</v>
      </c>
      <c r="AX19" s="82">
        <f t="shared" si="56"/>
        <v>0</v>
      </c>
      <c r="AY19" s="82">
        <f t="shared" si="56"/>
        <v>0</v>
      </c>
      <c r="AZ19" s="82">
        <f t="shared" si="56"/>
        <v>0</v>
      </c>
      <c r="BA19" s="82">
        <f t="shared" si="56"/>
        <v>0</v>
      </c>
      <c r="BB19" s="82">
        <f t="shared" si="57"/>
        <v>0</v>
      </c>
      <c r="BC19" s="82">
        <f t="shared" si="57"/>
        <v>0</v>
      </c>
      <c r="BD19" s="82">
        <f t="shared" si="57"/>
        <v>0</v>
      </c>
      <c r="BE19" s="82">
        <f t="shared" si="57"/>
        <v>0</v>
      </c>
      <c r="BF19" s="82">
        <f t="shared" si="57"/>
        <v>0</v>
      </c>
      <c r="BG19" s="82">
        <f t="shared" si="57"/>
        <v>0</v>
      </c>
      <c r="BH19" s="82">
        <f t="shared" si="57"/>
        <v>0</v>
      </c>
      <c r="BI19" s="82">
        <f t="shared" si="57"/>
        <v>0</v>
      </c>
      <c r="BJ19" s="82">
        <f t="shared" si="57"/>
        <v>0</v>
      </c>
      <c r="BK19" s="83">
        <f t="shared" si="57"/>
        <v>0</v>
      </c>
      <c r="BM19" s="84">
        <f t="shared" si="34"/>
        <v>0</v>
      </c>
      <c r="BN19" s="85">
        <f t="shared" si="35"/>
        <v>0</v>
      </c>
      <c r="BO19" s="84">
        <f t="shared" si="12"/>
        <v>0</v>
      </c>
      <c r="BP19" s="85">
        <f t="shared" si="13"/>
        <v>0</v>
      </c>
      <c r="BQ19" s="186">
        <f t="shared" si="14"/>
        <v>0</v>
      </c>
      <c r="BR19" s="191">
        <f t="shared" si="15"/>
        <v>0</v>
      </c>
      <c r="BS19" s="186">
        <f t="shared" si="16"/>
        <v>0</v>
      </c>
      <c r="BT19" s="195">
        <f t="shared" si="17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6"/>
        <v>12</v>
      </c>
      <c r="CA19" s="87" t="str">
        <f t="shared" si="18"/>
        <v/>
      </c>
      <c r="CB19" s="87" t="str">
        <f t="shared" si="37"/>
        <v/>
      </c>
      <c r="CC19" s="88" t="str">
        <f t="shared" si="19"/>
        <v/>
      </c>
      <c r="CD19" s="88" t="str">
        <f t="shared" si="20"/>
        <v/>
      </c>
      <c r="CE19" s="89">
        <f t="shared" si="21"/>
        <v>0</v>
      </c>
      <c r="CF19" s="90">
        <f t="shared" si="38"/>
        <v>0</v>
      </c>
      <c r="CG19" s="91">
        <f t="shared" si="39"/>
        <v>0</v>
      </c>
      <c r="CH19" s="87">
        <f t="shared" si="40"/>
        <v>0</v>
      </c>
      <c r="CI19" s="92">
        <f t="shared" si="41"/>
        <v>2.0833333333333332E-2</v>
      </c>
      <c r="CJ19" s="93">
        <f t="shared" si="42"/>
        <v>0</v>
      </c>
      <c r="CK19" s="89">
        <f t="shared" si="43"/>
        <v>0</v>
      </c>
      <c r="CL19" s="90">
        <f t="shared" si="44"/>
        <v>0</v>
      </c>
      <c r="CM19" s="185">
        <f t="shared" si="45"/>
        <v>0</v>
      </c>
      <c r="CN19" s="185">
        <f t="shared" si="46"/>
        <v>0</v>
      </c>
      <c r="CO19" s="185">
        <f t="shared" si="47"/>
        <v>0</v>
      </c>
      <c r="CP19" s="185">
        <f t="shared" si="48"/>
        <v>0</v>
      </c>
      <c r="CQ19" s="91" t="str">
        <f t="shared" si="22"/>
        <v/>
      </c>
      <c r="CR19" s="87">
        <f t="shared" si="23"/>
        <v>0</v>
      </c>
      <c r="CS19" s="87">
        <f t="shared" si="24"/>
        <v>0</v>
      </c>
      <c r="CT19" s="87">
        <f t="shared" si="49"/>
        <v>0</v>
      </c>
      <c r="CU19" s="92">
        <f t="shared" si="25"/>
        <v>0</v>
      </c>
      <c r="CV19" s="326">
        <f t="shared" si="50"/>
        <v>0</v>
      </c>
      <c r="CW19" s="328">
        <f t="shared" si="26"/>
        <v>0</v>
      </c>
      <c r="CX19" s="330">
        <f t="shared" si="51"/>
        <v>1.6666666683337324E-2</v>
      </c>
      <c r="CY19" s="94" t="str">
        <f t="shared" si="52"/>
        <v>+</v>
      </c>
      <c r="CZ19" s="95">
        <f t="shared" si="53"/>
        <v>1.6666666683337324E-2</v>
      </c>
      <c r="DA19" s="96">
        <f t="shared" si="28"/>
        <v>0</v>
      </c>
      <c r="DB19" s="215">
        <f t="shared" si="29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4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44240</v>
      </c>
      <c r="C20" s="239"/>
      <c r="D20" s="240"/>
      <c r="E20" s="240"/>
      <c r="F20" s="240"/>
      <c r="G20" s="278"/>
      <c r="H20" s="305">
        <f t="shared" si="30"/>
        <v>21</v>
      </c>
      <c r="I20" s="273" t="str">
        <f t="shared" si="31"/>
        <v/>
      </c>
      <c r="J20" s="312">
        <f t="shared" si="2"/>
        <v>0.31666666666666698</v>
      </c>
      <c r="K20" s="313" t="str">
        <f t="shared" si="3"/>
        <v>+</v>
      </c>
      <c r="L20" s="314">
        <f t="shared" si="4"/>
        <v>1.6666666683337657E-2</v>
      </c>
      <c r="M20" s="315">
        <f t="shared" si="32"/>
        <v>0.40000000080010378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3"/>
        <v>44240</v>
      </c>
      <c r="AA20" s="160">
        <f t="shared" si="5"/>
        <v>44240</v>
      </c>
      <c r="AB20" s="160">
        <f t="shared" si="6"/>
        <v>2</v>
      </c>
      <c r="AC20" s="81">
        <f t="shared" si="7"/>
        <v>0</v>
      </c>
      <c r="AD20" s="160">
        <f t="shared" si="8"/>
        <v>0</v>
      </c>
      <c r="AF20" s="27" t="s">
        <v>119</v>
      </c>
      <c r="AG20" s="100"/>
      <c r="AH20" s="82">
        <f t="shared" si="55"/>
        <v>0</v>
      </c>
      <c r="AI20" s="82">
        <f t="shared" si="55"/>
        <v>0</v>
      </c>
      <c r="AJ20" s="82">
        <f t="shared" si="55"/>
        <v>0</v>
      </c>
      <c r="AK20" s="82">
        <f t="shared" si="55"/>
        <v>0</v>
      </c>
      <c r="AL20" s="82">
        <f t="shared" si="55"/>
        <v>0</v>
      </c>
      <c r="AM20" s="82">
        <f t="shared" si="55"/>
        <v>0</v>
      </c>
      <c r="AN20" s="82">
        <f t="shared" si="55"/>
        <v>0</v>
      </c>
      <c r="AO20" s="82">
        <f t="shared" si="55"/>
        <v>0</v>
      </c>
      <c r="AP20" s="82">
        <f t="shared" si="55"/>
        <v>0</v>
      </c>
      <c r="AQ20" s="82">
        <f t="shared" si="55"/>
        <v>0</v>
      </c>
      <c r="AR20" s="82">
        <f t="shared" si="56"/>
        <v>0</v>
      </c>
      <c r="AS20" s="82">
        <f t="shared" si="56"/>
        <v>0</v>
      </c>
      <c r="AT20" s="82">
        <f t="shared" si="56"/>
        <v>0</v>
      </c>
      <c r="AU20" s="82">
        <f t="shared" si="56"/>
        <v>0</v>
      </c>
      <c r="AV20" s="82">
        <f t="shared" si="56"/>
        <v>0</v>
      </c>
      <c r="AW20" s="82">
        <f t="shared" si="56"/>
        <v>0</v>
      </c>
      <c r="AX20" s="82">
        <f t="shared" si="56"/>
        <v>0</v>
      </c>
      <c r="AY20" s="82">
        <f t="shared" si="56"/>
        <v>0</v>
      </c>
      <c r="AZ20" s="82">
        <f t="shared" si="56"/>
        <v>0</v>
      </c>
      <c r="BA20" s="82">
        <f t="shared" si="56"/>
        <v>0</v>
      </c>
      <c r="BB20" s="82">
        <f t="shared" si="57"/>
        <v>0</v>
      </c>
      <c r="BC20" s="82">
        <f t="shared" si="57"/>
        <v>0</v>
      </c>
      <c r="BD20" s="82">
        <f t="shared" si="57"/>
        <v>0</v>
      </c>
      <c r="BE20" s="82">
        <f t="shared" si="57"/>
        <v>0</v>
      </c>
      <c r="BF20" s="82">
        <f t="shared" si="57"/>
        <v>0</v>
      </c>
      <c r="BG20" s="82">
        <f t="shared" si="57"/>
        <v>0</v>
      </c>
      <c r="BH20" s="82">
        <f t="shared" si="57"/>
        <v>0</v>
      </c>
      <c r="BI20" s="82">
        <f t="shared" si="57"/>
        <v>0</v>
      </c>
      <c r="BJ20" s="82">
        <f t="shared" si="57"/>
        <v>0</v>
      </c>
      <c r="BK20" s="83">
        <f t="shared" si="57"/>
        <v>0</v>
      </c>
      <c r="BM20" s="84">
        <f t="shared" si="34"/>
        <v>0</v>
      </c>
      <c r="BN20" s="85">
        <f t="shared" si="35"/>
        <v>0</v>
      </c>
      <c r="BO20" s="84">
        <f t="shared" si="12"/>
        <v>0</v>
      </c>
      <c r="BP20" s="85">
        <f t="shared" si="13"/>
        <v>0</v>
      </c>
      <c r="BQ20" s="186">
        <f t="shared" si="14"/>
        <v>0</v>
      </c>
      <c r="BR20" s="191">
        <f t="shared" si="15"/>
        <v>0</v>
      </c>
      <c r="BS20" s="186">
        <f t="shared" si="16"/>
        <v>0</v>
      </c>
      <c r="BT20" s="195">
        <f t="shared" si="17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6"/>
        <v>13</v>
      </c>
      <c r="CA20" s="87" t="str">
        <f t="shared" si="18"/>
        <v/>
      </c>
      <c r="CB20" s="87" t="str">
        <f t="shared" si="37"/>
        <v/>
      </c>
      <c r="CC20" s="88">
        <f t="shared" si="19"/>
        <v>0.31666666666666698</v>
      </c>
      <c r="CD20" s="88" t="str">
        <f t="shared" si="20"/>
        <v/>
      </c>
      <c r="CE20" s="89">
        <f t="shared" si="21"/>
        <v>0</v>
      </c>
      <c r="CF20" s="90">
        <f t="shared" si="38"/>
        <v>0.31666666666666698</v>
      </c>
      <c r="CG20" s="91">
        <f t="shared" si="39"/>
        <v>0</v>
      </c>
      <c r="CH20" s="87">
        <f t="shared" si="40"/>
        <v>0</v>
      </c>
      <c r="CI20" s="92">
        <f t="shared" si="41"/>
        <v>0</v>
      </c>
      <c r="CJ20" s="93">
        <f t="shared" si="42"/>
        <v>0</v>
      </c>
      <c r="CK20" s="89">
        <f t="shared" si="43"/>
        <v>0</v>
      </c>
      <c r="CL20" s="90">
        <f t="shared" si="44"/>
        <v>0</v>
      </c>
      <c r="CM20" s="185">
        <f t="shared" si="45"/>
        <v>0</v>
      </c>
      <c r="CN20" s="185">
        <f t="shared" si="46"/>
        <v>0</v>
      </c>
      <c r="CO20" s="185">
        <f t="shared" si="47"/>
        <v>0</v>
      </c>
      <c r="CP20" s="185">
        <f t="shared" si="48"/>
        <v>0</v>
      </c>
      <c r="CQ20" s="91" t="str">
        <f t="shared" si="22"/>
        <v/>
      </c>
      <c r="CR20" s="87">
        <f t="shared" si="23"/>
        <v>0</v>
      </c>
      <c r="CS20" s="87">
        <f t="shared" si="24"/>
        <v>0</v>
      </c>
      <c r="CT20" s="87">
        <f t="shared" si="49"/>
        <v>0.31666666666666698</v>
      </c>
      <c r="CU20" s="92">
        <f t="shared" si="25"/>
        <v>0.31666666666666698</v>
      </c>
      <c r="CV20" s="326">
        <f t="shared" si="50"/>
        <v>0.31666666666666698</v>
      </c>
      <c r="CW20" s="328">
        <f t="shared" si="26"/>
        <v>3.3306690738754696E-16</v>
      </c>
      <c r="CX20" s="330">
        <f t="shared" si="51"/>
        <v>1.6666666683337657E-2</v>
      </c>
      <c r="CY20" s="94" t="str">
        <f t="shared" si="52"/>
        <v>+</v>
      </c>
      <c r="CZ20" s="95">
        <f t="shared" si="53"/>
        <v>1.6666666683337657E-2</v>
      </c>
      <c r="DA20" s="96">
        <f t="shared" si="28"/>
        <v>0</v>
      </c>
      <c r="DB20" s="215">
        <f t="shared" si="29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4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44241</v>
      </c>
      <c r="C21" s="239"/>
      <c r="D21" s="240"/>
      <c r="E21" s="240"/>
      <c r="F21" s="240"/>
      <c r="G21" s="278"/>
      <c r="H21" s="305">
        <f t="shared" si="30"/>
        <v>1</v>
      </c>
      <c r="I21" s="273" t="str">
        <f t="shared" si="31"/>
        <v/>
      </c>
      <c r="J21" s="312">
        <f t="shared" si="2"/>
        <v>0.31666666666666698</v>
      </c>
      <c r="K21" s="313" t="str">
        <f t="shared" si="3"/>
        <v>+</v>
      </c>
      <c r="L21" s="314">
        <f t="shared" si="4"/>
        <v>1.666666668333799E-2</v>
      </c>
      <c r="M21" s="315">
        <f t="shared" si="32"/>
        <v>0.40000000080011178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3"/>
        <v>44241</v>
      </c>
      <c r="AA21" s="160">
        <f t="shared" si="5"/>
        <v>44241</v>
      </c>
      <c r="AB21" s="160">
        <f t="shared" si="6"/>
        <v>2</v>
      </c>
      <c r="AC21" s="81">
        <f t="shared" si="7"/>
        <v>1</v>
      </c>
      <c r="AD21" s="160">
        <f t="shared" si="8"/>
        <v>0</v>
      </c>
      <c r="AF21" s="27" t="s">
        <v>119</v>
      </c>
      <c r="AG21" s="100"/>
      <c r="AH21" s="82">
        <f t="shared" si="55"/>
        <v>0</v>
      </c>
      <c r="AI21" s="82">
        <f t="shared" si="55"/>
        <v>0</v>
      </c>
      <c r="AJ21" s="82">
        <f t="shared" si="55"/>
        <v>0</v>
      </c>
      <c r="AK21" s="82">
        <f t="shared" si="55"/>
        <v>0</v>
      </c>
      <c r="AL21" s="82">
        <f t="shared" si="55"/>
        <v>0</v>
      </c>
      <c r="AM21" s="82">
        <f t="shared" si="55"/>
        <v>0</v>
      </c>
      <c r="AN21" s="82">
        <f t="shared" si="55"/>
        <v>0</v>
      </c>
      <c r="AO21" s="82">
        <f t="shared" si="55"/>
        <v>0</v>
      </c>
      <c r="AP21" s="82">
        <f t="shared" si="55"/>
        <v>0</v>
      </c>
      <c r="AQ21" s="82">
        <f t="shared" si="55"/>
        <v>0</v>
      </c>
      <c r="AR21" s="82">
        <f t="shared" si="56"/>
        <v>0</v>
      </c>
      <c r="AS21" s="82">
        <f t="shared" si="56"/>
        <v>0</v>
      </c>
      <c r="AT21" s="82">
        <f t="shared" si="56"/>
        <v>0</v>
      </c>
      <c r="AU21" s="82">
        <f t="shared" si="56"/>
        <v>0</v>
      </c>
      <c r="AV21" s="82">
        <f t="shared" si="56"/>
        <v>0</v>
      </c>
      <c r="AW21" s="82">
        <f t="shared" si="56"/>
        <v>0</v>
      </c>
      <c r="AX21" s="82">
        <f t="shared" si="56"/>
        <v>0</v>
      </c>
      <c r="AY21" s="82">
        <f t="shared" si="56"/>
        <v>0</v>
      </c>
      <c r="AZ21" s="82">
        <f t="shared" si="56"/>
        <v>0</v>
      </c>
      <c r="BA21" s="82">
        <f t="shared" si="56"/>
        <v>0</v>
      </c>
      <c r="BB21" s="82">
        <f t="shared" si="57"/>
        <v>0</v>
      </c>
      <c r="BC21" s="82">
        <f t="shared" si="57"/>
        <v>0</v>
      </c>
      <c r="BD21" s="82">
        <f t="shared" si="57"/>
        <v>0</v>
      </c>
      <c r="BE21" s="82">
        <f t="shared" si="57"/>
        <v>0</v>
      </c>
      <c r="BF21" s="82">
        <f t="shared" si="57"/>
        <v>0</v>
      </c>
      <c r="BG21" s="82">
        <f t="shared" si="57"/>
        <v>0</v>
      </c>
      <c r="BH21" s="82">
        <f t="shared" si="57"/>
        <v>0</v>
      </c>
      <c r="BI21" s="82">
        <f t="shared" si="57"/>
        <v>0</v>
      </c>
      <c r="BJ21" s="82">
        <f t="shared" si="57"/>
        <v>0</v>
      </c>
      <c r="BK21" s="83">
        <f t="shared" si="57"/>
        <v>0</v>
      </c>
      <c r="BM21" s="84">
        <f t="shared" si="34"/>
        <v>0</v>
      </c>
      <c r="BN21" s="85">
        <f t="shared" si="35"/>
        <v>0</v>
      </c>
      <c r="BO21" s="84">
        <f t="shared" si="12"/>
        <v>0</v>
      </c>
      <c r="BP21" s="85">
        <f t="shared" si="13"/>
        <v>0</v>
      </c>
      <c r="BQ21" s="186">
        <f t="shared" si="14"/>
        <v>0</v>
      </c>
      <c r="BR21" s="191">
        <f t="shared" si="15"/>
        <v>0</v>
      </c>
      <c r="BS21" s="186">
        <f t="shared" si="16"/>
        <v>0</v>
      </c>
      <c r="BT21" s="195">
        <f t="shared" si="17"/>
        <v>0</v>
      </c>
      <c r="BU21" s="18"/>
      <c r="BV21" s="27"/>
      <c r="BW21" s="21"/>
      <c r="BX21" s="21"/>
      <c r="BY21" s="21"/>
      <c r="BZ21" s="86">
        <f t="shared" si="36"/>
        <v>14</v>
      </c>
      <c r="CA21" s="87" t="str">
        <f t="shared" si="18"/>
        <v/>
      </c>
      <c r="CB21" s="87" t="str">
        <f t="shared" si="37"/>
        <v/>
      </c>
      <c r="CC21" s="88">
        <f t="shared" si="19"/>
        <v>0.31666666666666698</v>
      </c>
      <c r="CD21" s="88" t="str">
        <f t="shared" si="20"/>
        <v/>
      </c>
      <c r="CE21" s="89">
        <f t="shared" si="21"/>
        <v>0</v>
      </c>
      <c r="CF21" s="90">
        <f t="shared" si="38"/>
        <v>0.31666666666666698</v>
      </c>
      <c r="CG21" s="91">
        <f t="shared" si="39"/>
        <v>0</v>
      </c>
      <c r="CH21" s="87">
        <f t="shared" si="40"/>
        <v>0</v>
      </c>
      <c r="CI21" s="92">
        <f t="shared" si="41"/>
        <v>0</v>
      </c>
      <c r="CJ21" s="93">
        <f t="shared" si="42"/>
        <v>0</v>
      </c>
      <c r="CK21" s="89">
        <f t="shared" si="43"/>
        <v>0</v>
      </c>
      <c r="CL21" s="90">
        <f t="shared" si="44"/>
        <v>0</v>
      </c>
      <c r="CM21" s="185">
        <f t="shared" si="45"/>
        <v>0</v>
      </c>
      <c r="CN21" s="185">
        <f t="shared" si="46"/>
        <v>0</v>
      </c>
      <c r="CO21" s="185">
        <f t="shared" si="47"/>
        <v>0</v>
      </c>
      <c r="CP21" s="185">
        <f t="shared" si="48"/>
        <v>0</v>
      </c>
      <c r="CQ21" s="91" t="str">
        <f t="shared" si="22"/>
        <v/>
      </c>
      <c r="CR21" s="87">
        <f t="shared" si="23"/>
        <v>0</v>
      </c>
      <c r="CS21" s="87">
        <f t="shared" si="24"/>
        <v>0</v>
      </c>
      <c r="CT21" s="87">
        <f t="shared" si="49"/>
        <v>0.31666666666666698</v>
      </c>
      <c r="CU21" s="92">
        <f t="shared" si="25"/>
        <v>0.31666666666666698</v>
      </c>
      <c r="CV21" s="326">
        <f t="shared" si="50"/>
        <v>0.31666666666666698</v>
      </c>
      <c r="CW21" s="328">
        <f t="shared" si="26"/>
        <v>3.3306690738754696E-16</v>
      </c>
      <c r="CX21" s="330">
        <f t="shared" si="51"/>
        <v>1.666666668333799E-2</v>
      </c>
      <c r="CY21" s="94" t="str">
        <f t="shared" si="52"/>
        <v>+</v>
      </c>
      <c r="CZ21" s="95">
        <f t="shared" si="53"/>
        <v>1.666666668333799E-2</v>
      </c>
      <c r="DA21" s="96">
        <f t="shared" si="28"/>
        <v>0</v>
      </c>
      <c r="DB21" s="215">
        <f t="shared" si="29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4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44242</v>
      </c>
      <c r="C22" s="239"/>
      <c r="D22" s="240"/>
      <c r="E22" s="240"/>
      <c r="F22" s="240"/>
      <c r="G22" s="278"/>
      <c r="H22" s="305" t="str">
        <f t="shared" si="30"/>
        <v/>
      </c>
      <c r="I22" s="273" t="str">
        <f t="shared" si="31"/>
        <v/>
      </c>
      <c r="J22" s="312">
        <f t="shared" si="2"/>
        <v>0</v>
      </c>
      <c r="K22" s="313" t="str">
        <f t="shared" si="3"/>
        <v>+</v>
      </c>
      <c r="L22" s="314">
        <f t="shared" si="4"/>
        <v>1.666666668333799E-2</v>
      </c>
      <c r="M22" s="315">
        <f t="shared" si="32"/>
        <v>0.40000000080011178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3"/>
        <v>44242</v>
      </c>
      <c r="AA22" s="160">
        <f t="shared" si="5"/>
        <v>44242</v>
      </c>
      <c r="AB22" s="160">
        <f t="shared" si="6"/>
        <v>2</v>
      </c>
      <c r="AC22" s="81">
        <f t="shared" si="7"/>
        <v>2</v>
      </c>
      <c r="AD22" s="160">
        <f t="shared" si="8"/>
        <v>0</v>
      </c>
      <c r="AF22" s="27" t="s">
        <v>119</v>
      </c>
      <c r="AG22" s="100"/>
      <c r="AH22" s="82">
        <f t="shared" si="55"/>
        <v>0</v>
      </c>
      <c r="AI22" s="82">
        <f t="shared" si="55"/>
        <v>0</v>
      </c>
      <c r="AJ22" s="82">
        <f t="shared" si="55"/>
        <v>0</v>
      </c>
      <c r="AK22" s="82">
        <f t="shared" si="55"/>
        <v>0</v>
      </c>
      <c r="AL22" s="82">
        <f t="shared" si="55"/>
        <v>0</v>
      </c>
      <c r="AM22" s="82">
        <f t="shared" si="55"/>
        <v>0</v>
      </c>
      <c r="AN22" s="82">
        <f t="shared" si="55"/>
        <v>0</v>
      </c>
      <c r="AO22" s="82">
        <f t="shared" si="55"/>
        <v>0</v>
      </c>
      <c r="AP22" s="82">
        <f t="shared" si="55"/>
        <v>0</v>
      </c>
      <c r="AQ22" s="82">
        <f t="shared" si="55"/>
        <v>0</v>
      </c>
      <c r="AR22" s="82">
        <f t="shared" si="56"/>
        <v>0</v>
      </c>
      <c r="AS22" s="82">
        <f t="shared" si="56"/>
        <v>0</v>
      </c>
      <c r="AT22" s="82">
        <f t="shared" si="56"/>
        <v>0</v>
      </c>
      <c r="AU22" s="82">
        <f t="shared" si="56"/>
        <v>0</v>
      </c>
      <c r="AV22" s="82">
        <f t="shared" si="56"/>
        <v>0</v>
      </c>
      <c r="AW22" s="82">
        <f t="shared" si="56"/>
        <v>0</v>
      </c>
      <c r="AX22" s="82">
        <f t="shared" si="56"/>
        <v>0</v>
      </c>
      <c r="AY22" s="82">
        <f t="shared" si="56"/>
        <v>0</v>
      </c>
      <c r="AZ22" s="82">
        <f t="shared" si="56"/>
        <v>0</v>
      </c>
      <c r="BA22" s="82">
        <f t="shared" si="56"/>
        <v>0</v>
      </c>
      <c r="BB22" s="82">
        <f t="shared" si="57"/>
        <v>0</v>
      </c>
      <c r="BC22" s="82">
        <f t="shared" si="57"/>
        <v>0</v>
      </c>
      <c r="BD22" s="82">
        <f t="shared" si="57"/>
        <v>0</v>
      </c>
      <c r="BE22" s="82">
        <f t="shared" si="57"/>
        <v>0</v>
      </c>
      <c r="BF22" s="82">
        <f t="shared" si="57"/>
        <v>0</v>
      </c>
      <c r="BG22" s="82">
        <f t="shared" si="57"/>
        <v>0</v>
      </c>
      <c r="BH22" s="82">
        <f t="shared" si="57"/>
        <v>0</v>
      </c>
      <c r="BI22" s="82">
        <f t="shared" si="57"/>
        <v>0</v>
      </c>
      <c r="BJ22" s="82">
        <f t="shared" si="57"/>
        <v>0</v>
      </c>
      <c r="BK22" s="83">
        <f t="shared" si="57"/>
        <v>0</v>
      </c>
      <c r="BM22" s="84">
        <f t="shared" si="34"/>
        <v>0</v>
      </c>
      <c r="BN22" s="85">
        <f t="shared" si="35"/>
        <v>0</v>
      </c>
      <c r="BO22" s="84">
        <f t="shared" si="12"/>
        <v>0</v>
      </c>
      <c r="BP22" s="85">
        <f t="shared" si="13"/>
        <v>0</v>
      </c>
      <c r="BQ22" s="186">
        <f t="shared" si="14"/>
        <v>0</v>
      </c>
      <c r="BR22" s="191">
        <f t="shared" si="15"/>
        <v>0</v>
      </c>
      <c r="BS22" s="186">
        <f t="shared" si="16"/>
        <v>0</v>
      </c>
      <c r="BT22" s="195">
        <f t="shared" si="17"/>
        <v>0</v>
      </c>
      <c r="BU22" s="18"/>
      <c r="BV22" s="27"/>
      <c r="BW22" s="21"/>
      <c r="BX22" s="21"/>
      <c r="BY22" s="21"/>
      <c r="BZ22" s="86">
        <f t="shared" si="36"/>
        <v>15</v>
      </c>
      <c r="CA22" s="87" t="str">
        <f>IF(TRIM(C22)="","",IF(C22&lt;$BW$8,$BW$8,C22))</f>
        <v/>
      </c>
      <c r="CB22" s="87" t="str">
        <f t="shared" si="37"/>
        <v/>
      </c>
      <c r="CC22" s="88" t="str">
        <f t="shared" si="19"/>
        <v/>
      </c>
      <c r="CD22" s="88" t="str">
        <f t="shared" si="20"/>
        <v/>
      </c>
      <c r="CE22" s="89">
        <f t="shared" si="21"/>
        <v>0</v>
      </c>
      <c r="CF22" s="90">
        <f t="shared" si="38"/>
        <v>0</v>
      </c>
      <c r="CG22" s="91">
        <f t="shared" si="39"/>
        <v>0</v>
      </c>
      <c r="CH22" s="87">
        <f t="shared" si="40"/>
        <v>0</v>
      </c>
      <c r="CI22" s="92">
        <f t="shared" si="41"/>
        <v>2.0833333333333332E-2</v>
      </c>
      <c r="CJ22" s="93">
        <f t="shared" si="42"/>
        <v>0</v>
      </c>
      <c r="CK22" s="89">
        <f t="shared" si="43"/>
        <v>0</v>
      </c>
      <c r="CL22" s="90">
        <f t="shared" si="44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2"/>
        <v/>
      </c>
      <c r="CR22" s="87">
        <f t="shared" si="23"/>
        <v>0</v>
      </c>
      <c r="CS22" s="87">
        <f t="shared" si="24"/>
        <v>0</v>
      </c>
      <c r="CT22" s="87">
        <f t="shared" si="49"/>
        <v>0</v>
      </c>
      <c r="CU22" s="92">
        <f t="shared" si="25"/>
        <v>0</v>
      </c>
      <c r="CV22" s="326">
        <f t="shared" si="50"/>
        <v>0</v>
      </c>
      <c r="CW22" s="328">
        <f t="shared" si="26"/>
        <v>0</v>
      </c>
      <c r="CX22" s="330">
        <f t="shared" si="51"/>
        <v>1.666666668333799E-2</v>
      </c>
      <c r="CY22" s="94" t="str">
        <f t="shared" si="52"/>
        <v>+</v>
      </c>
      <c r="CZ22" s="95">
        <f t="shared" si="53"/>
        <v>1.666666668333799E-2</v>
      </c>
      <c r="DA22" s="96">
        <f t="shared" si="28"/>
        <v>0</v>
      </c>
      <c r="DB22" s="215">
        <f t="shared" si="29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4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44243</v>
      </c>
      <c r="C23" s="239"/>
      <c r="D23" s="240"/>
      <c r="E23" s="240"/>
      <c r="F23" s="240"/>
      <c r="G23" s="278"/>
      <c r="H23" s="305" t="str">
        <f t="shared" si="30"/>
        <v/>
      </c>
      <c r="I23" s="273" t="str">
        <f t="shared" si="31"/>
        <v/>
      </c>
      <c r="J23" s="312">
        <f t="shared" si="2"/>
        <v>0</v>
      </c>
      <c r="K23" s="313" t="str">
        <f t="shared" si="3"/>
        <v>+</v>
      </c>
      <c r="L23" s="314">
        <f t="shared" si="4"/>
        <v>1.666666668333799E-2</v>
      </c>
      <c r="M23" s="315">
        <f t="shared" si="32"/>
        <v>0.40000000080011178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3"/>
        <v>44243</v>
      </c>
      <c r="AA23" s="160">
        <f t="shared" si="5"/>
        <v>44243</v>
      </c>
      <c r="AB23" s="160">
        <f t="shared" si="6"/>
        <v>2</v>
      </c>
      <c r="AC23" s="81">
        <f t="shared" si="7"/>
        <v>3</v>
      </c>
      <c r="AD23" s="160">
        <f t="shared" si="8"/>
        <v>0</v>
      </c>
      <c r="AF23" s="27" t="s">
        <v>119</v>
      </c>
      <c r="AG23" s="100"/>
      <c r="AH23" s="82">
        <f t="shared" si="55"/>
        <v>0</v>
      </c>
      <c r="AI23" s="82">
        <f t="shared" si="55"/>
        <v>0</v>
      </c>
      <c r="AJ23" s="82">
        <f t="shared" si="55"/>
        <v>0</v>
      </c>
      <c r="AK23" s="82">
        <f t="shared" si="55"/>
        <v>0</v>
      </c>
      <c r="AL23" s="82">
        <f t="shared" si="55"/>
        <v>0</v>
      </c>
      <c r="AM23" s="82">
        <f t="shared" si="55"/>
        <v>0</v>
      </c>
      <c r="AN23" s="82">
        <f t="shared" si="55"/>
        <v>0</v>
      </c>
      <c r="AO23" s="82">
        <f t="shared" si="55"/>
        <v>0</v>
      </c>
      <c r="AP23" s="82">
        <f t="shared" si="55"/>
        <v>0</v>
      </c>
      <c r="AQ23" s="82">
        <f t="shared" si="55"/>
        <v>0</v>
      </c>
      <c r="AR23" s="82">
        <f t="shared" si="56"/>
        <v>0</v>
      </c>
      <c r="AS23" s="82">
        <f t="shared" si="56"/>
        <v>0</v>
      </c>
      <c r="AT23" s="82">
        <f t="shared" si="56"/>
        <v>0</v>
      </c>
      <c r="AU23" s="82">
        <f t="shared" si="56"/>
        <v>0</v>
      </c>
      <c r="AV23" s="82">
        <f t="shared" si="56"/>
        <v>0</v>
      </c>
      <c r="AW23" s="82">
        <f t="shared" si="56"/>
        <v>0</v>
      </c>
      <c r="AX23" s="82">
        <f t="shared" si="56"/>
        <v>0</v>
      </c>
      <c r="AY23" s="82">
        <f t="shared" si="56"/>
        <v>0</v>
      </c>
      <c r="AZ23" s="82">
        <f t="shared" si="56"/>
        <v>0</v>
      </c>
      <c r="BA23" s="82">
        <f t="shared" si="56"/>
        <v>0</v>
      </c>
      <c r="BB23" s="82">
        <f t="shared" si="57"/>
        <v>0</v>
      </c>
      <c r="BC23" s="82">
        <f t="shared" si="57"/>
        <v>0</v>
      </c>
      <c r="BD23" s="82">
        <f t="shared" si="57"/>
        <v>0</v>
      </c>
      <c r="BE23" s="82">
        <f t="shared" si="57"/>
        <v>0</v>
      </c>
      <c r="BF23" s="82">
        <f t="shared" si="57"/>
        <v>0</v>
      </c>
      <c r="BG23" s="82">
        <f t="shared" si="57"/>
        <v>0</v>
      </c>
      <c r="BH23" s="82">
        <f t="shared" si="57"/>
        <v>0</v>
      </c>
      <c r="BI23" s="82">
        <f t="shared" si="57"/>
        <v>0</v>
      </c>
      <c r="BJ23" s="82">
        <f t="shared" si="57"/>
        <v>0</v>
      </c>
      <c r="BK23" s="83">
        <f t="shared" si="57"/>
        <v>0</v>
      </c>
      <c r="BM23" s="84">
        <f t="shared" si="34"/>
        <v>0</v>
      </c>
      <c r="BN23" s="85">
        <f t="shared" si="35"/>
        <v>0</v>
      </c>
      <c r="BO23" s="84">
        <f t="shared" si="12"/>
        <v>0</v>
      </c>
      <c r="BP23" s="85">
        <f t="shared" si="13"/>
        <v>0</v>
      </c>
      <c r="BQ23" s="186">
        <f t="shared" si="14"/>
        <v>0</v>
      </c>
      <c r="BR23" s="191">
        <f t="shared" si="15"/>
        <v>0</v>
      </c>
      <c r="BS23" s="186">
        <f t="shared" si="16"/>
        <v>0</v>
      </c>
      <c r="BT23" s="195">
        <f t="shared" si="17"/>
        <v>0</v>
      </c>
      <c r="BU23" s="18"/>
      <c r="BV23" s="27"/>
      <c r="BW23" s="21"/>
      <c r="BX23" s="21"/>
      <c r="BY23" s="21"/>
      <c r="BZ23" s="86">
        <f t="shared" si="36"/>
        <v>16</v>
      </c>
      <c r="CA23" s="87" t="str">
        <f t="shared" si="18"/>
        <v/>
      </c>
      <c r="CB23" s="87" t="str">
        <f t="shared" si="37"/>
        <v/>
      </c>
      <c r="CC23" s="88" t="str">
        <f t="shared" si="19"/>
        <v/>
      </c>
      <c r="CD23" s="88" t="str">
        <f t="shared" si="20"/>
        <v/>
      </c>
      <c r="CE23" s="89">
        <f t="shared" si="21"/>
        <v>0</v>
      </c>
      <c r="CF23" s="90">
        <f t="shared" si="38"/>
        <v>0</v>
      </c>
      <c r="CG23" s="91">
        <f t="shared" si="39"/>
        <v>0</v>
      </c>
      <c r="CH23" s="87">
        <f t="shared" si="40"/>
        <v>0</v>
      </c>
      <c r="CI23" s="92">
        <f t="shared" si="41"/>
        <v>2.0833333333333332E-2</v>
      </c>
      <c r="CJ23" s="93">
        <f t="shared" si="42"/>
        <v>0</v>
      </c>
      <c r="CK23" s="89">
        <f t="shared" si="43"/>
        <v>0</v>
      </c>
      <c r="CL23" s="90">
        <f t="shared" si="44"/>
        <v>0</v>
      </c>
      <c r="CM23" s="185">
        <f t="shared" si="45"/>
        <v>0</v>
      </c>
      <c r="CN23" s="185">
        <f t="shared" si="46"/>
        <v>0</v>
      </c>
      <c r="CO23" s="185">
        <f t="shared" si="47"/>
        <v>0</v>
      </c>
      <c r="CP23" s="185">
        <f t="shared" si="48"/>
        <v>0</v>
      </c>
      <c r="CQ23" s="91" t="str">
        <f t="shared" si="22"/>
        <v/>
      </c>
      <c r="CR23" s="87">
        <f t="shared" si="23"/>
        <v>0</v>
      </c>
      <c r="CS23" s="87">
        <f t="shared" si="24"/>
        <v>0</v>
      </c>
      <c r="CT23" s="87">
        <f t="shared" si="49"/>
        <v>0</v>
      </c>
      <c r="CU23" s="92">
        <f t="shared" si="25"/>
        <v>0</v>
      </c>
      <c r="CV23" s="326">
        <f t="shared" si="50"/>
        <v>0</v>
      </c>
      <c r="CW23" s="328">
        <f t="shared" si="26"/>
        <v>0</v>
      </c>
      <c r="CX23" s="330">
        <f t="shared" si="51"/>
        <v>1.666666668333799E-2</v>
      </c>
      <c r="CY23" s="94" t="str">
        <f t="shared" si="52"/>
        <v>+</v>
      </c>
      <c r="CZ23" s="95">
        <f t="shared" si="53"/>
        <v>1.666666668333799E-2</v>
      </c>
      <c r="DA23" s="96">
        <f t="shared" si="28"/>
        <v>0</v>
      </c>
      <c r="DB23" s="215">
        <f t="shared" si="29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4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44244</v>
      </c>
      <c r="C24" s="239"/>
      <c r="D24" s="240"/>
      <c r="E24" s="240"/>
      <c r="F24" s="240"/>
      <c r="G24" s="278"/>
      <c r="H24" s="305" t="str">
        <f t="shared" si="30"/>
        <v/>
      </c>
      <c r="I24" s="273" t="str">
        <f t="shared" si="31"/>
        <v/>
      </c>
      <c r="J24" s="312">
        <f t="shared" si="2"/>
        <v>0</v>
      </c>
      <c r="K24" s="313" t="str">
        <f t="shared" si="3"/>
        <v>+</v>
      </c>
      <c r="L24" s="314">
        <f t="shared" si="4"/>
        <v>1.666666668333799E-2</v>
      </c>
      <c r="M24" s="315">
        <f t="shared" si="32"/>
        <v>0.40000000080011178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3"/>
        <v>44244</v>
      </c>
      <c r="AA24" s="160">
        <f t="shared" si="5"/>
        <v>44244</v>
      </c>
      <c r="AB24" s="160">
        <f t="shared" si="6"/>
        <v>2</v>
      </c>
      <c r="AC24" s="81">
        <f t="shared" si="7"/>
        <v>4</v>
      </c>
      <c r="AD24" s="160">
        <f t="shared" si="8"/>
        <v>0</v>
      </c>
      <c r="AF24" s="27" t="s">
        <v>119</v>
      </c>
      <c r="AG24" s="100"/>
      <c r="AH24" s="82">
        <f t="shared" si="55"/>
        <v>0</v>
      </c>
      <c r="AI24" s="82">
        <f t="shared" si="55"/>
        <v>0</v>
      </c>
      <c r="AJ24" s="82">
        <f t="shared" si="55"/>
        <v>0</v>
      </c>
      <c r="AK24" s="82">
        <f t="shared" si="55"/>
        <v>0</v>
      </c>
      <c r="AL24" s="82">
        <f t="shared" si="55"/>
        <v>0</v>
      </c>
      <c r="AM24" s="82">
        <f t="shared" si="55"/>
        <v>0</v>
      </c>
      <c r="AN24" s="82">
        <f t="shared" si="55"/>
        <v>0</v>
      </c>
      <c r="AO24" s="82">
        <f t="shared" si="55"/>
        <v>0</v>
      </c>
      <c r="AP24" s="82">
        <f t="shared" si="55"/>
        <v>0</v>
      </c>
      <c r="AQ24" s="82">
        <f t="shared" si="55"/>
        <v>0</v>
      </c>
      <c r="AR24" s="82">
        <f t="shared" si="56"/>
        <v>0</v>
      </c>
      <c r="AS24" s="82">
        <f t="shared" si="56"/>
        <v>0</v>
      </c>
      <c r="AT24" s="82">
        <f t="shared" si="56"/>
        <v>0</v>
      </c>
      <c r="AU24" s="82">
        <f t="shared" si="56"/>
        <v>0</v>
      </c>
      <c r="AV24" s="82">
        <f t="shared" si="56"/>
        <v>0</v>
      </c>
      <c r="AW24" s="82">
        <f t="shared" si="56"/>
        <v>0</v>
      </c>
      <c r="AX24" s="82">
        <f t="shared" si="56"/>
        <v>0</v>
      </c>
      <c r="AY24" s="82">
        <f t="shared" si="56"/>
        <v>0</v>
      </c>
      <c r="AZ24" s="82">
        <f t="shared" si="56"/>
        <v>0</v>
      </c>
      <c r="BA24" s="82">
        <f t="shared" si="56"/>
        <v>0</v>
      </c>
      <c r="BB24" s="82">
        <f t="shared" si="57"/>
        <v>0</v>
      </c>
      <c r="BC24" s="82">
        <f t="shared" si="57"/>
        <v>0</v>
      </c>
      <c r="BD24" s="82">
        <f t="shared" si="57"/>
        <v>0</v>
      </c>
      <c r="BE24" s="82">
        <f t="shared" si="57"/>
        <v>0</v>
      </c>
      <c r="BF24" s="82">
        <f t="shared" si="57"/>
        <v>0</v>
      </c>
      <c r="BG24" s="82">
        <f t="shared" si="57"/>
        <v>0</v>
      </c>
      <c r="BH24" s="82">
        <f t="shared" si="57"/>
        <v>0</v>
      </c>
      <c r="BI24" s="82">
        <f t="shared" si="57"/>
        <v>0</v>
      </c>
      <c r="BJ24" s="82">
        <f t="shared" si="57"/>
        <v>0</v>
      </c>
      <c r="BK24" s="83">
        <f t="shared" si="57"/>
        <v>0</v>
      </c>
      <c r="BM24" s="84">
        <f t="shared" si="34"/>
        <v>0</v>
      </c>
      <c r="BN24" s="85">
        <f t="shared" si="35"/>
        <v>0</v>
      </c>
      <c r="BO24" s="84">
        <f t="shared" si="12"/>
        <v>0</v>
      </c>
      <c r="BP24" s="85">
        <f t="shared" si="13"/>
        <v>0</v>
      </c>
      <c r="BQ24" s="186">
        <f t="shared" si="14"/>
        <v>0</v>
      </c>
      <c r="BR24" s="191">
        <f t="shared" si="15"/>
        <v>0</v>
      </c>
      <c r="BS24" s="186">
        <f t="shared" si="16"/>
        <v>0</v>
      </c>
      <c r="BT24" s="195">
        <f t="shared" si="17"/>
        <v>0</v>
      </c>
      <c r="BU24" s="18"/>
      <c r="BV24" s="27"/>
      <c r="BW24" s="21"/>
      <c r="BX24" s="21"/>
      <c r="BY24" s="21"/>
      <c r="BZ24" s="86">
        <f t="shared" si="36"/>
        <v>17</v>
      </c>
      <c r="CA24" s="87" t="str">
        <f t="shared" si="18"/>
        <v/>
      </c>
      <c r="CB24" s="87" t="str">
        <f t="shared" si="37"/>
        <v/>
      </c>
      <c r="CC24" s="88" t="str">
        <f t="shared" si="19"/>
        <v/>
      </c>
      <c r="CD24" s="88" t="str">
        <f t="shared" si="20"/>
        <v/>
      </c>
      <c r="CE24" s="89">
        <f t="shared" si="21"/>
        <v>0</v>
      </c>
      <c r="CF24" s="90">
        <f t="shared" si="38"/>
        <v>0</v>
      </c>
      <c r="CG24" s="91">
        <f t="shared" si="39"/>
        <v>0</v>
      </c>
      <c r="CH24" s="87">
        <f t="shared" si="40"/>
        <v>0</v>
      </c>
      <c r="CI24" s="92">
        <f t="shared" si="41"/>
        <v>2.0833333333333332E-2</v>
      </c>
      <c r="CJ24" s="93">
        <f t="shared" si="42"/>
        <v>0</v>
      </c>
      <c r="CK24" s="89">
        <f t="shared" si="43"/>
        <v>0</v>
      </c>
      <c r="CL24" s="90">
        <f t="shared" si="44"/>
        <v>0</v>
      </c>
      <c r="CM24" s="185">
        <f t="shared" si="45"/>
        <v>0</v>
      </c>
      <c r="CN24" s="185">
        <f t="shared" si="46"/>
        <v>0</v>
      </c>
      <c r="CO24" s="185">
        <f t="shared" si="47"/>
        <v>0</v>
      </c>
      <c r="CP24" s="185">
        <f t="shared" si="48"/>
        <v>0</v>
      </c>
      <c r="CQ24" s="91" t="str">
        <f t="shared" si="22"/>
        <v/>
      </c>
      <c r="CR24" s="87">
        <f t="shared" si="23"/>
        <v>0</v>
      </c>
      <c r="CS24" s="87">
        <f t="shared" si="24"/>
        <v>0</v>
      </c>
      <c r="CT24" s="87">
        <f t="shared" si="49"/>
        <v>0</v>
      </c>
      <c r="CU24" s="92">
        <f t="shared" si="25"/>
        <v>0</v>
      </c>
      <c r="CV24" s="326">
        <f t="shared" si="50"/>
        <v>0</v>
      </c>
      <c r="CW24" s="328">
        <f t="shared" si="26"/>
        <v>0</v>
      </c>
      <c r="CX24" s="330">
        <f t="shared" si="51"/>
        <v>1.666666668333799E-2</v>
      </c>
      <c r="CY24" s="94" t="str">
        <f t="shared" si="52"/>
        <v>+</v>
      </c>
      <c r="CZ24" s="95">
        <f t="shared" si="53"/>
        <v>1.666666668333799E-2</v>
      </c>
      <c r="DA24" s="96">
        <f t="shared" si="28"/>
        <v>0</v>
      </c>
      <c r="DB24" s="215">
        <f t="shared" si="29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4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44245</v>
      </c>
      <c r="C25" s="239"/>
      <c r="D25" s="240"/>
      <c r="E25" s="240"/>
      <c r="F25" s="240"/>
      <c r="G25" s="278"/>
      <c r="H25" s="305" t="str">
        <f t="shared" si="30"/>
        <v/>
      </c>
      <c r="I25" s="273" t="str">
        <f t="shared" si="31"/>
        <v/>
      </c>
      <c r="J25" s="312">
        <f t="shared" si="2"/>
        <v>0</v>
      </c>
      <c r="K25" s="313" t="str">
        <f t="shared" si="3"/>
        <v>+</v>
      </c>
      <c r="L25" s="314">
        <f t="shared" si="4"/>
        <v>1.666666668333799E-2</v>
      </c>
      <c r="M25" s="315">
        <f t="shared" si="32"/>
        <v>0.40000000080011178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3"/>
        <v>44245</v>
      </c>
      <c r="AA25" s="160">
        <f t="shared" si="5"/>
        <v>44245</v>
      </c>
      <c r="AB25" s="160">
        <f t="shared" si="6"/>
        <v>2</v>
      </c>
      <c r="AC25" s="81">
        <f t="shared" si="7"/>
        <v>5</v>
      </c>
      <c r="AD25" s="160">
        <f t="shared" si="8"/>
        <v>0</v>
      </c>
      <c r="AF25" s="27" t="s">
        <v>119</v>
      </c>
      <c r="AG25" s="100"/>
      <c r="AH25" s="82">
        <f t="shared" si="55"/>
        <v>0</v>
      </c>
      <c r="AI25" s="82">
        <f t="shared" si="55"/>
        <v>0</v>
      </c>
      <c r="AJ25" s="82">
        <f t="shared" si="55"/>
        <v>0</v>
      </c>
      <c r="AK25" s="82">
        <f t="shared" si="55"/>
        <v>0</v>
      </c>
      <c r="AL25" s="82">
        <f t="shared" si="55"/>
        <v>0</v>
      </c>
      <c r="AM25" s="82">
        <f t="shared" si="55"/>
        <v>0</v>
      </c>
      <c r="AN25" s="82">
        <f t="shared" si="55"/>
        <v>0</v>
      </c>
      <c r="AO25" s="82">
        <f t="shared" si="55"/>
        <v>0</v>
      </c>
      <c r="AP25" s="82">
        <f t="shared" si="55"/>
        <v>0</v>
      </c>
      <c r="AQ25" s="82">
        <f t="shared" si="55"/>
        <v>0</v>
      </c>
      <c r="AR25" s="82">
        <f t="shared" si="56"/>
        <v>0</v>
      </c>
      <c r="AS25" s="82">
        <f t="shared" si="56"/>
        <v>0</v>
      </c>
      <c r="AT25" s="82">
        <f t="shared" si="56"/>
        <v>0</v>
      </c>
      <c r="AU25" s="82">
        <f t="shared" si="56"/>
        <v>0</v>
      </c>
      <c r="AV25" s="82">
        <f t="shared" si="56"/>
        <v>0</v>
      </c>
      <c r="AW25" s="82">
        <f t="shared" si="56"/>
        <v>0</v>
      </c>
      <c r="AX25" s="82">
        <f t="shared" si="56"/>
        <v>0</v>
      </c>
      <c r="AY25" s="82">
        <f t="shared" si="56"/>
        <v>0</v>
      </c>
      <c r="AZ25" s="82">
        <f t="shared" si="56"/>
        <v>0</v>
      </c>
      <c r="BA25" s="82">
        <f t="shared" si="56"/>
        <v>0</v>
      </c>
      <c r="BB25" s="82">
        <f t="shared" si="57"/>
        <v>0</v>
      </c>
      <c r="BC25" s="82">
        <f t="shared" si="57"/>
        <v>0</v>
      </c>
      <c r="BD25" s="82">
        <f t="shared" si="57"/>
        <v>0</v>
      </c>
      <c r="BE25" s="82">
        <f t="shared" si="57"/>
        <v>0</v>
      </c>
      <c r="BF25" s="82">
        <f t="shared" si="57"/>
        <v>0</v>
      </c>
      <c r="BG25" s="82">
        <f t="shared" si="57"/>
        <v>0</v>
      </c>
      <c r="BH25" s="82">
        <f t="shared" si="57"/>
        <v>0</v>
      </c>
      <c r="BI25" s="82">
        <f t="shared" si="57"/>
        <v>0</v>
      </c>
      <c r="BJ25" s="82">
        <f t="shared" si="57"/>
        <v>0</v>
      </c>
      <c r="BK25" s="83">
        <f t="shared" si="57"/>
        <v>0</v>
      </c>
      <c r="BM25" s="84">
        <f t="shared" si="34"/>
        <v>0</v>
      </c>
      <c r="BN25" s="85">
        <f t="shared" si="35"/>
        <v>0</v>
      </c>
      <c r="BO25" s="84">
        <f t="shared" si="12"/>
        <v>0</v>
      </c>
      <c r="BP25" s="85">
        <f t="shared" si="13"/>
        <v>0</v>
      </c>
      <c r="BQ25" s="186">
        <f t="shared" si="14"/>
        <v>0</v>
      </c>
      <c r="BR25" s="191">
        <f t="shared" si="15"/>
        <v>0</v>
      </c>
      <c r="BS25" s="186">
        <f t="shared" si="16"/>
        <v>0</v>
      </c>
      <c r="BT25" s="195">
        <f t="shared" si="17"/>
        <v>0</v>
      </c>
      <c r="BU25" s="18"/>
      <c r="BV25" s="27"/>
      <c r="BW25" s="21"/>
      <c r="BX25" s="21"/>
      <c r="BY25" s="21"/>
      <c r="BZ25" s="86">
        <f t="shared" si="36"/>
        <v>18</v>
      </c>
      <c r="CA25" s="87" t="str">
        <f t="shared" si="18"/>
        <v/>
      </c>
      <c r="CB25" s="87" t="str">
        <f t="shared" si="37"/>
        <v/>
      </c>
      <c r="CC25" s="88" t="str">
        <f t="shared" si="19"/>
        <v/>
      </c>
      <c r="CD25" s="88" t="str">
        <f t="shared" si="20"/>
        <v/>
      </c>
      <c r="CE25" s="89">
        <f t="shared" si="21"/>
        <v>0</v>
      </c>
      <c r="CF25" s="90">
        <f t="shared" si="38"/>
        <v>0</v>
      </c>
      <c r="CG25" s="91">
        <f t="shared" si="39"/>
        <v>0</v>
      </c>
      <c r="CH25" s="87">
        <f t="shared" si="40"/>
        <v>0</v>
      </c>
      <c r="CI25" s="92">
        <f t="shared" si="41"/>
        <v>2.0833333333333332E-2</v>
      </c>
      <c r="CJ25" s="93">
        <f t="shared" si="42"/>
        <v>0</v>
      </c>
      <c r="CK25" s="89">
        <f t="shared" si="43"/>
        <v>0</v>
      </c>
      <c r="CL25" s="90">
        <f t="shared" si="44"/>
        <v>0</v>
      </c>
      <c r="CM25" s="185">
        <f t="shared" si="45"/>
        <v>0</v>
      </c>
      <c r="CN25" s="185">
        <f t="shared" si="46"/>
        <v>0</v>
      </c>
      <c r="CO25" s="185">
        <f t="shared" si="47"/>
        <v>0</v>
      </c>
      <c r="CP25" s="185">
        <f t="shared" si="48"/>
        <v>0</v>
      </c>
      <c r="CQ25" s="91" t="str">
        <f t="shared" si="22"/>
        <v/>
      </c>
      <c r="CR25" s="87">
        <f t="shared" si="23"/>
        <v>0</v>
      </c>
      <c r="CS25" s="87">
        <f t="shared" si="24"/>
        <v>0</v>
      </c>
      <c r="CT25" s="87">
        <f t="shared" si="49"/>
        <v>0</v>
      </c>
      <c r="CU25" s="92">
        <f t="shared" si="25"/>
        <v>0</v>
      </c>
      <c r="CV25" s="326">
        <f t="shared" si="50"/>
        <v>0</v>
      </c>
      <c r="CW25" s="328">
        <f t="shared" si="26"/>
        <v>0</v>
      </c>
      <c r="CX25" s="330">
        <f t="shared" si="51"/>
        <v>1.666666668333799E-2</v>
      </c>
      <c r="CY25" s="94" t="str">
        <f t="shared" si="52"/>
        <v>+</v>
      </c>
      <c r="CZ25" s="95">
        <f t="shared" si="53"/>
        <v>1.666666668333799E-2</v>
      </c>
      <c r="DA25" s="96">
        <f t="shared" si="28"/>
        <v>0</v>
      </c>
      <c r="DB25" s="215">
        <f t="shared" si="29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4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44246</v>
      </c>
      <c r="C26" s="239"/>
      <c r="D26" s="240"/>
      <c r="E26" s="240"/>
      <c r="F26" s="240"/>
      <c r="G26" s="278"/>
      <c r="H26" s="305" t="str">
        <f t="shared" si="30"/>
        <v/>
      </c>
      <c r="I26" s="273" t="str">
        <f t="shared" si="31"/>
        <v/>
      </c>
      <c r="J26" s="312">
        <f t="shared" si="2"/>
        <v>0</v>
      </c>
      <c r="K26" s="313" t="str">
        <f t="shared" si="3"/>
        <v>+</v>
      </c>
      <c r="L26" s="314">
        <f t="shared" si="4"/>
        <v>1.666666668333799E-2</v>
      </c>
      <c r="M26" s="315">
        <f t="shared" si="32"/>
        <v>0.40000000080011178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3"/>
        <v>44246</v>
      </c>
      <c r="AA26" s="160">
        <f t="shared" si="5"/>
        <v>44246</v>
      </c>
      <c r="AB26" s="160">
        <f t="shared" si="6"/>
        <v>2</v>
      </c>
      <c r="AC26" s="81">
        <f t="shared" si="7"/>
        <v>6</v>
      </c>
      <c r="AD26" s="160">
        <f t="shared" si="8"/>
        <v>0</v>
      </c>
      <c r="AF26" s="27" t="s">
        <v>119</v>
      </c>
      <c r="AG26" s="100"/>
      <c r="AH26" s="82">
        <f t="shared" si="55"/>
        <v>0</v>
      </c>
      <c r="AI26" s="82">
        <f t="shared" si="55"/>
        <v>0</v>
      </c>
      <c r="AJ26" s="82">
        <f t="shared" si="55"/>
        <v>0</v>
      </c>
      <c r="AK26" s="82">
        <f t="shared" si="55"/>
        <v>0</v>
      </c>
      <c r="AL26" s="82">
        <f t="shared" si="55"/>
        <v>0</v>
      </c>
      <c r="AM26" s="82">
        <f t="shared" si="55"/>
        <v>0</v>
      </c>
      <c r="AN26" s="82">
        <f t="shared" si="55"/>
        <v>0</v>
      </c>
      <c r="AO26" s="82">
        <f t="shared" si="55"/>
        <v>0</v>
      </c>
      <c r="AP26" s="82">
        <f t="shared" si="55"/>
        <v>0</v>
      </c>
      <c r="AQ26" s="82">
        <f t="shared" si="55"/>
        <v>0</v>
      </c>
      <c r="AR26" s="82">
        <f t="shared" si="56"/>
        <v>0</v>
      </c>
      <c r="AS26" s="82">
        <f t="shared" si="56"/>
        <v>0</v>
      </c>
      <c r="AT26" s="82">
        <f t="shared" si="56"/>
        <v>0</v>
      </c>
      <c r="AU26" s="82">
        <f t="shared" si="56"/>
        <v>0</v>
      </c>
      <c r="AV26" s="82">
        <f t="shared" si="56"/>
        <v>0</v>
      </c>
      <c r="AW26" s="82">
        <f t="shared" si="56"/>
        <v>0</v>
      </c>
      <c r="AX26" s="82">
        <f t="shared" si="56"/>
        <v>0</v>
      </c>
      <c r="AY26" s="82">
        <f t="shared" si="56"/>
        <v>0</v>
      </c>
      <c r="AZ26" s="82">
        <f t="shared" si="56"/>
        <v>0</v>
      </c>
      <c r="BA26" s="82">
        <f t="shared" si="56"/>
        <v>0</v>
      </c>
      <c r="BB26" s="82">
        <f t="shared" si="57"/>
        <v>0</v>
      </c>
      <c r="BC26" s="82">
        <f t="shared" si="57"/>
        <v>0</v>
      </c>
      <c r="BD26" s="82">
        <f t="shared" si="57"/>
        <v>0</v>
      </c>
      <c r="BE26" s="82">
        <f t="shared" si="57"/>
        <v>0</v>
      </c>
      <c r="BF26" s="82">
        <f t="shared" si="57"/>
        <v>0</v>
      </c>
      <c r="BG26" s="82">
        <f t="shared" si="57"/>
        <v>0</v>
      </c>
      <c r="BH26" s="82">
        <f t="shared" si="57"/>
        <v>0</v>
      </c>
      <c r="BI26" s="82">
        <f t="shared" si="57"/>
        <v>0</v>
      </c>
      <c r="BJ26" s="82">
        <f t="shared" si="57"/>
        <v>0</v>
      </c>
      <c r="BK26" s="83">
        <f t="shared" si="57"/>
        <v>0</v>
      </c>
      <c r="BM26" s="84">
        <f t="shared" si="34"/>
        <v>0</v>
      </c>
      <c r="BN26" s="85">
        <f t="shared" si="35"/>
        <v>0</v>
      </c>
      <c r="BO26" s="84">
        <f t="shared" si="12"/>
        <v>0</v>
      </c>
      <c r="BP26" s="85">
        <f t="shared" si="13"/>
        <v>0</v>
      </c>
      <c r="BQ26" s="186">
        <f t="shared" si="14"/>
        <v>0</v>
      </c>
      <c r="BR26" s="191">
        <f t="shared" si="15"/>
        <v>0</v>
      </c>
      <c r="BS26" s="186">
        <f t="shared" si="16"/>
        <v>0</v>
      </c>
      <c r="BT26" s="195">
        <f t="shared" si="17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6"/>
        <v>19</v>
      </c>
      <c r="CA26" s="87" t="str">
        <f t="shared" si="18"/>
        <v/>
      </c>
      <c r="CB26" s="87" t="str">
        <f t="shared" si="37"/>
        <v/>
      </c>
      <c r="CC26" s="88" t="str">
        <f t="shared" si="19"/>
        <v/>
      </c>
      <c r="CD26" s="88" t="str">
        <f t="shared" si="20"/>
        <v/>
      </c>
      <c r="CE26" s="89">
        <f t="shared" si="21"/>
        <v>0</v>
      </c>
      <c r="CF26" s="90">
        <f t="shared" si="38"/>
        <v>0</v>
      </c>
      <c r="CG26" s="91">
        <f t="shared" si="39"/>
        <v>0</v>
      </c>
      <c r="CH26" s="87">
        <f t="shared" si="40"/>
        <v>0</v>
      </c>
      <c r="CI26" s="92">
        <f t="shared" si="41"/>
        <v>2.0833333333333332E-2</v>
      </c>
      <c r="CJ26" s="93">
        <f t="shared" si="42"/>
        <v>0</v>
      </c>
      <c r="CK26" s="89">
        <f t="shared" si="43"/>
        <v>0</v>
      </c>
      <c r="CL26" s="90">
        <f t="shared" si="44"/>
        <v>0</v>
      </c>
      <c r="CM26" s="185">
        <f t="shared" si="45"/>
        <v>0</v>
      </c>
      <c r="CN26" s="185">
        <f t="shared" si="46"/>
        <v>0</v>
      </c>
      <c r="CO26" s="185">
        <f t="shared" si="47"/>
        <v>0</v>
      </c>
      <c r="CP26" s="185">
        <f t="shared" si="48"/>
        <v>0</v>
      </c>
      <c r="CQ26" s="91" t="str">
        <f t="shared" si="22"/>
        <v/>
      </c>
      <c r="CR26" s="87">
        <f t="shared" si="23"/>
        <v>0</v>
      </c>
      <c r="CS26" s="87">
        <f t="shared" si="24"/>
        <v>0</v>
      </c>
      <c r="CT26" s="87">
        <f t="shared" si="49"/>
        <v>0</v>
      </c>
      <c r="CU26" s="92">
        <f t="shared" si="25"/>
        <v>0</v>
      </c>
      <c r="CV26" s="326">
        <f t="shared" si="50"/>
        <v>0</v>
      </c>
      <c r="CW26" s="328">
        <f t="shared" si="26"/>
        <v>0</v>
      </c>
      <c r="CX26" s="330">
        <f t="shared" si="51"/>
        <v>1.666666668333799E-2</v>
      </c>
      <c r="CY26" s="94" t="str">
        <f t="shared" si="52"/>
        <v>+</v>
      </c>
      <c r="CZ26" s="95">
        <f t="shared" si="53"/>
        <v>1.666666668333799E-2</v>
      </c>
      <c r="DA26" s="96">
        <f t="shared" si="28"/>
        <v>0</v>
      </c>
      <c r="DB26" s="215">
        <f t="shared" si="29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4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44247</v>
      </c>
      <c r="C27" s="239"/>
      <c r="D27" s="240"/>
      <c r="E27" s="240"/>
      <c r="F27" s="240"/>
      <c r="G27" s="278"/>
      <c r="H27" s="305">
        <f t="shared" si="30"/>
        <v>21</v>
      </c>
      <c r="I27" s="273" t="str">
        <f t="shared" si="31"/>
        <v/>
      </c>
      <c r="J27" s="312">
        <f t="shared" si="2"/>
        <v>0.31666666666666698</v>
      </c>
      <c r="K27" s="313" t="str">
        <f t="shared" si="3"/>
        <v>+</v>
      </c>
      <c r="L27" s="314">
        <f t="shared" si="4"/>
        <v>1.6666666683338324E-2</v>
      </c>
      <c r="M27" s="315">
        <f t="shared" si="32"/>
        <v>0.40000000080011977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3"/>
        <v>44247</v>
      </c>
      <c r="AA27" s="160">
        <f t="shared" si="5"/>
        <v>44247</v>
      </c>
      <c r="AB27" s="160">
        <f t="shared" si="6"/>
        <v>2</v>
      </c>
      <c r="AC27" s="81">
        <f t="shared" si="7"/>
        <v>0</v>
      </c>
      <c r="AD27" s="160">
        <f t="shared" si="8"/>
        <v>0</v>
      </c>
      <c r="AF27" s="27" t="s">
        <v>119</v>
      </c>
      <c r="AG27" s="100"/>
      <c r="AH27" s="82">
        <f t="shared" si="55"/>
        <v>0</v>
      </c>
      <c r="AI27" s="82">
        <f t="shared" si="55"/>
        <v>0</v>
      </c>
      <c r="AJ27" s="82">
        <f t="shared" si="55"/>
        <v>0</v>
      </c>
      <c r="AK27" s="82">
        <f t="shared" si="55"/>
        <v>0</v>
      </c>
      <c r="AL27" s="82">
        <f t="shared" si="55"/>
        <v>0</v>
      </c>
      <c r="AM27" s="82">
        <f t="shared" si="55"/>
        <v>0</v>
      </c>
      <c r="AN27" s="82">
        <f t="shared" si="55"/>
        <v>0</v>
      </c>
      <c r="AO27" s="82">
        <f t="shared" si="55"/>
        <v>0</v>
      </c>
      <c r="AP27" s="82">
        <f t="shared" si="55"/>
        <v>0</v>
      </c>
      <c r="AQ27" s="82">
        <f t="shared" si="55"/>
        <v>0</v>
      </c>
      <c r="AR27" s="82">
        <f t="shared" si="56"/>
        <v>0</v>
      </c>
      <c r="AS27" s="82">
        <f t="shared" si="56"/>
        <v>0</v>
      </c>
      <c r="AT27" s="82">
        <f t="shared" si="56"/>
        <v>0</v>
      </c>
      <c r="AU27" s="82">
        <f t="shared" si="56"/>
        <v>0</v>
      </c>
      <c r="AV27" s="82">
        <f t="shared" si="56"/>
        <v>0</v>
      </c>
      <c r="AW27" s="82">
        <f t="shared" si="56"/>
        <v>0</v>
      </c>
      <c r="AX27" s="82">
        <f t="shared" si="56"/>
        <v>0</v>
      </c>
      <c r="AY27" s="82">
        <f t="shared" si="56"/>
        <v>0</v>
      </c>
      <c r="AZ27" s="82">
        <f t="shared" si="56"/>
        <v>0</v>
      </c>
      <c r="BA27" s="82">
        <f t="shared" si="56"/>
        <v>0</v>
      </c>
      <c r="BB27" s="82">
        <f t="shared" si="57"/>
        <v>0</v>
      </c>
      <c r="BC27" s="82">
        <f t="shared" si="57"/>
        <v>0</v>
      </c>
      <c r="BD27" s="82">
        <f t="shared" si="57"/>
        <v>0</v>
      </c>
      <c r="BE27" s="82">
        <f t="shared" si="57"/>
        <v>0</v>
      </c>
      <c r="BF27" s="82">
        <f t="shared" si="57"/>
        <v>0</v>
      </c>
      <c r="BG27" s="82">
        <f t="shared" si="57"/>
        <v>0</v>
      </c>
      <c r="BH27" s="82">
        <f t="shared" si="57"/>
        <v>0</v>
      </c>
      <c r="BI27" s="82">
        <f t="shared" si="57"/>
        <v>0</v>
      </c>
      <c r="BJ27" s="82">
        <f t="shared" si="57"/>
        <v>0</v>
      </c>
      <c r="BK27" s="83">
        <f t="shared" si="57"/>
        <v>0</v>
      </c>
      <c r="BM27" s="84">
        <f t="shared" si="34"/>
        <v>0</v>
      </c>
      <c r="BN27" s="85">
        <f t="shared" si="35"/>
        <v>0</v>
      </c>
      <c r="BO27" s="84">
        <f t="shared" si="12"/>
        <v>0</v>
      </c>
      <c r="BP27" s="85">
        <f t="shared" si="13"/>
        <v>0</v>
      </c>
      <c r="BQ27" s="186">
        <f t="shared" si="14"/>
        <v>0</v>
      </c>
      <c r="BR27" s="191">
        <f t="shared" si="15"/>
        <v>0</v>
      </c>
      <c r="BS27" s="186">
        <f t="shared" si="16"/>
        <v>0</v>
      </c>
      <c r="BT27" s="195">
        <f t="shared" si="17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6"/>
        <v>20</v>
      </c>
      <c r="CA27" s="87" t="str">
        <f t="shared" si="18"/>
        <v/>
      </c>
      <c r="CB27" s="87" t="str">
        <f t="shared" si="37"/>
        <v/>
      </c>
      <c r="CC27" s="88">
        <f t="shared" si="19"/>
        <v>0.31666666666666698</v>
      </c>
      <c r="CD27" s="88" t="str">
        <f t="shared" si="20"/>
        <v/>
      </c>
      <c r="CE27" s="89">
        <f t="shared" si="21"/>
        <v>0</v>
      </c>
      <c r="CF27" s="90">
        <f t="shared" si="38"/>
        <v>0.31666666666666698</v>
      </c>
      <c r="CG27" s="91">
        <f t="shared" si="39"/>
        <v>0</v>
      </c>
      <c r="CH27" s="87">
        <f t="shared" si="40"/>
        <v>0</v>
      </c>
      <c r="CI27" s="92">
        <f t="shared" si="41"/>
        <v>0</v>
      </c>
      <c r="CJ27" s="93">
        <f t="shared" si="42"/>
        <v>0</v>
      </c>
      <c r="CK27" s="89">
        <f t="shared" si="43"/>
        <v>0</v>
      </c>
      <c r="CL27" s="90">
        <f t="shared" si="44"/>
        <v>0</v>
      </c>
      <c r="CM27" s="185">
        <f t="shared" si="45"/>
        <v>0</v>
      </c>
      <c r="CN27" s="185">
        <f t="shared" si="46"/>
        <v>0</v>
      </c>
      <c r="CO27" s="185">
        <f t="shared" si="47"/>
        <v>0</v>
      </c>
      <c r="CP27" s="185">
        <f t="shared" si="48"/>
        <v>0</v>
      </c>
      <c r="CQ27" s="91" t="str">
        <f t="shared" si="22"/>
        <v/>
      </c>
      <c r="CR27" s="87">
        <f t="shared" si="23"/>
        <v>0</v>
      </c>
      <c r="CS27" s="87">
        <f t="shared" si="24"/>
        <v>0</v>
      </c>
      <c r="CT27" s="87">
        <f t="shared" si="49"/>
        <v>0.31666666666666698</v>
      </c>
      <c r="CU27" s="92">
        <f t="shared" si="25"/>
        <v>0.31666666666666698</v>
      </c>
      <c r="CV27" s="326">
        <f t="shared" si="50"/>
        <v>0.31666666666666698</v>
      </c>
      <c r="CW27" s="328">
        <f t="shared" si="26"/>
        <v>3.3306690738754696E-16</v>
      </c>
      <c r="CX27" s="330">
        <f t="shared" si="51"/>
        <v>1.6666666683338324E-2</v>
      </c>
      <c r="CY27" s="94" t="str">
        <f t="shared" si="52"/>
        <v>+</v>
      </c>
      <c r="CZ27" s="95">
        <f t="shared" si="53"/>
        <v>1.6666666683338324E-2</v>
      </c>
      <c r="DA27" s="96">
        <f t="shared" si="28"/>
        <v>0</v>
      </c>
      <c r="DB27" s="215">
        <f t="shared" si="29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4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44248</v>
      </c>
      <c r="C28" s="239"/>
      <c r="D28" s="240"/>
      <c r="E28" s="240"/>
      <c r="F28" s="240"/>
      <c r="G28" s="278"/>
      <c r="H28" s="305">
        <f t="shared" si="30"/>
        <v>1</v>
      </c>
      <c r="I28" s="273" t="str">
        <f t="shared" si="31"/>
        <v/>
      </c>
      <c r="J28" s="312">
        <f t="shared" si="2"/>
        <v>0.31666666666666698</v>
      </c>
      <c r="K28" s="313" t="str">
        <f t="shared" si="3"/>
        <v>+</v>
      </c>
      <c r="L28" s="314">
        <f t="shared" si="4"/>
        <v>1.6666666683338657E-2</v>
      </c>
      <c r="M28" s="315">
        <f t="shared" si="32"/>
        <v>0.40000000080012776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3"/>
        <v>44248</v>
      </c>
      <c r="AA28" s="160">
        <f t="shared" si="5"/>
        <v>44248</v>
      </c>
      <c r="AB28" s="160">
        <f t="shared" si="6"/>
        <v>2</v>
      </c>
      <c r="AC28" s="81">
        <f t="shared" si="7"/>
        <v>1</v>
      </c>
      <c r="AD28" s="160">
        <f t="shared" si="8"/>
        <v>0</v>
      </c>
      <c r="AF28" s="27" t="s">
        <v>119</v>
      </c>
      <c r="AG28" s="100"/>
      <c r="AH28" s="82">
        <f t="shared" ref="AH28:AQ38" si="58">IF($N28=AH$7,$DB28,IF($O28=AH$7,$P28,IF($Q28=AH$7,$R28,0)))</f>
        <v>0</v>
      </c>
      <c r="AI28" s="82">
        <f t="shared" si="58"/>
        <v>0</v>
      </c>
      <c r="AJ28" s="82">
        <f t="shared" si="58"/>
        <v>0</v>
      </c>
      <c r="AK28" s="82">
        <f t="shared" si="58"/>
        <v>0</v>
      </c>
      <c r="AL28" s="82">
        <f t="shared" si="58"/>
        <v>0</v>
      </c>
      <c r="AM28" s="82">
        <f t="shared" si="58"/>
        <v>0</v>
      </c>
      <c r="AN28" s="82">
        <f t="shared" si="58"/>
        <v>0</v>
      </c>
      <c r="AO28" s="82">
        <f t="shared" si="58"/>
        <v>0</v>
      </c>
      <c r="AP28" s="82">
        <f t="shared" si="58"/>
        <v>0</v>
      </c>
      <c r="AQ28" s="82">
        <f t="shared" si="58"/>
        <v>0</v>
      </c>
      <c r="AR28" s="82">
        <f t="shared" ref="AR28:BA38" si="59">IF($N28=AR$7,$DB28,IF($O28=AR$7,$P28,IF($Q28=AR$7,$R28,0)))</f>
        <v>0</v>
      </c>
      <c r="AS28" s="82">
        <f t="shared" si="59"/>
        <v>0</v>
      </c>
      <c r="AT28" s="82">
        <f t="shared" si="59"/>
        <v>0</v>
      </c>
      <c r="AU28" s="82">
        <f t="shared" si="59"/>
        <v>0</v>
      </c>
      <c r="AV28" s="82">
        <f t="shared" si="59"/>
        <v>0</v>
      </c>
      <c r="AW28" s="82">
        <f t="shared" si="59"/>
        <v>0</v>
      </c>
      <c r="AX28" s="82">
        <f t="shared" si="59"/>
        <v>0</v>
      </c>
      <c r="AY28" s="82">
        <f t="shared" si="59"/>
        <v>0</v>
      </c>
      <c r="AZ28" s="82">
        <f t="shared" si="59"/>
        <v>0</v>
      </c>
      <c r="BA28" s="82">
        <f t="shared" si="59"/>
        <v>0</v>
      </c>
      <c r="BB28" s="82">
        <f t="shared" ref="BB28:BK38" si="60">IF($N28=BB$7,$DB28,IF($O28=BB$7,$P28,IF($Q28=BB$7,$R28,0)))</f>
        <v>0</v>
      </c>
      <c r="BC28" s="82">
        <f t="shared" si="60"/>
        <v>0</v>
      </c>
      <c r="BD28" s="82">
        <f t="shared" si="60"/>
        <v>0</v>
      </c>
      <c r="BE28" s="82">
        <f t="shared" si="60"/>
        <v>0</v>
      </c>
      <c r="BF28" s="82">
        <f t="shared" si="60"/>
        <v>0</v>
      </c>
      <c r="BG28" s="82">
        <f t="shared" si="60"/>
        <v>0</v>
      </c>
      <c r="BH28" s="82">
        <f t="shared" si="60"/>
        <v>0</v>
      </c>
      <c r="BI28" s="82">
        <f t="shared" si="60"/>
        <v>0</v>
      </c>
      <c r="BJ28" s="82">
        <f t="shared" si="60"/>
        <v>0</v>
      </c>
      <c r="BK28" s="83">
        <f t="shared" si="60"/>
        <v>0</v>
      </c>
      <c r="BM28" s="84">
        <f t="shared" si="34"/>
        <v>0</v>
      </c>
      <c r="BN28" s="85">
        <f t="shared" si="35"/>
        <v>0</v>
      </c>
      <c r="BO28" s="84">
        <f t="shared" si="12"/>
        <v>0</v>
      </c>
      <c r="BP28" s="85">
        <f t="shared" si="13"/>
        <v>0</v>
      </c>
      <c r="BQ28" s="186">
        <f t="shared" si="14"/>
        <v>0</v>
      </c>
      <c r="BR28" s="191">
        <f t="shared" si="15"/>
        <v>0</v>
      </c>
      <c r="BS28" s="186">
        <f t="shared" si="16"/>
        <v>0</v>
      </c>
      <c r="BT28" s="195">
        <f t="shared" si="17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6"/>
        <v>21</v>
      </c>
      <c r="CA28" s="87" t="str">
        <f t="shared" si="18"/>
        <v/>
      </c>
      <c r="CB28" s="87" t="str">
        <f t="shared" si="37"/>
        <v/>
      </c>
      <c r="CC28" s="88">
        <f t="shared" si="19"/>
        <v>0.31666666666666698</v>
      </c>
      <c r="CD28" s="88" t="str">
        <f t="shared" si="20"/>
        <v/>
      </c>
      <c r="CE28" s="89">
        <f t="shared" si="21"/>
        <v>0</v>
      </c>
      <c r="CF28" s="90">
        <f t="shared" si="38"/>
        <v>0.31666666666666698</v>
      </c>
      <c r="CG28" s="91">
        <f t="shared" si="39"/>
        <v>0</v>
      </c>
      <c r="CH28" s="87">
        <f t="shared" si="40"/>
        <v>0</v>
      </c>
      <c r="CI28" s="92">
        <f t="shared" si="41"/>
        <v>0</v>
      </c>
      <c r="CJ28" s="93">
        <f t="shared" si="42"/>
        <v>0</v>
      </c>
      <c r="CK28" s="89">
        <f t="shared" si="43"/>
        <v>0</v>
      </c>
      <c r="CL28" s="90">
        <f t="shared" si="44"/>
        <v>0</v>
      </c>
      <c r="CM28" s="185">
        <f t="shared" si="45"/>
        <v>0</v>
      </c>
      <c r="CN28" s="185">
        <f t="shared" si="46"/>
        <v>0</v>
      </c>
      <c r="CO28" s="185">
        <f t="shared" si="47"/>
        <v>0</v>
      </c>
      <c r="CP28" s="185">
        <f t="shared" si="48"/>
        <v>0</v>
      </c>
      <c r="CQ28" s="91" t="str">
        <f t="shared" si="22"/>
        <v/>
      </c>
      <c r="CR28" s="87">
        <f t="shared" si="23"/>
        <v>0</v>
      </c>
      <c r="CS28" s="87">
        <f t="shared" si="24"/>
        <v>0</v>
      </c>
      <c r="CT28" s="87">
        <f t="shared" si="49"/>
        <v>0.31666666666666698</v>
      </c>
      <c r="CU28" s="92">
        <f t="shared" si="25"/>
        <v>0.31666666666666698</v>
      </c>
      <c r="CV28" s="326">
        <f t="shared" si="50"/>
        <v>0.31666666666666698</v>
      </c>
      <c r="CW28" s="328">
        <f t="shared" si="26"/>
        <v>3.3306690738754696E-16</v>
      </c>
      <c r="CX28" s="330">
        <f t="shared" si="51"/>
        <v>1.6666666683338657E-2</v>
      </c>
      <c r="CY28" s="94" t="str">
        <f t="shared" si="52"/>
        <v>+</v>
      </c>
      <c r="CZ28" s="95">
        <f t="shared" si="53"/>
        <v>1.6666666683338657E-2</v>
      </c>
      <c r="DA28" s="96">
        <f t="shared" si="28"/>
        <v>0</v>
      </c>
      <c r="DB28" s="215">
        <f t="shared" si="29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4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44249</v>
      </c>
      <c r="C29" s="239"/>
      <c r="D29" s="240"/>
      <c r="E29" s="240"/>
      <c r="F29" s="240"/>
      <c r="G29" s="278"/>
      <c r="H29" s="305" t="str">
        <f t="shared" si="30"/>
        <v/>
      </c>
      <c r="I29" s="273" t="str">
        <f t="shared" si="31"/>
        <v/>
      </c>
      <c r="J29" s="312">
        <f t="shared" si="2"/>
        <v>0</v>
      </c>
      <c r="K29" s="313" t="str">
        <f t="shared" si="3"/>
        <v>+</v>
      </c>
      <c r="L29" s="314">
        <f t="shared" si="4"/>
        <v>1.6666666683338657E-2</v>
      </c>
      <c r="M29" s="315">
        <f t="shared" si="32"/>
        <v>0.40000000080012776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3"/>
        <v>44249</v>
      </c>
      <c r="AA29" s="160">
        <f t="shared" si="5"/>
        <v>44249</v>
      </c>
      <c r="AB29" s="160">
        <f t="shared" si="6"/>
        <v>2</v>
      </c>
      <c r="AC29" s="81">
        <f t="shared" si="7"/>
        <v>2</v>
      </c>
      <c r="AD29" s="160">
        <f t="shared" si="8"/>
        <v>0</v>
      </c>
      <c r="AF29" s="27" t="s">
        <v>119</v>
      </c>
      <c r="AG29" s="100"/>
      <c r="AH29" s="82">
        <f t="shared" si="58"/>
        <v>0</v>
      </c>
      <c r="AI29" s="82">
        <f t="shared" si="58"/>
        <v>0</v>
      </c>
      <c r="AJ29" s="82">
        <f t="shared" si="58"/>
        <v>0</v>
      </c>
      <c r="AK29" s="82">
        <f t="shared" si="58"/>
        <v>0</v>
      </c>
      <c r="AL29" s="82">
        <f t="shared" si="58"/>
        <v>0</v>
      </c>
      <c r="AM29" s="82">
        <f t="shared" si="58"/>
        <v>0</v>
      </c>
      <c r="AN29" s="82">
        <f t="shared" si="58"/>
        <v>0</v>
      </c>
      <c r="AO29" s="82">
        <f t="shared" si="58"/>
        <v>0</v>
      </c>
      <c r="AP29" s="82">
        <f t="shared" si="58"/>
        <v>0</v>
      </c>
      <c r="AQ29" s="82">
        <f t="shared" si="58"/>
        <v>0</v>
      </c>
      <c r="AR29" s="82">
        <f t="shared" si="59"/>
        <v>0</v>
      </c>
      <c r="AS29" s="82">
        <f t="shared" si="59"/>
        <v>0</v>
      </c>
      <c r="AT29" s="82">
        <f t="shared" si="59"/>
        <v>0</v>
      </c>
      <c r="AU29" s="82">
        <f t="shared" si="59"/>
        <v>0</v>
      </c>
      <c r="AV29" s="82">
        <f t="shared" si="59"/>
        <v>0</v>
      </c>
      <c r="AW29" s="82">
        <f t="shared" si="59"/>
        <v>0</v>
      </c>
      <c r="AX29" s="82">
        <f t="shared" si="59"/>
        <v>0</v>
      </c>
      <c r="AY29" s="82">
        <f t="shared" si="59"/>
        <v>0</v>
      </c>
      <c r="AZ29" s="82">
        <f t="shared" si="59"/>
        <v>0</v>
      </c>
      <c r="BA29" s="82">
        <f t="shared" si="59"/>
        <v>0</v>
      </c>
      <c r="BB29" s="82">
        <f t="shared" si="60"/>
        <v>0</v>
      </c>
      <c r="BC29" s="82">
        <f t="shared" si="60"/>
        <v>0</v>
      </c>
      <c r="BD29" s="82">
        <f t="shared" si="60"/>
        <v>0</v>
      </c>
      <c r="BE29" s="82">
        <f t="shared" si="60"/>
        <v>0</v>
      </c>
      <c r="BF29" s="82">
        <f t="shared" si="60"/>
        <v>0</v>
      </c>
      <c r="BG29" s="82">
        <f t="shared" si="60"/>
        <v>0</v>
      </c>
      <c r="BH29" s="82">
        <f t="shared" si="60"/>
        <v>0</v>
      </c>
      <c r="BI29" s="82">
        <f t="shared" si="60"/>
        <v>0</v>
      </c>
      <c r="BJ29" s="82">
        <f t="shared" si="60"/>
        <v>0</v>
      </c>
      <c r="BK29" s="83">
        <f t="shared" si="60"/>
        <v>0</v>
      </c>
      <c r="BM29" s="84">
        <f t="shared" si="34"/>
        <v>0</v>
      </c>
      <c r="BN29" s="85">
        <f t="shared" si="35"/>
        <v>0</v>
      </c>
      <c r="BO29" s="84">
        <f t="shared" si="12"/>
        <v>0</v>
      </c>
      <c r="BP29" s="85">
        <f t="shared" si="13"/>
        <v>0</v>
      </c>
      <c r="BQ29" s="186">
        <f t="shared" si="14"/>
        <v>0</v>
      </c>
      <c r="BR29" s="191">
        <f t="shared" si="15"/>
        <v>0</v>
      </c>
      <c r="BS29" s="186">
        <f t="shared" si="16"/>
        <v>0</v>
      </c>
      <c r="BT29" s="195">
        <f t="shared" si="17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6"/>
        <v>22</v>
      </c>
      <c r="CA29" s="87" t="str">
        <f t="shared" si="18"/>
        <v/>
      </c>
      <c r="CB29" s="87" t="str">
        <f t="shared" si="37"/>
        <v/>
      </c>
      <c r="CC29" s="88" t="str">
        <f t="shared" si="19"/>
        <v/>
      </c>
      <c r="CD29" s="88" t="str">
        <f t="shared" si="20"/>
        <v/>
      </c>
      <c r="CE29" s="89">
        <f t="shared" si="21"/>
        <v>0</v>
      </c>
      <c r="CF29" s="90">
        <f t="shared" si="38"/>
        <v>0</v>
      </c>
      <c r="CG29" s="91">
        <f t="shared" si="39"/>
        <v>0</v>
      </c>
      <c r="CH29" s="87">
        <f t="shared" si="40"/>
        <v>0</v>
      </c>
      <c r="CI29" s="92">
        <f t="shared" si="41"/>
        <v>2.0833333333333332E-2</v>
      </c>
      <c r="CJ29" s="93">
        <f t="shared" si="42"/>
        <v>0</v>
      </c>
      <c r="CK29" s="89">
        <f t="shared" si="43"/>
        <v>0</v>
      </c>
      <c r="CL29" s="90">
        <f t="shared" si="44"/>
        <v>0</v>
      </c>
      <c r="CM29" s="185">
        <f t="shared" si="45"/>
        <v>0</v>
      </c>
      <c r="CN29" s="185">
        <f t="shared" si="46"/>
        <v>0</v>
      </c>
      <c r="CO29" s="185">
        <f t="shared" si="47"/>
        <v>0</v>
      </c>
      <c r="CP29" s="185">
        <f t="shared" si="48"/>
        <v>0</v>
      </c>
      <c r="CQ29" s="91" t="str">
        <f t="shared" si="22"/>
        <v/>
      </c>
      <c r="CR29" s="87">
        <f t="shared" si="23"/>
        <v>0</v>
      </c>
      <c r="CS29" s="87">
        <f t="shared" si="24"/>
        <v>0</v>
      </c>
      <c r="CT29" s="87">
        <f t="shared" si="49"/>
        <v>0</v>
      </c>
      <c r="CU29" s="92">
        <f t="shared" si="25"/>
        <v>0</v>
      </c>
      <c r="CV29" s="326">
        <f t="shared" si="50"/>
        <v>0</v>
      </c>
      <c r="CW29" s="328">
        <f t="shared" si="26"/>
        <v>0</v>
      </c>
      <c r="CX29" s="330">
        <f t="shared" si="51"/>
        <v>1.6666666683338657E-2</v>
      </c>
      <c r="CY29" s="94" t="str">
        <f t="shared" si="52"/>
        <v>+</v>
      </c>
      <c r="CZ29" s="95">
        <f t="shared" si="53"/>
        <v>1.6666666683338657E-2</v>
      </c>
      <c r="DA29" s="96">
        <f t="shared" si="28"/>
        <v>0</v>
      </c>
      <c r="DB29" s="215">
        <f t="shared" si="29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4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44250</v>
      </c>
      <c r="C30" s="239"/>
      <c r="D30" s="240"/>
      <c r="E30" s="240"/>
      <c r="F30" s="240"/>
      <c r="G30" s="278"/>
      <c r="H30" s="305" t="str">
        <f t="shared" si="30"/>
        <v/>
      </c>
      <c r="I30" s="273" t="str">
        <f t="shared" si="31"/>
        <v/>
      </c>
      <c r="J30" s="312">
        <f t="shared" si="2"/>
        <v>0</v>
      </c>
      <c r="K30" s="313" t="str">
        <f t="shared" si="3"/>
        <v>+</v>
      </c>
      <c r="L30" s="314">
        <f t="shared" si="4"/>
        <v>1.6666666683338657E-2</v>
      </c>
      <c r="M30" s="315">
        <f t="shared" si="32"/>
        <v>0.40000000080012776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3"/>
        <v>44250</v>
      </c>
      <c r="AA30" s="160">
        <f t="shared" si="5"/>
        <v>44250</v>
      </c>
      <c r="AB30" s="160">
        <f t="shared" si="6"/>
        <v>2</v>
      </c>
      <c r="AC30" s="81">
        <f t="shared" si="7"/>
        <v>3</v>
      </c>
      <c r="AD30" s="160">
        <f t="shared" si="8"/>
        <v>0</v>
      </c>
      <c r="AF30" s="27" t="s">
        <v>119</v>
      </c>
      <c r="AG30" s="100"/>
      <c r="AH30" s="82">
        <f t="shared" si="58"/>
        <v>0</v>
      </c>
      <c r="AI30" s="82">
        <f t="shared" si="58"/>
        <v>0</v>
      </c>
      <c r="AJ30" s="82">
        <f t="shared" si="58"/>
        <v>0</v>
      </c>
      <c r="AK30" s="82">
        <f t="shared" si="58"/>
        <v>0</v>
      </c>
      <c r="AL30" s="82">
        <f t="shared" si="58"/>
        <v>0</v>
      </c>
      <c r="AM30" s="82">
        <f t="shared" si="58"/>
        <v>0</v>
      </c>
      <c r="AN30" s="82">
        <f t="shared" si="58"/>
        <v>0</v>
      </c>
      <c r="AO30" s="82">
        <f t="shared" si="58"/>
        <v>0</v>
      </c>
      <c r="AP30" s="82">
        <f t="shared" si="58"/>
        <v>0</v>
      </c>
      <c r="AQ30" s="82">
        <f t="shared" si="58"/>
        <v>0</v>
      </c>
      <c r="AR30" s="82">
        <f t="shared" si="59"/>
        <v>0</v>
      </c>
      <c r="AS30" s="82">
        <f t="shared" si="59"/>
        <v>0</v>
      </c>
      <c r="AT30" s="82">
        <f t="shared" si="59"/>
        <v>0</v>
      </c>
      <c r="AU30" s="82">
        <f t="shared" si="59"/>
        <v>0</v>
      </c>
      <c r="AV30" s="82">
        <f t="shared" si="59"/>
        <v>0</v>
      </c>
      <c r="AW30" s="82">
        <f t="shared" si="59"/>
        <v>0</v>
      </c>
      <c r="AX30" s="82">
        <f t="shared" si="59"/>
        <v>0</v>
      </c>
      <c r="AY30" s="82">
        <f t="shared" si="59"/>
        <v>0</v>
      </c>
      <c r="AZ30" s="82">
        <f t="shared" si="59"/>
        <v>0</v>
      </c>
      <c r="BA30" s="82">
        <f t="shared" si="59"/>
        <v>0</v>
      </c>
      <c r="BB30" s="82">
        <f t="shared" si="60"/>
        <v>0</v>
      </c>
      <c r="BC30" s="82">
        <f t="shared" si="60"/>
        <v>0</v>
      </c>
      <c r="BD30" s="82">
        <f t="shared" si="60"/>
        <v>0</v>
      </c>
      <c r="BE30" s="82">
        <f t="shared" si="60"/>
        <v>0</v>
      </c>
      <c r="BF30" s="82">
        <f t="shared" si="60"/>
        <v>0</v>
      </c>
      <c r="BG30" s="82">
        <f t="shared" si="60"/>
        <v>0</v>
      </c>
      <c r="BH30" s="82">
        <f t="shared" si="60"/>
        <v>0</v>
      </c>
      <c r="BI30" s="82">
        <f t="shared" si="60"/>
        <v>0</v>
      </c>
      <c r="BJ30" s="82">
        <f t="shared" si="60"/>
        <v>0</v>
      </c>
      <c r="BK30" s="83">
        <f t="shared" si="60"/>
        <v>0</v>
      </c>
      <c r="BM30" s="84">
        <f t="shared" si="34"/>
        <v>0</v>
      </c>
      <c r="BN30" s="85">
        <f t="shared" si="35"/>
        <v>0</v>
      </c>
      <c r="BO30" s="84">
        <f t="shared" si="12"/>
        <v>0</v>
      </c>
      <c r="BP30" s="85">
        <f t="shared" si="13"/>
        <v>0</v>
      </c>
      <c r="BQ30" s="186">
        <f t="shared" si="14"/>
        <v>0</v>
      </c>
      <c r="BR30" s="191">
        <f t="shared" si="15"/>
        <v>0</v>
      </c>
      <c r="BS30" s="186">
        <f t="shared" si="16"/>
        <v>0</v>
      </c>
      <c r="BT30" s="195">
        <f t="shared" si="17"/>
        <v>0</v>
      </c>
      <c r="BU30" s="18"/>
      <c r="BV30" s="27"/>
      <c r="BW30" s="21"/>
      <c r="BX30" s="21"/>
      <c r="BY30" s="21"/>
      <c r="BZ30" s="86">
        <f t="shared" si="36"/>
        <v>23</v>
      </c>
      <c r="CA30" s="87" t="str">
        <f t="shared" si="18"/>
        <v/>
      </c>
      <c r="CB30" s="87" t="str">
        <f t="shared" si="37"/>
        <v/>
      </c>
      <c r="CC30" s="88" t="str">
        <f t="shared" si="19"/>
        <v/>
      </c>
      <c r="CD30" s="88" t="str">
        <f t="shared" si="20"/>
        <v/>
      </c>
      <c r="CE30" s="89">
        <f t="shared" si="21"/>
        <v>0</v>
      </c>
      <c r="CF30" s="90">
        <f t="shared" si="38"/>
        <v>0</v>
      </c>
      <c r="CG30" s="91">
        <f t="shared" si="39"/>
        <v>0</v>
      </c>
      <c r="CH30" s="87">
        <f t="shared" si="40"/>
        <v>0</v>
      </c>
      <c r="CI30" s="92">
        <f t="shared" si="41"/>
        <v>2.0833333333333332E-2</v>
      </c>
      <c r="CJ30" s="93">
        <f t="shared" si="42"/>
        <v>0</v>
      </c>
      <c r="CK30" s="89">
        <f t="shared" si="43"/>
        <v>0</v>
      </c>
      <c r="CL30" s="90">
        <f t="shared" si="44"/>
        <v>0</v>
      </c>
      <c r="CM30" s="185">
        <f t="shared" si="45"/>
        <v>0</v>
      </c>
      <c r="CN30" s="185">
        <f t="shared" si="46"/>
        <v>0</v>
      </c>
      <c r="CO30" s="185">
        <f t="shared" si="47"/>
        <v>0</v>
      </c>
      <c r="CP30" s="185">
        <f t="shared" si="48"/>
        <v>0</v>
      </c>
      <c r="CQ30" s="91" t="str">
        <f t="shared" si="22"/>
        <v/>
      </c>
      <c r="CR30" s="87">
        <f t="shared" si="23"/>
        <v>0</v>
      </c>
      <c r="CS30" s="87">
        <f t="shared" si="24"/>
        <v>0</v>
      </c>
      <c r="CT30" s="87">
        <f t="shared" si="49"/>
        <v>0</v>
      </c>
      <c r="CU30" s="92">
        <f t="shared" si="25"/>
        <v>0</v>
      </c>
      <c r="CV30" s="326">
        <f t="shared" si="50"/>
        <v>0</v>
      </c>
      <c r="CW30" s="328">
        <f t="shared" si="26"/>
        <v>0</v>
      </c>
      <c r="CX30" s="330">
        <f t="shared" si="51"/>
        <v>1.6666666683338657E-2</v>
      </c>
      <c r="CY30" s="94" t="str">
        <f t="shared" si="52"/>
        <v>+</v>
      </c>
      <c r="CZ30" s="95">
        <f t="shared" si="53"/>
        <v>1.6666666683338657E-2</v>
      </c>
      <c r="DA30" s="96">
        <f t="shared" si="28"/>
        <v>0</v>
      </c>
      <c r="DB30" s="215">
        <f t="shared" si="29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4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44251</v>
      </c>
      <c r="C31" s="239"/>
      <c r="D31" s="240"/>
      <c r="E31" s="240"/>
      <c r="F31" s="240"/>
      <c r="G31" s="278"/>
      <c r="H31" s="305" t="str">
        <f t="shared" si="30"/>
        <v/>
      </c>
      <c r="I31" s="273" t="str">
        <f t="shared" si="31"/>
        <v/>
      </c>
      <c r="J31" s="312">
        <f t="shared" si="2"/>
        <v>0</v>
      </c>
      <c r="K31" s="313" t="str">
        <f t="shared" si="3"/>
        <v>+</v>
      </c>
      <c r="L31" s="314">
        <f t="shared" si="4"/>
        <v>1.6666666683338657E-2</v>
      </c>
      <c r="M31" s="315">
        <f t="shared" si="32"/>
        <v>0.40000000080012776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3"/>
        <v>44251</v>
      </c>
      <c r="AA31" s="160">
        <f t="shared" si="5"/>
        <v>44251</v>
      </c>
      <c r="AB31" s="160">
        <f t="shared" si="6"/>
        <v>2</v>
      </c>
      <c r="AC31" s="81">
        <f t="shared" si="7"/>
        <v>4</v>
      </c>
      <c r="AD31" s="160">
        <f t="shared" si="8"/>
        <v>0</v>
      </c>
      <c r="AF31" s="27" t="s">
        <v>119</v>
      </c>
      <c r="AG31" s="100"/>
      <c r="AH31" s="82">
        <f t="shared" si="58"/>
        <v>0</v>
      </c>
      <c r="AI31" s="82">
        <f t="shared" si="58"/>
        <v>0</v>
      </c>
      <c r="AJ31" s="82">
        <f t="shared" si="58"/>
        <v>0</v>
      </c>
      <c r="AK31" s="82">
        <f t="shared" si="58"/>
        <v>0</v>
      </c>
      <c r="AL31" s="82">
        <f t="shared" si="58"/>
        <v>0</v>
      </c>
      <c r="AM31" s="82">
        <f t="shared" si="58"/>
        <v>0</v>
      </c>
      <c r="AN31" s="82">
        <f t="shared" si="58"/>
        <v>0</v>
      </c>
      <c r="AO31" s="82">
        <f t="shared" si="58"/>
        <v>0</v>
      </c>
      <c r="AP31" s="82">
        <f t="shared" si="58"/>
        <v>0</v>
      </c>
      <c r="AQ31" s="82">
        <f t="shared" si="58"/>
        <v>0</v>
      </c>
      <c r="AR31" s="82">
        <f t="shared" si="59"/>
        <v>0</v>
      </c>
      <c r="AS31" s="82">
        <f t="shared" si="59"/>
        <v>0</v>
      </c>
      <c r="AT31" s="82">
        <f t="shared" si="59"/>
        <v>0</v>
      </c>
      <c r="AU31" s="82">
        <f t="shared" si="59"/>
        <v>0</v>
      </c>
      <c r="AV31" s="82">
        <f t="shared" si="59"/>
        <v>0</v>
      </c>
      <c r="AW31" s="82">
        <f t="shared" si="59"/>
        <v>0</v>
      </c>
      <c r="AX31" s="82">
        <f t="shared" si="59"/>
        <v>0</v>
      </c>
      <c r="AY31" s="82">
        <f t="shared" si="59"/>
        <v>0</v>
      </c>
      <c r="AZ31" s="82">
        <f t="shared" si="59"/>
        <v>0</v>
      </c>
      <c r="BA31" s="82">
        <f t="shared" si="59"/>
        <v>0</v>
      </c>
      <c r="BB31" s="82">
        <f t="shared" si="60"/>
        <v>0</v>
      </c>
      <c r="BC31" s="82">
        <f t="shared" si="60"/>
        <v>0</v>
      </c>
      <c r="BD31" s="82">
        <f t="shared" si="60"/>
        <v>0</v>
      </c>
      <c r="BE31" s="82">
        <f t="shared" si="60"/>
        <v>0</v>
      </c>
      <c r="BF31" s="82">
        <f t="shared" si="60"/>
        <v>0</v>
      </c>
      <c r="BG31" s="82">
        <f t="shared" si="60"/>
        <v>0</v>
      </c>
      <c r="BH31" s="82">
        <f t="shared" si="60"/>
        <v>0</v>
      </c>
      <c r="BI31" s="82">
        <f t="shared" si="60"/>
        <v>0</v>
      </c>
      <c r="BJ31" s="82">
        <f t="shared" si="60"/>
        <v>0</v>
      </c>
      <c r="BK31" s="83">
        <f t="shared" si="60"/>
        <v>0</v>
      </c>
      <c r="BM31" s="84">
        <f t="shared" si="34"/>
        <v>0</v>
      </c>
      <c r="BN31" s="85">
        <f t="shared" si="35"/>
        <v>0</v>
      </c>
      <c r="BO31" s="84">
        <f t="shared" si="12"/>
        <v>0</v>
      </c>
      <c r="BP31" s="85">
        <f t="shared" si="13"/>
        <v>0</v>
      </c>
      <c r="BQ31" s="186">
        <f t="shared" si="14"/>
        <v>0</v>
      </c>
      <c r="BR31" s="191">
        <f t="shared" si="15"/>
        <v>0</v>
      </c>
      <c r="BS31" s="186">
        <f t="shared" si="16"/>
        <v>0</v>
      </c>
      <c r="BT31" s="195">
        <f t="shared" si="17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6"/>
        <v>24</v>
      </c>
      <c r="CA31" s="87" t="str">
        <f t="shared" si="18"/>
        <v/>
      </c>
      <c r="CB31" s="87" t="str">
        <f t="shared" si="37"/>
        <v/>
      </c>
      <c r="CC31" s="88" t="str">
        <f t="shared" si="19"/>
        <v/>
      </c>
      <c r="CD31" s="88" t="str">
        <f t="shared" si="20"/>
        <v/>
      </c>
      <c r="CE31" s="89">
        <f t="shared" si="21"/>
        <v>0</v>
      </c>
      <c r="CF31" s="90">
        <f t="shared" si="38"/>
        <v>0</v>
      </c>
      <c r="CG31" s="91">
        <f t="shared" si="39"/>
        <v>0</v>
      </c>
      <c r="CH31" s="87">
        <f t="shared" si="40"/>
        <v>0</v>
      </c>
      <c r="CI31" s="92">
        <f t="shared" si="41"/>
        <v>2.0833333333333332E-2</v>
      </c>
      <c r="CJ31" s="93">
        <f t="shared" si="42"/>
        <v>0</v>
      </c>
      <c r="CK31" s="89">
        <f t="shared" si="43"/>
        <v>0</v>
      </c>
      <c r="CL31" s="90">
        <f t="shared" si="44"/>
        <v>0</v>
      </c>
      <c r="CM31" s="185">
        <f t="shared" si="45"/>
        <v>0</v>
      </c>
      <c r="CN31" s="185">
        <f t="shared" si="46"/>
        <v>0</v>
      </c>
      <c r="CO31" s="185">
        <f t="shared" si="47"/>
        <v>0</v>
      </c>
      <c r="CP31" s="185">
        <f t="shared" si="48"/>
        <v>0</v>
      </c>
      <c r="CQ31" s="91" t="str">
        <f t="shared" si="22"/>
        <v/>
      </c>
      <c r="CR31" s="87">
        <f t="shared" si="23"/>
        <v>0</v>
      </c>
      <c r="CS31" s="87">
        <f t="shared" si="24"/>
        <v>0</v>
      </c>
      <c r="CT31" s="87">
        <f t="shared" si="49"/>
        <v>0</v>
      </c>
      <c r="CU31" s="92">
        <f t="shared" si="25"/>
        <v>0</v>
      </c>
      <c r="CV31" s="326">
        <f t="shared" si="50"/>
        <v>0</v>
      </c>
      <c r="CW31" s="328">
        <f t="shared" si="26"/>
        <v>0</v>
      </c>
      <c r="CX31" s="330">
        <f t="shared" si="51"/>
        <v>1.6666666683338657E-2</v>
      </c>
      <c r="CY31" s="94" t="str">
        <f t="shared" si="52"/>
        <v>+</v>
      </c>
      <c r="CZ31" s="95">
        <f t="shared" si="53"/>
        <v>1.6666666683338657E-2</v>
      </c>
      <c r="DA31" s="96">
        <f t="shared" si="28"/>
        <v>0</v>
      </c>
      <c r="DB31" s="215">
        <f t="shared" si="29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44252</v>
      </c>
      <c r="C32" s="239"/>
      <c r="D32" s="240"/>
      <c r="E32" s="240"/>
      <c r="F32" s="240"/>
      <c r="G32" s="278"/>
      <c r="H32" s="305" t="str">
        <f t="shared" si="30"/>
        <v/>
      </c>
      <c r="I32" s="273" t="str">
        <f t="shared" si="31"/>
        <v/>
      </c>
      <c r="J32" s="312">
        <f t="shared" si="2"/>
        <v>0</v>
      </c>
      <c r="K32" s="313" t="str">
        <f t="shared" si="3"/>
        <v>+</v>
      </c>
      <c r="L32" s="314">
        <f t="shared" si="4"/>
        <v>1.6666666683338657E-2</v>
      </c>
      <c r="M32" s="315">
        <f t="shared" si="32"/>
        <v>0.40000000080012776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3"/>
        <v>44252</v>
      </c>
      <c r="AA32" s="160">
        <f t="shared" si="5"/>
        <v>44252</v>
      </c>
      <c r="AB32" s="160">
        <f t="shared" si="6"/>
        <v>2</v>
      </c>
      <c r="AC32" s="81">
        <f t="shared" si="7"/>
        <v>5</v>
      </c>
      <c r="AD32" s="160">
        <f t="shared" si="8"/>
        <v>0</v>
      </c>
      <c r="AF32" s="27" t="s">
        <v>119</v>
      </c>
      <c r="AG32" s="100"/>
      <c r="AH32" s="82">
        <f t="shared" si="58"/>
        <v>0</v>
      </c>
      <c r="AI32" s="82">
        <f t="shared" si="58"/>
        <v>0</v>
      </c>
      <c r="AJ32" s="82">
        <f t="shared" si="58"/>
        <v>0</v>
      </c>
      <c r="AK32" s="82">
        <f t="shared" si="58"/>
        <v>0</v>
      </c>
      <c r="AL32" s="82">
        <f t="shared" si="58"/>
        <v>0</v>
      </c>
      <c r="AM32" s="82">
        <f t="shared" si="58"/>
        <v>0</v>
      </c>
      <c r="AN32" s="82">
        <f t="shared" si="58"/>
        <v>0</v>
      </c>
      <c r="AO32" s="82">
        <f t="shared" si="58"/>
        <v>0</v>
      </c>
      <c r="AP32" s="82">
        <f t="shared" si="58"/>
        <v>0</v>
      </c>
      <c r="AQ32" s="82">
        <f t="shared" si="58"/>
        <v>0</v>
      </c>
      <c r="AR32" s="82">
        <f t="shared" si="59"/>
        <v>0</v>
      </c>
      <c r="AS32" s="82">
        <f t="shared" si="59"/>
        <v>0</v>
      </c>
      <c r="AT32" s="82">
        <f t="shared" si="59"/>
        <v>0</v>
      </c>
      <c r="AU32" s="82">
        <f t="shared" si="59"/>
        <v>0</v>
      </c>
      <c r="AV32" s="82">
        <f t="shared" si="59"/>
        <v>0</v>
      </c>
      <c r="AW32" s="82">
        <f t="shared" si="59"/>
        <v>0</v>
      </c>
      <c r="AX32" s="82">
        <f t="shared" si="59"/>
        <v>0</v>
      </c>
      <c r="AY32" s="82">
        <f t="shared" si="59"/>
        <v>0</v>
      </c>
      <c r="AZ32" s="82">
        <f t="shared" si="59"/>
        <v>0</v>
      </c>
      <c r="BA32" s="82">
        <f t="shared" si="59"/>
        <v>0</v>
      </c>
      <c r="BB32" s="82">
        <f t="shared" si="60"/>
        <v>0</v>
      </c>
      <c r="BC32" s="82">
        <f t="shared" si="60"/>
        <v>0</v>
      </c>
      <c r="BD32" s="82">
        <f t="shared" si="60"/>
        <v>0</v>
      </c>
      <c r="BE32" s="82">
        <f t="shared" si="60"/>
        <v>0</v>
      </c>
      <c r="BF32" s="82">
        <f t="shared" si="60"/>
        <v>0</v>
      </c>
      <c r="BG32" s="82">
        <f t="shared" si="60"/>
        <v>0</v>
      </c>
      <c r="BH32" s="82">
        <f t="shared" si="60"/>
        <v>0</v>
      </c>
      <c r="BI32" s="82">
        <f t="shared" si="60"/>
        <v>0</v>
      </c>
      <c r="BJ32" s="82">
        <f t="shared" si="60"/>
        <v>0</v>
      </c>
      <c r="BK32" s="83">
        <f t="shared" si="60"/>
        <v>0</v>
      </c>
      <c r="BM32" s="84">
        <f t="shared" si="34"/>
        <v>0</v>
      </c>
      <c r="BN32" s="85">
        <f t="shared" si="35"/>
        <v>0</v>
      </c>
      <c r="BO32" s="84">
        <f t="shared" si="12"/>
        <v>0</v>
      </c>
      <c r="BP32" s="85">
        <f t="shared" si="13"/>
        <v>0</v>
      </c>
      <c r="BQ32" s="186">
        <f t="shared" si="14"/>
        <v>0</v>
      </c>
      <c r="BR32" s="191">
        <f t="shared" si="15"/>
        <v>0</v>
      </c>
      <c r="BS32" s="186">
        <f t="shared" si="16"/>
        <v>0</v>
      </c>
      <c r="BT32" s="195">
        <f t="shared" si="17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6"/>
        <v>25</v>
      </c>
      <c r="CA32" s="87" t="str">
        <f t="shared" si="18"/>
        <v/>
      </c>
      <c r="CB32" s="87" t="str">
        <f t="shared" si="37"/>
        <v/>
      </c>
      <c r="CC32" s="88" t="str">
        <f t="shared" si="19"/>
        <v/>
      </c>
      <c r="CD32" s="88" t="str">
        <f t="shared" si="20"/>
        <v/>
      </c>
      <c r="CE32" s="89">
        <f t="shared" si="21"/>
        <v>0</v>
      </c>
      <c r="CF32" s="90">
        <f t="shared" si="38"/>
        <v>0</v>
      </c>
      <c r="CG32" s="91">
        <f t="shared" si="39"/>
        <v>0</v>
      </c>
      <c r="CH32" s="87">
        <f t="shared" si="40"/>
        <v>0</v>
      </c>
      <c r="CI32" s="92">
        <f t="shared" si="41"/>
        <v>2.0833333333333332E-2</v>
      </c>
      <c r="CJ32" s="93">
        <f t="shared" si="42"/>
        <v>0</v>
      </c>
      <c r="CK32" s="89">
        <f t="shared" si="43"/>
        <v>0</v>
      </c>
      <c r="CL32" s="90">
        <f t="shared" si="44"/>
        <v>0</v>
      </c>
      <c r="CM32" s="185">
        <f t="shared" si="45"/>
        <v>0</v>
      </c>
      <c r="CN32" s="185">
        <f t="shared" si="46"/>
        <v>0</v>
      </c>
      <c r="CO32" s="185">
        <f t="shared" si="47"/>
        <v>0</v>
      </c>
      <c r="CP32" s="185">
        <f t="shared" si="48"/>
        <v>0</v>
      </c>
      <c r="CQ32" s="91" t="str">
        <f t="shared" si="22"/>
        <v/>
      </c>
      <c r="CR32" s="87">
        <f t="shared" si="23"/>
        <v>0</v>
      </c>
      <c r="CS32" s="87">
        <f t="shared" si="24"/>
        <v>0</v>
      </c>
      <c r="CT32" s="87">
        <f t="shared" si="49"/>
        <v>0</v>
      </c>
      <c r="CU32" s="92">
        <f t="shared" si="25"/>
        <v>0</v>
      </c>
      <c r="CV32" s="326">
        <f t="shared" si="50"/>
        <v>0</v>
      </c>
      <c r="CW32" s="328">
        <f t="shared" si="26"/>
        <v>0</v>
      </c>
      <c r="CX32" s="330">
        <f t="shared" si="51"/>
        <v>1.6666666683338657E-2</v>
      </c>
      <c r="CY32" s="94" t="str">
        <f t="shared" si="52"/>
        <v>+</v>
      </c>
      <c r="CZ32" s="95">
        <f t="shared" si="53"/>
        <v>1.6666666683338657E-2</v>
      </c>
      <c r="DA32" s="96">
        <f t="shared" si="28"/>
        <v>0</v>
      </c>
      <c r="DB32" s="215">
        <f t="shared" si="29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4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44253</v>
      </c>
      <c r="C33" s="239"/>
      <c r="D33" s="240"/>
      <c r="E33" s="240"/>
      <c r="F33" s="240"/>
      <c r="G33" s="278"/>
      <c r="H33" s="305" t="str">
        <f t="shared" si="30"/>
        <v/>
      </c>
      <c r="I33" s="273" t="str">
        <f t="shared" si="31"/>
        <v/>
      </c>
      <c r="J33" s="312">
        <f t="shared" si="2"/>
        <v>0</v>
      </c>
      <c r="K33" s="313" t="str">
        <f t="shared" si="3"/>
        <v>+</v>
      </c>
      <c r="L33" s="314">
        <f t="shared" si="4"/>
        <v>1.6666666683338657E-2</v>
      </c>
      <c r="M33" s="315">
        <f t="shared" si="32"/>
        <v>0.40000000080012776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3"/>
        <v>44253</v>
      </c>
      <c r="AA33" s="160">
        <f t="shared" si="5"/>
        <v>44253</v>
      </c>
      <c r="AB33" s="160">
        <f t="shared" si="6"/>
        <v>2</v>
      </c>
      <c r="AC33" s="81">
        <f t="shared" si="7"/>
        <v>6</v>
      </c>
      <c r="AD33" s="160">
        <f t="shared" si="8"/>
        <v>0</v>
      </c>
      <c r="AF33" s="27" t="s">
        <v>119</v>
      </c>
      <c r="AG33" s="100"/>
      <c r="AH33" s="82">
        <f t="shared" si="58"/>
        <v>0</v>
      </c>
      <c r="AI33" s="82">
        <f t="shared" si="58"/>
        <v>0</v>
      </c>
      <c r="AJ33" s="82">
        <f t="shared" si="58"/>
        <v>0</v>
      </c>
      <c r="AK33" s="82">
        <f t="shared" si="58"/>
        <v>0</v>
      </c>
      <c r="AL33" s="82">
        <f t="shared" si="58"/>
        <v>0</v>
      </c>
      <c r="AM33" s="82">
        <f t="shared" si="58"/>
        <v>0</v>
      </c>
      <c r="AN33" s="82">
        <f t="shared" si="58"/>
        <v>0</v>
      </c>
      <c r="AO33" s="82">
        <f t="shared" si="58"/>
        <v>0</v>
      </c>
      <c r="AP33" s="82">
        <f t="shared" si="58"/>
        <v>0</v>
      </c>
      <c r="AQ33" s="82">
        <f t="shared" si="58"/>
        <v>0</v>
      </c>
      <c r="AR33" s="82">
        <f t="shared" si="59"/>
        <v>0</v>
      </c>
      <c r="AS33" s="82">
        <f t="shared" si="59"/>
        <v>0</v>
      </c>
      <c r="AT33" s="82">
        <f t="shared" si="59"/>
        <v>0</v>
      </c>
      <c r="AU33" s="82">
        <f t="shared" si="59"/>
        <v>0</v>
      </c>
      <c r="AV33" s="82">
        <f t="shared" si="59"/>
        <v>0</v>
      </c>
      <c r="AW33" s="82">
        <f t="shared" si="59"/>
        <v>0</v>
      </c>
      <c r="AX33" s="82">
        <f t="shared" si="59"/>
        <v>0</v>
      </c>
      <c r="AY33" s="82">
        <f t="shared" si="59"/>
        <v>0</v>
      </c>
      <c r="AZ33" s="82">
        <f t="shared" si="59"/>
        <v>0</v>
      </c>
      <c r="BA33" s="82">
        <f t="shared" si="59"/>
        <v>0</v>
      </c>
      <c r="BB33" s="82">
        <f t="shared" si="60"/>
        <v>0</v>
      </c>
      <c r="BC33" s="82">
        <f t="shared" si="60"/>
        <v>0</v>
      </c>
      <c r="BD33" s="82">
        <f t="shared" si="60"/>
        <v>0</v>
      </c>
      <c r="BE33" s="82">
        <f t="shared" si="60"/>
        <v>0</v>
      </c>
      <c r="BF33" s="82">
        <f t="shared" si="60"/>
        <v>0</v>
      </c>
      <c r="BG33" s="82">
        <f t="shared" si="60"/>
        <v>0</v>
      </c>
      <c r="BH33" s="82">
        <f t="shared" si="60"/>
        <v>0</v>
      </c>
      <c r="BI33" s="82">
        <f t="shared" si="60"/>
        <v>0</v>
      </c>
      <c r="BJ33" s="82">
        <f t="shared" si="60"/>
        <v>0</v>
      </c>
      <c r="BK33" s="83">
        <f t="shared" si="60"/>
        <v>0</v>
      </c>
      <c r="BM33" s="84">
        <f t="shared" si="34"/>
        <v>0</v>
      </c>
      <c r="BN33" s="85">
        <f t="shared" si="35"/>
        <v>0</v>
      </c>
      <c r="BO33" s="84">
        <f t="shared" si="12"/>
        <v>0</v>
      </c>
      <c r="BP33" s="85">
        <f t="shared" si="13"/>
        <v>0</v>
      </c>
      <c r="BQ33" s="186">
        <f t="shared" si="14"/>
        <v>0</v>
      </c>
      <c r="BR33" s="191">
        <f t="shared" si="15"/>
        <v>0</v>
      </c>
      <c r="BS33" s="186">
        <f t="shared" si="16"/>
        <v>0</v>
      </c>
      <c r="BT33" s="195">
        <f t="shared" si="17"/>
        <v>0</v>
      </c>
      <c r="BU33" s="18"/>
      <c r="BV33" s="27"/>
      <c r="BW33" s="21"/>
      <c r="BX33" s="21"/>
      <c r="BY33" s="21"/>
      <c r="BZ33" s="86">
        <f t="shared" si="36"/>
        <v>26</v>
      </c>
      <c r="CA33" s="87" t="str">
        <f t="shared" si="18"/>
        <v/>
      </c>
      <c r="CB33" s="87" t="str">
        <f t="shared" si="37"/>
        <v/>
      </c>
      <c r="CC33" s="88" t="str">
        <f t="shared" si="19"/>
        <v/>
      </c>
      <c r="CD33" s="88" t="str">
        <f t="shared" si="20"/>
        <v/>
      </c>
      <c r="CE33" s="89">
        <f t="shared" si="21"/>
        <v>0</v>
      </c>
      <c r="CF33" s="90">
        <f t="shared" si="38"/>
        <v>0</v>
      </c>
      <c r="CG33" s="91">
        <f t="shared" si="39"/>
        <v>0</v>
      </c>
      <c r="CH33" s="87">
        <f t="shared" si="40"/>
        <v>0</v>
      </c>
      <c r="CI33" s="92">
        <f t="shared" si="41"/>
        <v>2.0833333333333332E-2</v>
      </c>
      <c r="CJ33" s="93">
        <f t="shared" si="42"/>
        <v>0</v>
      </c>
      <c r="CK33" s="89">
        <f t="shared" si="43"/>
        <v>0</v>
      </c>
      <c r="CL33" s="90">
        <f t="shared" si="44"/>
        <v>0</v>
      </c>
      <c r="CM33" s="185">
        <f t="shared" si="45"/>
        <v>0</v>
      </c>
      <c r="CN33" s="185">
        <f t="shared" si="46"/>
        <v>0</v>
      </c>
      <c r="CO33" s="185">
        <f t="shared" si="47"/>
        <v>0</v>
      </c>
      <c r="CP33" s="185">
        <f t="shared" si="48"/>
        <v>0</v>
      </c>
      <c r="CQ33" s="91" t="str">
        <f t="shared" si="22"/>
        <v/>
      </c>
      <c r="CR33" s="87">
        <f t="shared" si="23"/>
        <v>0</v>
      </c>
      <c r="CS33" s="87">
        <f t="shared" si="24"/>
        <v>0</v>
      </c>
      <c r="CT33" s="87">
        <f t="shared" si="49"/>
        <v>0</v>
      </c>
      <c r="CU33" s="92">
        <f t="shared" si="25"/>
        <v>0</v>
      </c>
      <c r="CV33" s="326">
        <f t="shared" si="50"/>
        <v>0</v>
      </c>
      <c r="CW33" s="328">
        <f t="shared" si="26"/>
        <v>0</v>
      </c>
      <c r="CX33" s="330">
        <f t="shared" si="51"/>
        <v>1.6666666683338657E-2</v>
      </c>
      <c r="CY33" s="94" t="str">
        <f t="shared" si="52"/>
        <v>+</v>
      </c>
      <c r="CZ33" s="95">
        <f t="shared" si="53"/>
        <v>1.6666666683338657E-2</v>
      </c>
      <c r="DA33" s="96">
        <f t="shared" si="28"/>
        <v>0</v>
      </c>
      <c r="DB33" s="215">
        <f t="shared" si="29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4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44254</v>
      </c>
      <c r="C34" s="239"/>
      <c r="D34" s="240"/>
      <c r="E34" s="240"/>
      <c r="F34" s="240"/>
      <c r="G34" s="278"/>
      <c r="H34" s="305">
        <f t="shared" si="30"/>
        <v>21</v>
      </c>
      <c r="I34" s="273" t="str">
        <f t="shared" si="31"/>
        <v/>
      </c>
      <c r="J34" s="312">
        <f t="shared" si="2"/>
        <v>0.31666666666666698</v>
      </c>
      <c r="K34" s="313" t="str">
        <f t="shared" si="3"/>
        <v>+</v>
      </c>
      <c r="L34" s="314">
        <f t="shared" si="4"/>
        <v>1.666666668333899E-2</v>
      </c>
      <c r="M34" s="315">
        <f t="shared" si="32"/>
        <v>0.40000000080013576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3"/>
        <v>44254</v>
      </c>
      <c r="AA34" s="160">
        <f t="shared" si="5"/>
        <v>44254</v>
      </c>
      <c r="AB34" s="160">
        <f t="shared" si="6"/>
        <v>2</v>
      </c>
      <c r="AC34" s="81">
        <f t="shared" si="7"/>
        <v>0</v>
      </c>
      <c r="AD34" s="160">
        <f t="shared" si="8"/>
        <v>0</v>
      </c>
      <c r="AF34" s="27" t="s">
        <v>119</v>
      </c>
      <c r="AG34" s="100"/>
      <c r="AH34" s="82">
        <f t="shared" si="58"/>
        <v>0</v>
      </c>
      <c r="AI34" s="82">
        <f t="shared" si="58"/>
        <v>0</v>
      </c>
      <c r="AJ34" s="82">
        <f t="shared" si="58"/>
        <v>0</v>
      </c>
      <c r="AK34" s="82">
        <f t="shared" si="58"/>
        <v>0</v>
      </c>
      <c r="AL34" s="82">
        <f t="shared" si="58"/>
        <v>0</v>
      </c>
      <c r="AM34" s="82">
        <f t="shared" si="58"/>
        <v>0</v>
      </c>
      <c r="AN34" s="82">
        <f t="shared" si="58"/>
        <v>0</v>
      </c>
      <c r="AO34" s="82">
        <f t="shared" si="58"/>
        <v>0</v>
      </c>
      <c r="AP34" s="82">
        <f t="shared" si="58"/>
        <v>0</v>
      </c>
      <c r="AQ34" s="82">
        <f t="shared" si="58"/>
        <v>0</v>
      </c>
      <c r="AR34" s="82">
        <f t="shared" si="59"/>
        <v>0</v>
      </c>
      <c r="AS34" s="82">
        <f t="shared" si="59"/>
        <v>0</v>
      </c>
      <c r="AT34" s="82">
        <f t="shared" si="59"/>
        <v>0</v>
      </c>
      <c r="AU34" s="82">
        <f t="shared" si="59"/>
        <v>0</v>
      </c>
      <c r="AV34" s="82">
        <f t="shared" si="59"/>
        <v>0</v>
      </c>
      <c r="AW34" s="82">
        <f t="shared" si="59"/>
        <v>0</v>
      </c>
      <c r="AX34" s="82">
        <f t="shared" si="59"/>
        <v>0</v>
      </c>
      <c r="AY34" s="82">
        <f t="shared" si="59"/>
        <v>0</v>
      </c>
      <c r="AZ34" s="82">
        <f t="shared" si="59"/>
        <v>0</v>
      </c>
      <c r="BA34" s="82">
        <f t="shared" si="59"/>
        <v>0</v>
      </c>
      <c r="BB34" s="82">
        <f t="shared" si="60"/>
        <v>0</v>
      </c>
      <c r="BC34" s="82">
        <f t="shared" si="60"/>
        <v>0</v>
      </c>
      <c r="BD34" s="82">
        <f t="shared" si="60"/>
        <v>0</v>
      </c>
      <c r="BE34" s="82">
        <f t="shared" si="60"/>
        <v>0</v>
      </c>
      <c r="BF34" s="82">
        <f t="shared" si="60"/>
        <v>0</v>
      </c>
      <c r="BG34" s="82">
        <f t="shared" si="60"/>
        <v>0</v>
      </c>
      <c r="BH34" s="82">
        <f t="shared" si="60"/>
        <v>0</v>
      </c>
      <c r="BI34" s="82">
        <f t="shared" si="60"/>
        <v>0</v>
      </c>
      <c r="BJ34" s="82">
        <f t="shared" si="60"/>
        <v>0</v>
      </c>
      <c r="BK34" s="83">
        <f t="shared" si="60"/>
        <v>0</v>
      </c>
      <c r="BM34" s="84">
        <f t="shared" si="34"/>
        <v>0</v>
      </c>
      <c r="BN34" s="85">
        <f t="shared" si="35"/>
        <v>0</v>
      </c>
      <c r="BO34" s="84">
        <f t="shared" si="12"/>
        <v>0</v>
      </c>
      <c r="BP34" s="85">
        <f t="shared" si="13"/>
        <v>0</v>
      </c>
      <c r="BQ34" s="186">
        <f t="shared" si="14"/>
        <v>0</v>
      </c>
      <c r="BR34" s="191">
        <f t="shared" si="15"/>
        <v>0</v>
      </c>
      <c r="BS34" s="186">
        <f t="shared" si="16"/>
        <v>0</v>
      </c>
      <c r="BT34" s="195">
        <f t="shared" si="17"/>
        <v>0</v>
      </c>
      <c r="BU34" s="18"/>
      <c r="BV34" s="27"/>
      <c r="BW34" s="21"/>
      <c r="BX34" s="21"/>
      <c r="BY34" s="21"/>
      <c r="BZ34" s="86">
        <f t="shared" si="36"/>
        <v>27</v>
      </c>
      <c r="CA34" s="87" t="str">
        <f t="shared" si="18"/>
        <v/>
      </c>
      <c r="CB34" s="87" t="str">
        <f t="shared" si="37"/>
        <v/>
      </c>
      <c r="CC34" s="88">
        <f t="shared" si="19"/>
        <v>0.31666666666666698</v>
      </c>
      <c r="CD34" s="88" t="str">
        <f t="shared" si="20"/>
        <v/>
      </c>
      <c r="CE34" s="89">
        <f t="shared" si="21"/>
        <v>0</v>
      </c>
      <c r="CF34" s="90">
        <f t="shared" si="38"/>
        <v>0.31666666666666698</v>
      </c>
      <c r="CG34" s="91">
        <f t="shared" si="39"/>
        <v>0</v>
      </c>
      <c r="CH34" s="87">
        <f t="shared" si="40"/>
        <v>0</v>
      </c>
      <c r="CI34" s="92">
        <f t="shared" si="41"/>
        <v>0</v>
      </c>
      <c r="CJ34" s="93">
        <f t="shared" si="42"/>
        <v>0</v>
      </c>
      <c r="CK34" s="89">
        <f t="shared" si="43"/>
        <v>0</v>
      </c>
      <c r="CL34" s="90">
        <f t="shared" si="44"/>
        <v>0</v>
      </c>
      <c r="CM34" s="185">
        <f t="shared" si="45"/>
        <v>0</v>
      </c>
      <c r="CN34" s="185">
        <f t="shared" si="46"/>
        <v>0</v>
      </c>
      <c r="CO34" s="185">
        <f t="shared" si="47"/>
        <v>0</v>
      </c>
      <c r="CP34" s="185">
        <f t="shared" si="48"/>
        <v>0</v>
      </c>
      <c r="CQ34" s="91" t="str">
        <f t="shared" si="22"/>
        <v/>
      </c>
      <c r="CR34" s="87">
        <f t="shared" si="23"/>
        <v>0</v>
      </c>
      <c r="CS34" s="87">
        <f t="shared" si="24"/>
        <v>0</v>
      </c>
      <c r="CT34" s="87">
        <f t="shared" si="49"/>
        <v>0.31666666666666698</v>
      </c>
      <c r="CU34" s="92">
        <f t="shared" si="25"/>
        <v>0.31666666666666698</v>
      </c>
      <c r="CV34" s="326">
        <f t="shared" si="50"/>
        <v>0.31666666666666698</v>
      </c>
      <c r="CW34" s="328">
        <f t="shared" si="26"/>
        <v>3.3306690738754696E-16</v>
      </c>
      <c r="CX34" s="330">
        <f t="shared" si="51"/>
        <v>1.666666668333899E-2</v>
      </c>
      <c r="CY34" s="94" t="str">
        <f t="shared" si="52"/>
        <v>+</v>
      </c>
      <c r="CZ34" s="95">
        <f t="shared" si="53"/>
        <v>1.666666668333899E-2</v>
      </c>
      <c r="DA34" s="96">
        <f t="shared" si="28"/>
        <v>0</v>
      </c>
      <c r="DB34" s="215">
        <f t="shared" si="29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4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44255</v>
      </c>
      <c r="C35" s="239"/>
      <c r="D35" s="240"/>
      <c r="E35" s="240"/>
      <c r="F35" s="240"/>
      <c r="G35" s="278"/>
      <c r="H35" s="305">
        <f t="shared" si="30"/>
        <v>1</v>
      </c>
      <c r="I35" s="273" t="str">
        <f t="shared" si="31"/>
        <v/>
      </c>
      <c r="J35" s="312">
        <f t="shared" si="2"/>
        <v>0.31666666666666698</v>
      </c>
      <c r="K35" s="313" t="str">
        <f t="shared" si="3"/>
        <v>+</v>
      </c>
      <c r="L35" s="314">
        <f t="shared" si="4"/>
        <v>1.6666666683339323E-2</v>
      </c>
      <c r="M35" s="315">
        <f t="shared" si="32"/>
        <v>0.40000000080014375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3"/>
        <v>44255</v>
      </c>
      <c r="AA35" s="160">
        <f t="shared" si="5"/>
        <v>44255</v>
      </c>
      <c r="AB35" s="160">
        <f t="shared" si="6"/>
        <v>2</v>
      </c>
      <c r="AC35" s="81">
        <f t="shared" si="7"/>
        <v>1</v>
      </c>
      <c r="AD35" s="160">
        <f t="shared" si="8"/>
        <v>0</v>
      </c>
      <c r="AF35" s="27" t="s">
        <v>119</v>
      </c>
      <c r="AG35" s="100"/>
      <c r="AH35" s="82">
        <f t="shared" si="58"/>
        <v>0</v>
      </c>
      <c r="AI35" s="82">
        <f t="shared" si="58"/>
        <v>0</v>
      </c>
      <c r="AJ35" s="82">
        <f t="shared" si="58"/>
        <v>0</v>
      </c>
      <c r="AK35" s="82">
        <f t="shared" si="58"/>
        <v>0</v>
      </c>
      <c r="AL35" s="82">
        <f t="shared" si="58"/>
        <v>0</v>
      </c>
      <c r="AM35" s="82">
        <f t="shared" si="58"/>
        <v>0</v>
      </c>
      <c r="AN35" s="82">
        <f t="shared" si="58"/>
        <v>0</v>
      </c>
      <c r="AO35" s="82">
        <f t="shared" si="58"/>
        <v>0</v>
      </c>
      <c r="AP35" s="82">
        <f t="shared" si="58"/>
        <v>0</v>
      </c>
      <c r="AQ35" s="82">
        <f t="shared" si="58"/>
        <v>0</v>
      </c>
      <c r="AR35" s="82">
        <f t="shared" si="59"/>
        <v>0</v>
      </c>
      <c r="AS35" s="82">
        <f t="shared" si="59"/>
        <v>0</v>
      </c>
      <c r="AT35" s="82">
        <f t="shared" si="59"/>
        <v>0</v>
      </c>
      <c r="AU35" s="82">
        <f t="shared" si="59"/>
        <v>0</v>
      </c>
      <c r="AV35" s="82">
        <f t="shared" si="59"/>
        <v>0</v>
      </c>
      <c r="AW35" s="82">
        <f t="shared" si="59"/>
        <v>0</v>
      </c>
      <c r="AX35" s="82">
        <f t="shared" si="59"/>
        <v>0</v>
      </c>
      <c r="AY35" s="82">
        <f t="shared" si="59"/>
        <v>0</v>
      </c>
      <c r="AZ35" s="82">
        <f t="shared" si="59"/>
        <v>0</v>
      </c>
      <c r="BA35" s="82">
        <f t="shared" si="59"/>
        <v>0</v>
      </c>
      <c r="BB35" s="82">
        <f t="shared" si="60"/>
        <v>0</v>
      </c>
      <c r="BC35" s="82">
        <f t="shared" si="60"/>
        <v>0</v>
      </c>
      <c r="BD35" s="82">
        <f t="shared" si="60"/>
        <v>0</v>
      </c>
      <c r="BE35" s="82">
        <f t="shared" si="60"/>
        <v>0</v>
      </c>
      <c r="BF35" s="82">
        <f t="shared" si="60"/>
        <v>0</v>
      </c>
      <c r="BG35" s="82">
        <f t="shared" si="60"/>
        <v>0</v>
      </c>
      <c r="BH35" s="82">
        <f t="shared" si="60"/>
        <v>0</v>
      </c>
      <c r="BI35" s="82">
        <f t="shared" si="60"/>
        <v>0</v>
      </c>
      <c r="BJ35" s="82">
        <f t="shared" si="60"/>
        <v>0</v>
      </c>
      <c r="BK35" s="83">
        <f t="shared" si="60"/>
        <v>0</v>
      </c>
      <c r="BM35" s="84">
        <f t="shared" si="34"/>
        <v>0</v>
      </c>
      <c r="BN35" s="85">
        <f t="shared" si="35"/>
        <v>0</v>
      </c>
      <c r="BO35" s="84">
        <f t="shared" si="12"/>
        <v>0</v>
      </c>
      <c r="BP35" s="85">
        <f t="shared" si="13"/>
        <v>0</v>
      </c>
      <c r="BQ35" s="186">
        <f t="shared" si="14"/>
        <v>0</v>
      </c>
      <c r="BR35" s="191">
        <f t="shared" si="15"/>
        <v>0</v>
      </c>
      <c r="BS35" s="186">
        <f t="shared" si="16"/>
        <v>0</v>
      </c>
      <c r="BT35" s="195">
        <f t="shared" si="17"/>
        <v>0</v>
      </c>
      <c r="BU35" s="18"/>
      <c r="BV35" s="27"/>
      <c r="BW35" s="21"/>
      <c r="BX35" s="21"/>
      <c r="BY35" s="21"/>
      <c r="BZ35" s="86">
        <f t="shared" si="36"/>
        <v>28</v>
      </c>
      <c r="CA35" s="87" t="str">
        <f t="shared" si="18"/>
        <v/>
      </c>
      <c r="CB35" s="87" t="str">
        <f t="shared" si="37"/>
        <v/>
      </c>
      <c r="CC35" s="88">
        <f t="shared" si="19"/>
        <v>0.31666666666666698</v>
      </c>
      <c r="CD35" s="88" t="str">
        <f t="shared" si="20"/>
        <v/>
      </c>
      <c r="CE35" s="89">
        <f t="shared" si="21"/>
        <v>0</v>
      </c>
      <c r="CF35" s="90">
        <f t="shared" si="38"/>
        <v>0.31666666666666698</v>
      </c>
      <c r="CG35" s="91">
        <f t="shared" si="39"/>
        <v>0</v>
      </c>
      <c r="CH35" s="87">
        <f t="shared" si="40"/>
        <v>0</v>
      </c>
      <c r="CI35" s="92">
        <f t="shared" si="41"/>
        <v>0</v>
      </c>
      <c r="CJ35" s="93">
        <f t="shared" si="42"/>
        <v>0</v>
      </c>
      <c r="CK35" s="89">
        <f t="shared" si="43"/>
        <v>0</v>
      </c>
      <c r="CL35" s="90">
        <f t="shared" si="44"/>
        <v>0</v>
      </c>
      <c r="CM35" s="185">
        <f t="shared" si="45"/>
        <v>0</v>
      </c>
      <c r="CN35" s="185">
        <f t="shared" si="46"/>
        <v>0</v>
      </c>
      <c r="CO35" s="185">
        <f t="shared" si="47"/>
        <v>0</v>
      </c>
      <c r="CP35" s="185">
        <f t="shared" si="48"/>
        <v>0</v>
      </c>
      <c r="CQ35" s="91" t="str">
        <f t="shared" si="22"/>
        <v/>
      </c>
      <c r="CR35" s="87">
        <f t="shared" si="23"/>
        <v>0</v>
      </c>
      <c r="CS35" s="87">
        <f t="shared" si="24"/>
        <v>0</v>
      </c>
      <c r="CT35" s="87">
        <f t="shared" si="49"/>
        <v>0.31666666666666698</v>
      </c>
      <c r="CU35" s="92">
        <f t="shared" si="25"/>
        <v>0.31666666666666698</v>
      </c>
      <c r="CV35" s="326">
        <f t="shared" si="50"/>
        <v>0.31666666666666698</v>
      </c>
      <c r="CW35" s="328">
        <f t="shared" si="26"/>
        <v>3.3306690738754696E-16</v>
      </c>
      <c r="CX35" s="330">
        <f t="shared" si="51"/>
        <v>1.6666666683339323E-2</v>
      </c>
      <c r="CY35" s="94" t="str">
        <f t="shared" si="52"/>
        <v>+</v>
      </c>
      <c r="CZ35" s="95">
        <f t="shared" si="53"/>
        <v>1.6666666683339323E-2</v>
      </c>
      <c r="DA35" s="96">
        <f t="shared" si="28"/>
        <v>0</v>
      </c>
      <c r="DB35" s="215">
        <f t="shared" si="29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4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 t="str">
        <f>IF(AB36&lt;&gt;$AB$8,"",DAY(Z36))</f>
        <v/>
      </c>
      <c r="B36" s="323" t="str">
        <f>IF(AB36&lt;&gt;$AB$8,"",Z36)</f>
        <v/>
      </c>
      <c r="C36" s="239"/>
      <c r="D36" s="240"/>
      <c r="E36" s="240"/>
      <c r="F36" s="240"/>
      <c r="G36" s="278"/>
      <c r="H36" s="305" t="str">
        <f t="shared" si="30"/>
        <v/>
      </c>
      <c r="I36" s="273" t="str">
        <f t="shared" si="31"/>
        <v/>
      </c>
      <c r="J36" s="312">
        <f t="shared" si="2"/>
        <v>0</v>
      </c>
      <c r="K36" s="313" t="str">
        <f t="shared" si="3"/>
        <v>+</v>
      </c>
      <c r="L36" s="314">
        <f t="shared" si="4"/>
        <v>1.6666666683339323E-2</v>
      </c>
      <c r="M36" s="315">
        <f t="shared" si="32"/>
        <v>0.40000000080014375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3"/>
        <v>44256</v>
      </c>
      <c r="AA36" s="160" t="str">
        <f>IF(AB36&lt;&gt;$AB$8,"",Z36)</f>
        <v/>
      </c>
      <c r="AB36" s="160">
        <f t="shared" si="6"/>
        <v>3</v>
      </c>
      <c r="AC36" s="81">
        <f t="shared" si="7"/>
        <v>2</v>
      </c>
      <c r="AD36" s="160">
        <f t="shared" si="8"/>
        <v>0</v>
      </c>
      <c r="AF36" s="27" t="s">
        <v>119</v>
      </c>
      <c r="AG36" s="100"/>
      <c r="AH36" s="82">
        <f t="shared" si="58"/>
        <v>0</v>
      </c>
      <c r="AI36" s="82">
        <f t="shared" si="58"/>
        <v>0</v>
      </c>
      <c r="AJ36" s="82">
        <f t="shared" si="58"/>
        <v>0</v>
      </c>
      <c r="AK36" s="82">
        <f t="shared" si="58"/>
        <v>0</v>
      </c>
      <c r="AL36" s="82">
        <f t="shared" si="58"/>
        <v>0</v>
      </c>
      <c r="AM36" s="82">
        <f t="shared" si="58"/>
        <v>0</v>
      </c>
      <c r="AN36" s="82">
        <f t="shared" si="58"/>
        <v>0</v>
      </c>
      <c r="AO36" s="82">
        <f t="shared" si="58"/>
        <v>0</v>
      </c>
      <c r="AP36" s="82">
        <f t="shared" si="58"/>
        <v>0</v>
      </c>
      <c r="AQ36" s="82">
        <f t="shared" si="58"/>
        <v>0</v>
      </c>
      <c r="AR36" s="82">
        <f t="shared" si="59"/>
        <v>0</v>
      </c>
      <c r="AS36" s="82">
        <f t="shared" si="59"/>
        <v>0</v>
      </c>
      <c r="AT36" s="82">
        <f t="shared" si="59"/>
        <v>0</v>
      </c>
      <c r="AU36" s="82">
        <f t="shared" si="59"/>
        <v>0</v>
      </c>
      <c r="AV36" s="82">
        <f t="shared" si="59"/>
        <v>0</v>
      </c>
      <c r="AW36" s="82">
        <f t="shared" si="59"/>
        <v>0</v>
      </c>
      <c r="AX36" s="82">
        <f t="shared" si="59"/>
        <v>0</v>
      </c>
      <c r="AY36" s="82">
        <f t="shared" si="59"/>
        <v>0</v>
      </c>
      <c r="AZ36" s="82">
        <f t="shared" si="59"/>
        <v>0</v>
      </c>
      <c r="BA36" s="82">
        <f t="shared" si="59"/>
        <v>0</v>
      </c>
      <c r="BB36" s="82">
        <f t="shared" si="60"/>
        <v>0</v>
      </c>
      <c r="BC36" s="82">
        <f t="shared" si="60"/>
        <v>0</v>
      </c>
      <c r="BD36" s="82">
        <f t="shared" si="60"/>
        <v>0</v>
      </c>
      <c r="BE36" s="82">
        <f t="shared" si="60"/>
        <v>0</v>
      </c>
      <c r="BF36" s="82">
        <f t="shared" si="60"/>
        <v>0</v>
      </c>
      <c r="BG36" s="82">
        <f t="shared" si="60"/>
        <v>0</v>
      </c>
      <c r="BH36" s="82">
        <f t="shared" si="60"/>
        <v>0</v>
      </c>
      <c r="BI36" s="82">
        <f t="shared" si="60"/>
        <v>0</v>
      </c>
      <c r="BJ36" s="82">
        <f t="shared" si="60"/>
        <v>0</v>
      </c>
      <c r="BK36" s="83">
        <f t="shared" si="60"/>
        <v>0</v>
      </c>
      <c r="BM36" s="84">
        <f t="shared" si="34"/>
        <v>0</v>
      </c>
      <c r="BN36" s="85">
        <f t="shared" si="35"/>
        <v>0</v>
      </c>
      <c r="BO36" s="84">
        <f t="shared" si="12"/>
        <v>0</v>
      </c>
      <c r="BP36" s="85">
        <f t="shared" si="13"/>
        <v>0</v>
      </c>
      <c r="BQ36" s="186">
        <f t="shared" si="14"/>
        <v>0</v>
      </c>
      <c r="BR36" s="191">
        <f t="shared" si="15"/>
        <v>0</v>
      </c>
      <c r="BS36" s="186">
        <f t="shared" si="16"/>
        <v>0</v>
      </c>
      <c r="BT36" s="195">
        <f t="shared" si="17"/>
        <v>0</v>
      </c>
      <c r="BU36" s="18"/>
      <c r="BV36" s="27"/>
      <c r="BW36" s="21"/>
      <c r="BX36" s="21"/>
      <c r="BY36" s="21"/>
      <c r="BZ36" s="86" t="str">
        <f t="shared" si="36"/>
        <v/>
      </c>
      <c r="CA36" s="87" t="str">
        <f t="shared" si="18"/>
        <v/>
      </c>
      <c r="CB36" s="87" t="str">
        <f t="shared" si="37"/>
        <v/>
      </c>
      <c r="CC36" s="88" t="str">
        <f t="shared" si="19"/>
        <v/>
      </c>
      <c r="CD36" s="88" t="str">
        <f t="shared" si="20"/>
        <v/>
      </c>
      <c r="CE36" s="89">
        <f t="shared" si="21"/>
        <v>0</v>
      </c>
      <c r="CF36" s="90">
        <f t="shared" si="38"/>
        <v>0</v>
      </c>
      <c r="CG36" s="91">
        <f t="shared" si="39"/>
        <v>0</v>
      </c>
      <c r="CH36" s="87">
        <f t="shared" si="40"/>
        <v>0</v>
      </c>
      <c r="CI36" s="92">
        <f t="shared" si="41"/>
        <v>2.0833333333333332E-2</v>
      </c>
      <c r="CJ36" s="93">
        <f t="shared" si="42"/>
        <v>0</v>
      </c>
      <c r="CK36" s="89">
        <f t="shared" si="43"/>
        <v>0</v>
      </c>
      <c r="CL36" s="90">
        <f t="shared" si="44"/>
        <v>0</v>
      </c>
      <c r="CM36" s="185">
        <f t="shared" si="45"/>
        <v>0</v>
      </c>
      <c r="CN36" s="185">
        <f t="shared" si="46"/>
        <v>0</v>
      </c>
      <c r="CO36" s="185">
        <f t="shared" si="47"/>
        <v>0</v>
      </c>
      <c r="CP36" s="185">
        <f t="shared" si="48"/>
        <v>0</v>
      </c>
      <c r="CQ36" s="91" t="str">
        <f t="shared" si="22"/>
        <v/>
      </c>
      <c r="CR36" s="87">
        <f t="shared" si="23"/>
        <v>0</v>
      </c>
      <c r="CS36" s="87">
        <f t="shared" si="24"/>
        <v>0</v>
      </c>
      <c r="CT36" s="87">
        <f t="shared" si="49"/>
        <v>0</v>
      </c>
      <c r="CU36" s="92">
        <f t="shared" si="25"/>
        <v>0</v>
      </c>
      <c r="CV36" s="326">
        <f t="shared" si="50"/>
        <v>0</v>
      </c>
      <c r="CW36" s="328">
        <f t="shared" si="26"/>
        <v>0</v>
      </c>
      <c r="CX36" s="330">
        <f t="shared" si="51"/>
        <v>1.6666666683339323E-2</v>
      </c>
      <c r="CY36" s="94" t="str">
        <f t="shared" si="52"/>
        <v>+</v>
      </c>
      <c r="CZ36" s="95">
        <f t="shared" si="53"/>
        <v>1.6666666683339323E-2</v>
      </c>
      <c r="DA36" s="96">
        <f t="shared" si="28"/>
        <v>0</v>
      </c>
      <c r="DB36" s="215">
        <f t="shared" si="29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4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 t="str">
        <f>IF(AB37&lt;&gt;$AB$8,"",DAY(Z37))</f>
        <v/>
      </c>
      <c r="B37" s="323" t="str">
        <f>IF(AB37&lt;&gt;$AB$8,"",Z37)</f>
        <v/>
      </c>
      <c r="C37" s="239"/>
      <c r="D37" s="240"/>
      <c r="E37" s="240"/>
      <c r="F37" s="240"/>
      <c r="G37" s="278"/>
      <c r="H37" s="305" t="str">
        <f t="shared" si="30"/>
        <v/>
      </c>
      <c r="I37" s="273" t="str">
        <f t="shared" si="31"/>
        <v/>
      </c>
      <c r="J37" s="312">
        <f t="shared" si="2"/>
        <v>0</v>
      </c>
      <c r="K37" s="313" t="str">
        <f t="shared" si="3"/>
        <v>+</v>
      </c>
      <c r="L37" s="314">
        <f t="shared" si="4"/>
        <v>1.6666666683339323E-2</v>
      </c>
      <c r="M37" s="315">
        <f t="shared" si="32"/>
        <v>0.40000000080014375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3"/>
        <v>44257</v>
      </c>
      <c r="AA37" s="160" t="str">
        <f>IF(AB37&lt;&gt;$AB$8,"",Z37)</f>
        <v/>
      </c>
      <c r="AB37" s="160">
        <f t="shared" si="6"/>
        <v>3</v>
      </c>
      <c r="AC37" s="81">
        <f t="shared" si="7"/>
        <v>3</v>
      </c>
      <c r="AD37" s="160">
        <f t="shared" si="8"/>
        <v>0</v>
      </c>
      <c r="AF37" s="27" t="s">
        <v>119</v>
      </c>
      <c r="AG37" s="100"/>
      <c r="AH37" s="82">
        <f t="shared" si="58"/>
        <v>0</v>
      </c>
      <c r="AI37" s="82">
        <f t="shared" si="58"/>
        <v>0</v>
      </c>
      <c r="AJ37" s="82">
        <f t="shared" si="58"/>
        <v>0</v>
      </c>
      <c r="AK37" s="82">
        <f t="shared" si="58"/>
        <v>0</v>
      </c>
      <c r="AL37" s="82">
        <f t="shared" si="58"/>
        <v>0</v>
      </c>
      <c r="AM37" s="82">
        <f t="shared" si="58"/>
        <v>0</v>
      </c>
      <c r="AN37" s="82">
        <f t="shared" si="58"/>
        <v>0</v>
      </c>
      <c r="AO37" s="82">
        <f t="shared" si="58"/>
        <v>0</v>
      </c>
      <c r="AP37" s="82">
        <f t="shared" si="58"/>
        <v>0</v>
      </c>
      <c r="AQ37" s="82">
        <f t="shared" si="58"/>
        <v>0</v>
      </c>
      <c r="AR37" s="82">
        <f t="shared" si="59"/>
        <v>0</v>
      </c>
      <c r="AS37" s="82">
        <f t="shared" si="59"/>
        <v>0</v>
      </c>
      <c r="AT37" s="82">
        <f t="shared" si="59"/>
        <v>0</v>
      </c>
      <c r="AU37" s="82">
        <f t="shared" si="59"/>
        <v>0</v>
      </c>
      <c r="AV37" s="82">
        <f t="shared" si="59"/>
        <v>0</v>
      </c>
      <c r="AW37" s="82">
        <f t="shared" si="59"/>
        <v>0</v>
      </c>
      <c r="AX37" s="82">
        <f t="shared" si="59"/>
        <v>0</v>
      </c>
      <c r="AY37" s="82">
        <f t="shared" si="59"/>
        <v>0</v>
      </c>
      <c r="AZ37" s="82">
        <f t="shared" si="59"/>
        <v>0</v>
      </c>
      <c r="BA37" s="82">
        <f t="shared" si="59"/>
        <v>0</v>
      </c>
      <c r="BB37" s="82">
        <f t="shared" si="60"/>
        <v>0</v>
      </c>
      <c r="BC37" s="82">
        <f t="shared" si="60"/>
        <v>0</v>
      </c>
      <c r="BD37" s="82">
        <f t="shared" si="60"/>
        <v>0</v>
      </c>
      <c r="BE37" s="82">
        <f t="shared" si="60"/>
        <v>0</v>
      </c>
      <c r="BF37" s="82">
        <f t="shared" si="60"/>
        <v>0</v>
      </c>
      <c r="BG37" s="82">
        <f t="shared" si="60"/>
        <v>0</v>
      </c>
      <c r="BH37" s="82">
        <f t="shared" si="60"/>
        <v>0</v>
      </c>
      <c r="BI37" s="82">
        <f t="shared" si="60"/>
        <v>0</v>
      </c>
      <c r="BJ37" s="82">
        <f t="shared" si="60"/>
        <v>0</v>
      </c>
      <c r="BK37" s="83">
        <f t="shared" si="60"/>
        <v>0</v>
      </c>
      <c r="BM37" s="84">
        <f t="shared" si="34"/>
        <v>0</v>
      </c>
      <c r="BN37" s="85">
        <f t="shared" si="35"/>
        <v>0</v>
      </c>
      <c r="BO37" s="84">
        <f t="shared" si="12"/>
        <v>0</v>
      </c>
      <c r="BP37" s="85">
        <f t="shared" si="13"/>
        <v>0</v>
      </c>
      <c r="BQ37" s="186">
        <f t="shared" si="14"/>
        <v>0</v>
      </c>
      <c r="BR37" s="191">
        <f t="shared" si="15"/>
        <v>0</v>
      </c>
      <c r="BS37" s="186">
        <f t="shared" si="16"/>
        <v>0</v>
      </c>
      <c r="BT37" s="195">
        <f t="shared" si="17"/>
        <v>0</v>
      </c>
      <c r="BU37" s="18"/>
      <c r="BV37" s="27"/>
      <c r="BW37" s="21"/>
      <c r="BX37" s="21"/>
      <c r="BY37" s="21"/>
      <c r="BZ37" s="86" t="str">
        <f t="shared" si="36"/>
        <v/>
      </c>
      <c r="CA37" s="87" t="str">
        <f t="shared" si="18"/>
        <v/>
      </c>
      <c r="CB37" s="87" t="str">
        <f t="shared" si="37"/>
        <v/>
      </c>
      <c r="CC37" s="88" t="str">
        <f t="shared" si="19"/>
        <v/>
      </c>
      <c r="CD37" s="88" t="str">
        <f t="shared" si="20"/>
        <v/>
      </c>
      <c r="CE37" s="89">
        <f t="shared" si="21"/>
        <v>0</v>
      </c>
      <c r="CF37" s="90">
        <f t="shared" si="38"/>
        <v>0</v>
      </c>
      <c r="CG37" s="91">
        <f t="shared" si="39"/>
        <v>0</v>
      </c>
      <c r="CH37" s="87">
        <f t="shared" si="40"/>
        <v>0</v>
      </c>
      <c r="CI37" s="92">
        <f t="shared" si="41"/>
        <v>2.0833333333333332E-2</v>
      </c>
      <c r="CJ37" s="93">
        <f t="shared" si="42"/>
        <v>0</v>
      </c>
      <c r="CK37" s="89">
        <f t="shared" si="43"/>
        <v>0</v>
      </c>
      <c r="CL37" s="90">
        <f t="shared" si="44"/>
        <v>0</v>
      </c>
      <c r="CM37" s="185">
        <f t="shared" si="45"/>
        <v>0</v>
      </c>
      <c r="CN37" s="185">
        <f t="shared" si="46"/>
        <v>0</v>
      </c>
      <c r="CO37" s="185">
        <f t="shared" si="47"/>
        <v>0</v>
      </c>
      <c r="CP37" s="185">
        <f t="shared" si="48"/>
        <v>0</v>
      </c>
      <c r="CQ37" s="91" t="str">
        <f t="shared" si="22"/>
        <v/>
      </c>
      <c r="CR37" s="87">
        <f t="shared" si="23"/>
        <v>0</v>
      </c>
      <c r="CS37" s="87">
        <f t="shared" si="24"/>
        <v>0</v>
      </c>
      <c r="CT37" s="87">
        <f t="shared" si="49"/>
        <v>0</v>
      </c>
      <c r="CU37" s="92">
        <f t="shared" si="25"/>
        <v>0</v>
      </c>
      <c r="CV37" s="326">
        <f t="shared" si="50"/>
        <v>0</v>
      </c>
      <c r="CW37" s="328">
        <f t="shared" si="26"/>
        <v>0</v>
      </c>
      <c r="CX37" s="330">
        <f t="shared" si="51"/>
        <v>1.6666666683339323E-2</v>
      </c>
      <c r="CY37" s="94" t="str">
        <f t="shared" si="52"/>
        <v>+</v>
      </c>
      <c r="CZ37" s="95">
        <f t="shared" si="53"/>
        <v>1.6666666683339323E-2</v>
      </c>
      <c r="DA37" s="96">
        <f t="shared" si="28"/>
        <v>0</v>
      </c>
      <c r="DB37" s="215">
        <f t="shared" si="29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4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30"/>
        <v/>
      </c>
      <c r="I38" s="276" t="str">
        <f t="shared" si="31"/>
        <v/>
      </c>
      <c r="J38" s="316">
        <f t="shared" si="2"/>
        <v>0</v>
      </c>
      <c r="K38" s="317" t="str">
        <f t="shared" si="3"/>
        <v>+</v>
      </c>
      <c r="L38" s="318">
        <f t="shared" si="4"/>
        <v>1.6666666683339323E-2</v>
      </c>
      <c r="M38" s="319">
        <f t="shared" si="32"/>
        <v>0.40000000080014375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3"/>
        <v>44258</v>
      </c>
      <c r="AA38" s="161" t="str">
        <f>IF(AB38&lt;&gt;$AB$8,"",Z38)</f>
        <v/>
      </c>
      <c r="AB38" s="161">
        <f t="shared" si="6"/>
        <v>3</v>
      </c>
      <c r="AC38" s="106">
        <f t="shared" si="7"/>
        <v>4</v>
      </c>
      <c r="AD38" s="160">
        <f t="shared" si="8"/>
        <v>0</v>
      </c>
      <c r="AF38" s="27" t="s">
        <v>119</v>
      </c>
      <c r="AG38" s="100"/>
      <c r="AH38" s="82">
        <f t="shared" si="58"/>
        <v>0</v>
      </c>
      <c r="AI38" s="82">
        <f t="shared" si="58"/>
        <v>0</v>
      </c>
      <c r="AJ38" s="82">
        <f t="shared" si="58"/>
        <v>0</v>
      </c>
      <c r="AK38" s="82">
        <f t="shared" si="58"/>
        <v>0</v>
      </c>
      <c r="AL38" s="82">
        <f t="shared" si="58"/>
        <v>0</v>
      </c>
      <c r="AM38" s="82">
        <f t="shared" si="58"/>
        <v>0</v>
      </c>
      <c r="AN38" s="82">
        <f t="shared" si="58"/>
        <v>0</v>
      </c>
      <c r="AO38" s="82">
        <f t="shared" si="58"/>
        <v>0</v>
      </c>
      <c r="AP38" s="82">
        <f t="shared" si="58"/>
        <v>0</v>
      </c>
      <c r="AQ38" s="82">
        <f t="shared" si="58"/>
        <v>0</v>
      </c>
      <c r="AR38" s="82">
        <f t="shared" si="59"/>
        <v>0</v>
      </c>
      <c r="AS38" s="82">
        <f t="shared" si="59"/>
        <v>0</v>
      </c>
      <c r="AT38" s="82">
        <f t="shared" si="59"/>
        <v>0</v>
      </c>
      <c r="AU38" s="82">
        <f t="shared" si="59"/>
        <v>0</v>
      </c>
      <c r="AV38" s="82">
        <f t="shared" si="59"/>
        <v>0</v>
      </c>
      <c r="AW38" s="82">
        <f t="shared" si="59"/>
        <v>0</v>
      </c>
      <c r="AX38" s="82">
        <f t="shared" si="59"/>
        <v>0</v>
      </c>
      <c r="AY38" s="82">
        <f t="shared" si="59"/>
        <v>0</v>
      </c>
      <c r="AZ38" s="82">
        <f t="shared" si="59"/>
        <v>0</v>
      </c>
      <c r="BA38" s="82">
        <f t="shared" si="59"/>
        <v>0</v>
      </c>
      <c r="BB38" s="82">
        <f t="shared" si="60"/>
        <v>0</v>
      </c>
      <c r="BC38" s="82">
        <f t="shared" si="60"/>
        <v>0</v>
      </c>
      <c r="BD38" s="82">
        <f t="shared" si="60"/>
        <v>0</v>
      </c>
      <c r="BE38" s="82">
        <f t="shared" si="60"/>
        <v>0</v>
      </c>
      <c r="BF38" s="82">
        <f t="shared" si="60"/>
        <v>0</v>
      </c>
      <c r="BG38" s="82">
        <f t="shared" si="60"/>
        <v>0</v>
      </c>
      <c r="BH38" s="82">
        <f t="shared" si="60"/>
        <v>0</v>
      </c>
      <c r="BI38" s="82">
        <f t="shared" si="60"/>
        <v>0</v>
      </c>
      <c r="BJ38" s="82">
        <f t="shared" si="60"/>
        <v>0</v>
      </c>
      <c r="BK38" s="83">
        <f t="shared" si="60"/>
        <v>0</v>
      </c>
      <c r="BM38" s="65">
        <f t="shared" si="34"/>
        <v>0</v>
      </c>
      <c r="BN38" s="66">
        <f t="shared" si="35"/>
        <v>0</v>
      </c>
      <c r="BO38" s="65">
        <f t="shared" si="12"/>
        <v>0</v>
      </c>
      <c r="BP38" s="66">
        <f t="shared" si="13"/>
        <v>0</v>
      </c>
      <c r="BQ38" s="192">
        <f t="shared" si="14"/>
        <v>0</v>
      </c>
      <c r="BR38" s="193">
        <f t="shared" si="15"/>
        <v>0</v>
      </c>
      <c r="BS38" s="192">
        <f t="shared" si="16"/>
        <v>0</v>
      </c>
      <c r="BT38" s="196">
        <f t="shared" si="17"/>
        <v>0</v>
      </c>
      <c r="BU38" s="18"/>
      <c r="BV38" s="27"/>
      <c r="BW38" s="21"/>
      <c r="BX38" s="21"/>
      <c r="BY38" s="21"/>
      <c r="BZ38" s="107" t="str">
        <f t="shared" si="36"/>
        <v/>
      </c>
      <c r="CA38" s="108" t="str">
        <f t="shared" si="18"/>
        <v/>
      </c>
      <c r="CB38" s="87" t="str">
        <f t="shared" si="37"/>
        <v/>
      </c>
      <c r="CC38" s="88" t="str">
        <f t="shared" si="19"/>
        <v/>
      </c>
      <c r="CD38" s="88" t="str">
        <f t="shared" si="20"/>
        <v/>
      </c>
      <c r="CE38" s="89">
        <f t="shared" si="21"/>
        <v>0</v>
      </c>
      <c r="CF38" s="110">
        <f t="shared" si="38"/>
        <v>0</v>
      </c>
      <c r="CG38" s="111">
        <f t="shared" si="39"/>
        <v>0</v>
      </c>
      <c r="CH38" s="112">
        <f t="shared" si="40"/>
        <v>0</v>
      </c>
      <c r="CI38" s="113">
        <f t="shared" si="41"/>
        <v>2.0833333333333332E-2</v>
      </c>
      <c r="CJ38" s="114">
        <f t="shared" si="42"/>
        <v>0</v>
      </c>
      <c r="CK38" s="109">
        <f t="shared" si="43"/>
        <v>0</v>
      </c>
      <c r="CL38" s="110">
        <f t="shared" si="44"/>
        <v>0</v>
      </c>
      <c r="CM38" s="185">
        <f t="shared" si="45"/>
        <v>0</v>
      </c>
      <c r="CN38" s="185">
        <f t="shared" si="46"/>
        <v>0</v>
      </c>
      <c r="CO38" s="185">
        <f t="shared" si="47"/>
        <v>0</v>
      </c>
      <c r="CP38" s="185">
        <f t="shared" si="48"/>
        <v>0</v>
      </c>
      <c r="CQ38" s="111" t="str">
        <f t="shared" si="22"/>
        <v/>
      </c>
      <c r="CR38" s="112">
        <f t="shared" si="23"/>
        <v>0</v>
      </c>
      <c r="CS38" s="87">
        <f t="shared" si="24"/>
        <v>0</v>
      </c>
      <c r="CT38" s="87">
        <f t="shared" si="49"/>
        <v>0</v>
      </c>
      <c r="CU38" s="92">
        <f t="shared" si="25"/>
        <v>0</v>
      </c>
      <c r="CV38" s="326">
        <f t="shared" si="50"/>
        <v>0</v>
      </c>
      <c r="CW38" s="328">
        <f t="shared" si="26"/>
        <v>0</v>
      </c>
      <c r="CX38" s="330">
        <f t="shared" si="51"/>
        <v>1.6666666683339323E-2</v>
      </c>
      <c r="CY38" s="115" t="str">
        <f t="shared" si="52"/>
        <v>+</v>
      </c>
      <c r="CZ38" s="116">
        <f t="shared" si="53"/>
        <v>1.6666666683339323E-2</v>
      </c>
      <c r="DA38" s="117">
        <f t="shared" si="28"/>
        <v>0</v>
      </c>
      <c r="DB38" s="215">
        <f t="shared" si="29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4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januari!Z38</f>
        <v>44227</v>
      </c>
      <c r="AA39" s="1" t="s">
        <v>160</v>
      </c>
      <c r="AF39" s="27" t="s">
        <v>120</v>
      </c>
      <c r="AG39" s="120">
        <f t="shared" ref="AG39:BJ39" si="61">ROUND((AG40-INT(AG40))*24+(INT(AG40)*24),0)</f>
        <v>0</v>
      </c>
      <c r="AH39" s="120">
        <f t="shared" si="61"/>
        <v>0</v>
      </c>
      <c r="AI39" s="120">
        <f t="shared" si="61"/>
        <v>0</v>
      </c>
      <c r="AJ39" s="120">
        <f t="shared" si="61"/>
        <v>0</v>
      </c>
      <c r="AK39" s="120">
        <f t="shared" si="61"/>
        <v>0</v>
      </c>
      <c r="AL39" s="120">
        <f t="shared" si="61"/>
        <v>0</v>
      </c>
      <c r="AM39" s="120">
        <f t="shared" si="61"/>
        <v>0</v>
      </c>
      <c r="AN39" s="120">
        <f t="shared" si="61"/>
        <v>0</v>
      </c>
      <c r="AO39" s="120">
        <f t="shared" si="61"/>
        <v>0</v>
      </c>
      <c r="AP39" s="120">
        <f t="shared" si="61"/>
        <v>0</v>
      </c>
      <c r="AQ39" s="120">
        <f t="shared" si="61"/>
        <v>0</v>
      </c>
      <c r="AR39" s="120">
        <f t="shared" si="61"/>
        <v>0</v>
      </c>
      <c r="AS39" s="120">
        <f t="shared" si="61"/>
        <v>0</v>
      </c>
      <c r="AT39" s="120">
        <f t="shared" si="61"/>
        <v>0</v>
      </c>
      <c r="AU39" s="120">
        <f t="shared" si="61"/>
        <v>0</v>
      </c>
      <c r="AV39" s="120">
        <f t="shared" si="61"/>
        <v>0</v>
      </c>
      <c r="AW39" s="120">
        <f t="shared" si="61"/>
        <v>0</v>
      </c>
      <c r="AX39" s="120">
        <f t="shared" si="61"/>
        <v>0</v>
      </c>
      <c r="AY39" s="120">
        <f t="shared" si="61"/>
        <v>0</v>
      </c>
      <c r="AZ39" s="120">
        <f t="shared" si="61"/>
        <v>0</v>
      </c>
      <c r="BA39" s="120">
        <f t="shared" si="61"/>
        <v>0</v>
      </c>
      <c r="BB39" s="120">
        <f t="shared" si="61"/>
        <v>0</v>
      </c>
      <c r="BC39" s="120">
        <f t="shared" si="61"/>
        <v>0</v>
      </c>
      <c r="BD39" s="120">
        <f t="shared" si="61"/>
        <v>0</v>
      </c>
      <c r="BE39" s="120">
        <f t="shared" si="61"/>
        <v>0</v>
      </c>
      <c r="BF39" s="120">
        <f t="shared" si="61"/>
        <v>0</v>
      </c>
      <c r="BG39" s="120">
        <f t="shared" si="61"/>
        <v>0</v>
      </c>
      <c r="BH39" s="120">
        <f t="shared" si="61"/>
        <v>0</v>
      </c>
      <c r="BI39" s="120">
        <f t="shared" si="61"/>
        <v>0</v>
      </c>
      <c r="BJ39" s="120">
        <f t="shared" si="61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4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3</v>
      </c>
      <c r="AA40" s="1" t="s">
        <v>161</v>
      </c>
      <c r="AF40" s="27" t="s">
        <v>120</v>
      </c>
      <c r="AG40" s="127">
        <f t="shared" ref="AG40:BJ40" si="62">SUM(AH8:AH38)</f>
        <v>0</v>
      </c>
      <c r="AH40" s="127">
        <f t="shared" si="62"/>
        <v>0</v>
      </c>
      <c r="AI40" s="127">
        <f t="shared" si="62"/>
        <v>0</v>
      </c>
      <c r="AJ40" s="127">
        <f t="shared" si="62"/>
        <v>0</v>
      </c>
      <c r="AK40" s="127">
        <f t="shared" si="62"/>
        <v>0</v>
      </c>
      <c r="AL40" s="127">
        <f t="shared" si="62"/>
        <v>0</v>
      </c>
      <c r="AM40" s="127">
        <f t="shared" si="62"/>
        <v>0</v>
      </c>
      <c r="AN40" s="127">
        <f t="shared" si="62"/>
        <v>0</v>
      </c>
      <c r="AO40" s="127">
        <f t="shared" si="62"/>
        <v>0</v>
      </c>
      <c r="AP40" s="127">
        <f t="shared" si="62"/>
        <v>0</v>
      </c>
      <c r="AQ40" s="127">
        <f t="shared" si="62"/>
        <v>0</v>
      </c>
      <c r="AR40" s="127">
        <f t="shared" si="62"/>
        <v>0</v>
      </c>
      <c r="AS40" s="127">
        <f t="shared" si="62"/>
        <v>0</v>
      </c>
      <c r="AT40" s="127">
        <f t="shared" si="62"/>
        <v>0</v>
      </c>
      <c r="AU40" s="127">
        <f t="shared" si="62"/>
        <v>0</v>
      </c>
      <c r="AV40" s="127">
        <f t="shared" si="62"/>
        <v>0</v>
      </c>
      <c r="AW40" s="127">
        <f t="shared" si="62"/>
        <v>0</v>
      </c>
      <c r="AX40" s="127">
        <f t="shared" si="62"/>
        <v>0</v>
      </c>
      <c r="AY40" s="127">
        <f t="shared" si="62"/>
        <v>0</v>
      </c>
      <c r="AZ40" s="127">
        <f t="shared" si="62"/>
        <v>0</v>
      </c>
      <c r="BA40" s="127">
        <f t="shared" si="62"/>
        <v>0</v>
      </c>
      <c r="BB40" s="127">
        <f t="shared" si="62"/>
        <v>0</v>
      </c>
      <c r="BC40" s="127">
        <f t="shared" si="62"/>
        <v>0</v>
      </c>
      <c r="BD40" s="127">
        <f t="shared" si="62"/>
        <v>0</v>
      </c>
      <c r="BE40" s="127">
        <f t="shared" si="62"/>
        <v>0</v>
      </c>
      <c r="BF40" s="127">
        <f t="shared" si="62"/>
        <v>0</v>
      </c>
      <c r="BG40" s="127">
        <f t="shared" si="62"/>
        <v>0</v>
      </c>
      <c r="BH40" s="127">
        <f t="shared" si="62"/>
        <v>0</v>
      </c>
      <c r="BI40" s="127">
        <f t="shared" si="62"/>
        <v>0</v>
      </c>
      <c r="BJ40" s="127">
        <f t="shared" si="62"/>
        <v>0</v>
      </c>
      <c r="BK40" s="22"/>
      <c r="BM40" s="128">
        <f t="shared" ref="BM40:BT40" si="63">SUM(BM8:BM38)</f>
        <v>0</v>
      </c>
      <c r="BN40" s="129">
        <f t="shared" si="63"/>
        <v>0</v>
      </c>
      <c r="BO40" s="128">
        <f t="shared" si="63"/>
        <v>0</v>
      </c>
      <c r="BP40" s="129">
        <f t="shared" si="63"/>
        <v>0</v>
      </c>
      <c r="BQ40" s="128">
        <f t="shared" si="63"/>
        <v>0</v>
      </c>
      <c r="BR40" s="129">
        <f t="shared" si="63"/>
        <v>0</v>
      </c>
      <c r="BS40" s="128">
        <f t="shared" si="63"/>
        <v>0</v>
      </c>
      <c r="BT40" s="129">
        <f t="shared" si="63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januari!Z41</f>
        <v>0</v>
      </c>
      <c r="AA41" s="21" t="s">
        <v>162</v>
      </c>
      <c r="AF41" s="27" t="s">
        <v>122</v>
      </c>
      <c r="AG41" s="131" t="e">
        <f t="shared" ref="AG41:BJ41" si="64">AG40/$AG$44</f>
        <v>#DIV/0!</v>
      </c>
      <c r="AH41" s="131" t="e">
        <f t="shared" si="64"/>
        <v>#DIV/0!</v>
      </c>
      <c r="AI41" s="131" t="e">
        <f t="shared" si="64"/>
        <v>#DIV/0!</v>
      </c>
      <c r="AJ41" s="131" t="e">
        <f t="shared" si="64"/>
        <v>#DIV/0!</v>
      </c>
      <c r="AK41" s="131" t="e">
        <f t="shared" si="64"/>
        <v>#DIV/0!</v>
      </c>
      <c r="AL41" s="131" t="e">
        <f t="shared" si="64"/>
        <v>#DIV/0!</v>
      </c>
      <c r="AM41" s="131" t="e">
        <f t="shared" si="64"/>
        <v>#DIV/0!</v>
      </c>
      <c r="AN41" s="131" t="e">
        <f t="shared" si="64"/>
        <v>#DIV/0!</v>
      </c>
      <c r="AO41" s="131" t="e">
        <f t="shared" si="64"/>
        <v>#DIV/0!</v>
      </c>
      <c r="AP41" s="131" t="e">
        <f t="shared" si="64"/>
        <v>#DIV/0!</v>
      </c>
      <c r="AQ41" s="131" t="e">
        <f t="shared" si="64"/>
        <v>#DIV/0!</v>
      </c>
      <c r="AR41" s="131" t="e">
        <f t="shared" si="64"/>
        <v>#DIV/0!</v>
      </c>
      <c r="AS41" s="131" t="e">
        <f t="shared" si="64"/>
        <v>#DIV/0!</v>
      </c>
      <c r="AT41" s="131" t="e">
        <f t="shared" si="64"/>
        <v>#DIV/0!</v>
      </c>
      <c r="AU41" s="131" t="e">
        <f t="shared" si="64"/>
        <v>#DIV/0!</v>
      </c>
      <c r="AV41" s="131" t="e">
        <f t="shared" si="64"/>
        <v>#DIV/0!</v>
      </c>
      <c r="AW41" s="131" t="e">
        <f t="shared" si="64"/>
        <v>#DIV/0!</v>
      </c>
      <c r="AX41" s="131" t="e">
        <f t="shared" si="64"/>
        <v>#DIV/0!</v>
      </c>
      <c r="AY41" s="131" t="e">
        <f t="shared" si="64"/>
        <v>#DIV/0!</v>
      </c>
      <c r="AZ41" s="131" t="e">
        <f t="shared" si="64"/>
        <v>#DIV/0!</v>
      </c>
      <c r="BA41" s="131" t="e">
        <f t="shared" si="64"/>
        <v>#DIV/0!</v>
      </c>
      <c r="BB41" s="131" t="e">
        <f t="shared" si="64"/>
        <v>#DIV/0!</v>
      </c>
      <c r="BC41" s="131" t="e">
        <f t="shared" si="64"/>
        <v>#DIV/0!</v>
      </c>
      <c r="BD41" s="131" t="e">
        <f t="shared" si="64"/>
        <v>#DIV/0!</v>
      </c>
      <c r="BE41" s="131" t="e">
        <f t="shared" si="64"/>
        <v>#DIV/0!</v>
      </c>
      <c r="BF41" s="131" t="e">
        <f t="shared" si="64"/>
        <v>#DIV/0!</v>
      </c>
      <c r="BG41" s="131" t="e">
        <f t="shared" si="64"/>
        <v>#DIV/0!</v>
      </c>
      <c r="BH41" s="131" t="e">
        <f t="shared" si="64"/>
        <v>#DIV/0!</v>
      </c>
      <c r="BI41" s="131" t="e">
        <f t="shared" si="64"/>
        <v>#DIV/0!</v>
      </c>
      <c r="BJ41" s="131" t="e">
        <f t="shared" si="64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5">INT((AG40/$AG$44)*100)</f>
        <v>#DIV/0!</v>
      </c>
      <c r="AH42" s="127" t="e">
        <f t="shared" si="65"/>
        <v>#DIV/0!</v>
      </c>
      <c r="AI42" s="127" t="e">
        <f t="shared" si="65"/>
        <v>#DIV/0!</v>
      </c>
      <c r="AJ42" s="127" t="e">
        <f t="shared" si="65"/>
        <v>#DIV/0!</v>
      </c>
      <c r="AK42" s="127" t="e">
        <f t="shared" si="65"/>
        <v>#DIV/0!</v>
      </c>
      <c r="AL42" s="127" t="e">
        <f t="shared" si="65"/>
        <v>#DIV/0!</v>
      </c>
      <c r="AM42" s="127" t="e">
        <f t="shared" si="65"/>
        <v>#DIV/0!</v>
      </c>
      <c r="AN42" s="127" t="e">
        <f t="shared" si="65"/>
        <v>#DIV/0!</v>
      </c>
      <c r="AO42" s="127" t="e">
        <f t="shared" si="65"/>
        <v>#DIV/0!</v>
      </c>
      <c r="AP42" s="127" t="e">
        <f t="shared" si="65"/>
        <v>#DIV/0!</v>
      </c>
      <c r="AQ42" s="127" t="e">
        <f t="shared" si="65"/>
        <v>#DIV/0!</v>
      </c>
      <c r="AR42" s="127" t="e">
        <f t="shared" si="65"/>
        <v>#DIV/0!</v>
      </c>
      <c r="AS42" s="127" t="e">
        <f t="shared" si="65"/>
        <v>#DIV/0!</v>
      </c>
      <c r="AT42" s="127" t="e">
        <f t="shared" si="65"/>
        <v>#DIV/0!</v>
      </c>
      <c r="AU42" s="127" t="e">
        <f t="shared" si="65"/>
        <v>#DIV/0!</v>
      </c>
      <c r="AV42" s="127" t="e">
        <f t="shared" si="65"/>
        <v>#DIV/0!</v>
      </c>
      <c r="AW42" s="127" t="e">
        <f t="shared" si="65"/>
        <v>#DIV/0!</v>
      </c>
      <c r="AX42" s="127" t="e">
        <f t="shared" si="65"/>
        <v>#DIV/0!</v>
      </c>
      <c r="AY42" s="127" t="e">
        <f t="shared" si="65"/>
        <v>#DIV/0!</v>
      </c>
      <c r="AZ42" s="127" t="e">
        <f t="shared" si="65"/>
        <v>#DIV/0!</v>
      </c>
      <c r="BA42" s="127" t="e">
        <f t="shared" si="65"/>
        <v>#DIV/0!</v>
      </c>
      <c r="BB42" s="127" t="e">
        <f t="shared" si="65"/>
        <v>#DIV/0!</v>
      </c>
      <c r="BC42" s="127" t="e">
        <f t="shared" si="65"/>
        <v>#DIV/0!</v>
      </c>
      <c r="BD42" s="127" t="e">
        <f t="shared" si="65"/>
        <v>#DIV/0!</v>
      </c>
      <c r="BE42" s="127" t="e">
        <f t="shared" si="65"/>
        <v>#DIV/0!</v>
      </c>
      <c r="BF42" s="127" t="e">
        <f t="shared" si="65"/>
        <v>#DIV/0!</v>
      </c>
      <c r="BG42" s="127" t="e">
        <f t="shared" si="65"/>
        <v>#DIV/0!</v>
      </c>
      <c r="BH42" s="127" t="e">
        <f t="shared" si="65"/>
        <v>#DIV/0!</v>
      </c>
      <c r="BI42" s="127" t="e">
        <f t="shared" si="65"/>
        <v>#DIV/0!</v>
      </c>
      <c r="BJ42" s="127" t="e">
        <f t="shared" si="65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6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6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6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6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7">AG40*24</f>
        <v>0</v>
      </c>
      <c r="AH47" s="142">
        <f t="shared" si="67"/>
        <v>0</v>
      </c>
      <c r="AI47" s="142">
        <f t="shared" si="67"/>
        <v>0</v>
      </c>
      <c r="AJ47" s="142">
        <f t="shared" si="67"/>
        <v>0</v>
      </c>
      <c r="AK47" s="142">
        <f t="shared" si="67"/>
        <v>0</v>
      </c>
      <c r="AL47" s="142">
        <f t="shared" si="67"/>
        <v>0</v>
      </c>
      <c r="AM47" s="142">
        <f t="shared" si="67"/>
        <v>0</v>
      </c>
      <c r="AN47" s="142">
        <f t="shared" si="67"/>
        <v>0</v>
      </c>
      <c r="AO47" s="142">
        <f t="shared" si="67"/>
        <v>0</v>
      </c>
      <c r="AP47" s="142">
        <f t="shared" si="67"/>
        <v>0</v>
      </c>
      <c r="AQ47" s="142">
        <f t="shared" si="67"/>
        <v>0</v>
      </c>
      <c r="AR47" s="142">
        <f t="shared" si="67"/>
        <v>0</v>
      </c>
      <c r="AS47" s="142">
        <f t="shared" si="67"/>
        <v>0</v>
      </c>
      <c r="AT47" s="142">
        <f t="shared" si="67"/>
        <v>0</v>
      </c>
      <c r="AU47" s="142">
        <f t="shared" si="67"/>
        <v>0</v>
      </c>
      <c r="AV47" s="142">
        <f t="shared" si="67"/>
        <v>0</v>
      </c>
      <c r="AW47" s="142">
        <f t="shared" si="67"/>
        <v>0</v>
      </c>
      <c r="AX47" s="142">
        <f t="shared" si="67"/>
        <v>0</v>
      </c>
      <c r="AY47" s="142">
        <f t="shared" si="67"/>
        <v>0</v>
      </c>
      <c r="AZ47" s="142">
        <f t="shared" si="67"/>
        <v>0</v>
      </c>
      <c r="BA47" s="142">
        <f t="shared" si="67"/>
        <v>0</v>
      </c>
      <c r="BB47" s="142">
        <f t="shared" si="67"/>
        <v>0</v>
      </c>
      <c r="BC47" s="142">
        <f t="shared" si="67"/>
        <v>0</v>
      </c>
      <c r="BD47" s="142">
        <f t="shared" si="67"/>
        <v>0</v>
      </c>
      <c r="BE47" s="142">
        <f t="shared" si="67"/>
        <v>0</v>
      </c>
      <c r="BF47" s="142">
        <f t="shared" si="67"/>
        <v>0</v>
      </c>
      <c r="BG47" s="142">
        <f t="shared" si="67"/>
        <v>0</v>
      </c>
      <c r="BH47" s="142">
        <f t="shared" si="67"/>
        <v>0</v>
      </c>
      <c r="BI47" s="142">
        <f t="shared" si="67"/>
        <v>0</v>
      </c>
      <c r="BJ47" s="142">
        <f t="shared" si="67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6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6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8">AG47/$AG$48</f>
        <v>#DIV/0!</v>
      </c>
      <c r="AH49" s="144" t="e">
        <f t="shared" si="68"/>
        <v>#DIV/0!</v>
      </c>
      <c r="AI49" s="144" t="e">
        <f t="shared" si="68"/>
        <v>#DIV/0!</v>
      </c>
      <c r="AJ49" s="144" t="e">
        <f t="shared" si="68"/>
        <v>#DIV/0!</v>
      </c>
      <c r="AK49" s="144" t="e">
        <f t="shared" si="68"/>
        <v>#DIV/0!</v>
      </c>
      <c r="AL49" s="144" t="e">
        <f t="shared" si="68"/>
        <v>#DIV/0!</v>
      </c>
      <c r="AM49" s="144" t="e">
        <f t="shared" si="68"/>
        <v>#DIV/0!</v>
      </c>
      <c r="AN49" s="144" t="e">
        <f t="shared" si="68"/>
        <v>#DIV/0!</v>
      </c>
      <c r="AO49" s="144" t="e">
        <f t="shared" si="68"/>
        <v>#DIV/0!</v>
      </c>
      <c r="AP49" s="144" t="e">
        <f t="shared" si="68"/>
        <v>#DIV/0!</v>
      </c>
      <c r="AQ49" s="144" t="e">
        <f t="shared" si="68"/>
        <v>#DIV/0!</v>
      </c>
      <c r="AR49" s="144" t="e">
        <f t="shared" si="68"/>
        <v>#DIV/0!</v>
      </c>
      <c r="AS49" s="144" t="e">
        <f t="shared" si="68"/>
        <v>#DIV/0!</v>
      </c>
      <c r="AT49" s="144" t="e">
        <f t="shared" si="68"/>
        <v>#DIV/0!</v>
      </c>
      <c r="AU49" s="144" t="e">
        <f t="shared" si="68"/>
        <v>#DIV/0!</v>
      </c>
      <c r="AV49" s="144" t="e">
        <f t="shared" si="68"/>
        <v>#DIV/0!</v>
      </c>
      <c r="AW49" s="144" t="e">
        <f t="shared" si="68"/>
        <v>#DIV/0!</v>
      </c>
      <c r="AX49" s="144" t="e">
        <f t="shared" si="68"/>
        <v>#DIV/0!</v>
      </c>
      <c r="AY49" s="144" t="e">
        <f t="shared" si="68"/>
        <v>#DIV/0!</v>
      </c>
      <c r="AZ49" s="144" t="e">
        <f t="shared" si="68"/>
        <v>#DIV/0!</v>
      </c>
      <c r="BA49" s="144" t="e">
        <f t="shared" si="68"/>
        <v>#DIV/0!</v>
      </c>
      <c r="BB49" s="144" t="e">
        <f t="shared" si="68"/>
        <v>#DIV/0!</v>
      </c>
      <c r="BC49" s="144" t="e">
        <f t="shared" si="68"/>
        <v>#DIV/0!</v>
      </c>
      <c r="BD49" s="144" t="e">
        <f t="shared" si="68"/>
        <v>#DIV/0!</v>
      </c>
      <c r="BE49" s="144" t="e">
        <f t="shared" si="68"/>
        <v>#DIV/0!</v>
      </c>
      <c r="BF49" s="144" t="e">
        <f t="shared" si="68"/>
        <v>#DIV/0!</v>
      </c>
      <c r="BG49" s="144" t="e">
        <f t="shared" si="68"/>
        <v>#DIV/0!</v>
      </c>
      <c r="BH49" s="144" t="e">
        <f t="shared" si="68"/>
        <v>#DIV/0!</v>
      </c>
      <c r="BI49" s="144" t="e">
        <f t="shared" si="68"/>
        <v>#DIV/0!</v>
      </c>
      <c r="BJ49" s="144" t="e">
        <f t="shared" si="68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6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6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6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9">AG40</f>
        <v>0</v>
      </c>
      <c r="AH52" s="146">
        <f t="shared" si="69"/>
        <v>0</v>
      </c>
      <c r="AI52" s="146">
        <f t="shared" si="69"/>
        <v>0</v>
      </c>
      <c r="AJ52" s="146">
        <f t="shared" si="69"/>
        <v>0</v>
      </c>
      <c r="AK52" s="146">
        <f t="shared" si="69"/>
        <v>0</v>
      </c>
      <c r="AL52" s="146">
        <f t="shared" si="69"/>
        <v>0</v>
      </c>
      <c r="AM52" s="146">
        <f t="shared" si="69"/>
        <v>0</v>
      </c>
      <c r="AN52" s="146">
        <f t="shared" si="69"/>
        <v>0</v>
      </c>
      <c r="AO52" s="146">
        <f t="shared" si="69"/>
        <v>0</v>
      </c>
      <c r="AP52" s="146">
        <f t="shared" si="69"/>
        <v>0</v>
      </c>
      <c r="AQ52" s="146">
        <f t="shared" si="69"/>
        <v>0</v>
      </c>
      <c r="AR52" s="146">
        <f t="shared" si="69"/>
        <v>0</v>
      </c>
      <c r="AS52" s="146">
        <f t="shared" si="69"/>
        <v>0</v>
      </c>
      <c r="AT52" s="146">
        <f t="shared" si="69"/>
        <v>0</v>
      </c>
      <c r="AU52" s="146">
        <f t="shared" si="69"/>
        <v>0</v>
      </c>
      <c r="AV52" s="146">
        <f t="shared" si="69"/>
        <v>0</v>
      </c>
      <c r="AW52" s="146">
        <f t="shared" si="69"/>
        <v>0</v>
      </c>
      <c r="AX52" s="146">
        <f t="shared" si="69"/>
        <v>0</v>
      </c>
      <c r="AY52" s="146">
        <f t="shared" si="69"/>
        <v>0</v>
      </c>
      <c r="AZ52" s="146">
        <f t="shared" si="69"/>
        <v>0</v>
      </c>
      <c r="BA52" s="146">
        <f t="shared" si="69"/>
        <v>0</v>
      </c>
      <c r="BB52" s="146">
        <f t="shared" si="69"/>
        <v>0</v>
      </c>
      <c r="BC52" s="146">
        <f t="shared" si="69"/>
        <v>0</v>
      </c>
      <c r="BD52" s="146">
        <f t="shared" si="69"/>
        <v>0</v>
      </c>
      <c r="BE52" s="146">
        <f t="shared" si="69"/>
        <v>0</v>
      </c>
      <c r="BF52" s="146">
        <f t="shared" si="69"/>
        <v>0</v>
      </c>
      <c r="BG52" s="146">
        <f t="shared" si="69"/>
        <v>0</v>
      </c>
      <c r="BH52" s="146">
        <f t="shared" si="69"/>
        <v>0</v>
      </c>
      <c r="BI52" s="146">
        <f t="shared" si="69"/>
        <v>0</v>
      </c>
      <c r="BJ52" s="146">
        <f t="shared" si="69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6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6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6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6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6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6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6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6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6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6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6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6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6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6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6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6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6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6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101" priority="97" stopIfTrue="1">
      <formula>$S$3&lt;&gt;""</formula>
    </cfRule>
  </conditionalFormatting>
  <conditionalFormatting sqref="M8:M38">
    <cfRule type="expression" dxfId="100" priority="2" stopIfTrue="1">
      <formula>M8&lt;-8</formula>
    </cfRule>
    <cfRule type="expression" dxfId="99" priority="3">
      <formula>M8&lt;0</formula>
    </cfRule>
  </conditionalFormatting>
  <conditionalFormatting sqref="K8:L38">
    <cfRule type="expression" dxfId="98" priority="4" stopIfTrue="1">
      <formula>$CX8&lt;-0.33334</formula>
    </cfRule>
    <cfRule type="expression" dxfId="97" priority="5">
      <formula>$CX8&lt;0</formula>
    </cfRule>
  </conditionalFormatting>
  <conditionalFormatting sqref="A34:R38">
    <cfRule type="expression" dxfId="96" priority="1" stopIfTrue="1">
      <formula>$AB$8&lt;&gt;$AB34</formula>
    </cfRule>
  </conditionalFormatting>
  <conditionalFormatting sqref="N8:R38 A8:I38">
    <cfRule type="expression" dxfId="95" priority="6" stopIfTrue="1">
      <formula>OR($AC8=0,$AC8=1)</formula>
    </cfRule>
    <cfRule type="expression" dxfId="94" priority="7" stopIfTrue="1">
      <formula>COUNTIFS($DG$5:$DG$19,$AA8)&gt;0</formula>
    </cfRule>
    <cfRule type="expression" dxfId="93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81127786-8089-4CD5-B2B7-D82CF8090757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8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24</xdr:col>
                    <xdr:colOff>533400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44256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februari!K38</f>
        <v>+</v>
      </c>
      <c r="E3" s="385">
        <f>ABS(februari!M38)</f>
        <v>0.40000000080014375</v>
      </c>
      <c r="F3" s="386"/>
      <c r="G3" s="228">
        <f>E3/24</f>
        <v>1.6666666700005991E-2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1.6666666700005991E-2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44256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1.6666666700005991E-2</v>
      </c>
      <c r="M8" s="311">
        <f>800/0.333333333*CX8/100</f>
        <v>0.40000000120014378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44256</v>
      </c>
      <c r="AA8" s="160">
        <f t="shared" ref="AA8:AA35" si="4">Z8</f>
        <v>44256</v>
      </c>
      <c r="AB8" s="160">
        <f t="shared" ref="AB8:AB38" si="5">MONTH(Z8)</f>
        <v>3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1.6666666700005991E-2</v>
      </c>
      <c r="CY8" s="94" t="str">
        <f>IF((CX8)&gt;0,"+","-")</f>
        <v>+</v>
      </c>
      <c r="CZ8" s="95">
        <f>ABS(CX8)</f>
        <v>1.6666666700005991E-2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44257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1.6666666700005991E-2</v>
      </c>
      <c r="M9" s="315">
        <f t="shared" ref="M9:M38" si="31">800/0.333333333*CX9/100</f>
        <v>0.40000000120014378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44257</v>
      </c>
      <c r="AA9" s="160">
        <f t="shared" si="4"/>
        <v>44257</v>
      </c>
      <c r="AB9" s="160">
        <f t="shared" si="5"/>
        <v>3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1.6666666700005991E-2</v>
      </c>
      <c r="CY9" s="94" t="str">
        <f t="shared" ref="CY9:CY38" si="51">IF((CX9)&gt;0,"+","-")</f>
        <v>+</v>
      </c>
      <c r="CZ9" s="95">
        <f t="shared" ref="CZ9:CZ38" si="52">ABS(CX9)</f>
        <v>1.6666666700005991E-2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44258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1.6666666700005991E-2</v>
      </c>
      <c r="M10" s="315">
        <f t="shared" si="31"/>
        <v>0.40000000120014378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44258</v>
      </c>
      <c r="AA10" s="160">
        <f t="shared" si="4"/>
        <v>44258</v>
      </c>
      <c r="AB10" s="160">
        <f t="shared" si="5"/>
        <v>3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1.6666666700005991E-2</v>
      </c>
      <c r="CY10" s="94" t="str">
        <f t="shared" si="51"/>
        <v>+</v>
      </c>
      <c r="CZ10" s="95">
        <f t="shared" si="52"/>
        <v>1.6666666700005991E-2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44259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1.6666666700005991E-2</v>
      </c>
      <c r="M11" s="315">
        <f t="shared" si="31"/>
        <v>0.40000000120014378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44259</v>
      </c>
      <c r="AA11" s="160">
        <f t="shared" si="4"/>
        <v>44259</v>
      </c>
      <c r="AB11" s="160">
        <f t="shared" si="5"/>
        <v>3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1.6666666700005991E-2</v>
      </c>
      <c r="CY11" s="94" t="str">
        <f t="shared" si="51"/>
        <v>+</v>
      </c>
      <c r="CZ11" s="95">
        <f t="shared" si="52"/>
        <v>1.6666666700005991E-2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44260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1.6666666700005991E-2</v>
      </c>
      <c r="M12" s="315">
        <f t="shared" si="31"/>
        <v>0.40000000120014378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44260</v>
      </c>
      <c r="AA12" s="160">
        <f t="shared" si="4"/>
        <v>44260</v>
      </c>
      <c r="AB12" s="160">
        <f t="shared" si="5"/>
        <v>3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1.6666666700005991E-2</v>
      </c>
      <c r="CY12" s="94" t="str">
        <f t="shared" si="51"/>
        <v>+</v>
      </c>
      <c r="CZ12" s="95">
        <f t="shared" si="52"/>
        <v>1.6666666700005991E-2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44261</v>
      </c>
      <c r="C13" s="239"/>
      <c r="D13" s="240"/>
      <c r="E13" s="240"/>
      <c r="F13" s="240"/>
      <c r="G13" s="278"/>
      <c r="H13" s="305">
        <f t="shared" si="29"/>
        <v>21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1.6666666700006324E-2</v>
      </c>
      <c r="M13" s="315">
        <f t="shared" si="31"/>
        <v>0.40000000120015178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44261</v>
      </c>
      <c r="AA13" s="160">
        <f t="shared" si="4"/>
        <v>44261</v>
      </c>
      <c r="AB13" s="160">
        <f t="shared" si="5"/>
        <v>3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1.6666666700006324E-2</v>
      </c>
      <c r="CY13" s="94" t="str">
        <f t="shared" si="51"/>
        <v>+</v>
      </c>
      <c r="CZ13" s="95">
        <f t="shared" si="52"/>
        <v>1.6666666700006324E-2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44262</v>
      </c>
      <c r="C14" s="239"/>
      <c r="D14" s="240"/>
      <c r="E14" s="240"/>
      <c r="F14" s="240"/>
      <c r="G14" s="278"/>
      <c r="H14" s="305">
        <f t="shared" si="29"/>
        <v>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1.6666666700006657E-2</v>
      </c>
      <c r="M14" s="315">
        <f t="shared" si="31"/>
        <v>0.40000000120015977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44262</v>
      </c>
      <c r="AA14" s="160">
        <f t="shared" si="4"/>
        <v>44262</v>
      </c>
      <c r="AB14" s="160">
        <f t="shared" si="5"/>
        <v>3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1.6666666700006657E-2</v>
      </c>
      <c r="CY14" s="94" t="str">
        <f t="shared" si="51"/>
        <v>+</v>
      </c>
      <c r="CZ14" s="95">
        <f t="shared" si="52"/>
        <v>1.6666666700006657E-2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44263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1.6666666700006657E-2</v>
      </c>
      <c r="M15" s="315">
        <f t="shared" si="31"/>
        <v>0.40000000120015977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44263</v>
      </c>
      <c r="AA15" s="160">
        <f t="shared" si="4"/>
        <v>44263</v>
      </c>
      <c r="AB15" s="160">
        <f t="shared" si="5"/>
        <v>3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1.6666666700006657E-2</v>
      </c>
      <c r="CY15" s="94" t="str">
        <f t="shared" si="51"/>
        <v>+</v>
      </c>
      <c r="CZ15" s="95">
        <f t="shared" si="52"/>
        <v>1.6666666700006657E-2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44264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1.6666666700006657E-2</v>
      </c>
      <c r="M16" s="315">
        <f t="shared" si="31"/>
        <v>0.40000000120015977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44264</v>
      </c>
      <c r="AA16" s="160">
        <f t="shared" si="4"/>
        <v>44264</v>
      </c>
      <c r="AB16" s="160">
        <f t="shared" si="5"/>
        <v>3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1.6666666700006657E-2</v>
      </c>
      <c r="CY16" s="94" t="str">
        <f t="shared" si="51"/>
        <v>+</v>
      </c>
      <c r="CZ16" s="95">
        <f t="shared" si="52"/>
        <v>1.6666666700006657E-2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44265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1.6666666700006657E-2</v>
      </c>
      <c r="M17" s="315">
        <f t="shared" si="31"/>
        <v>0.40000000120015977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44265</v>
      </c>
      <c r="AA17" s="160">
        <f t="shared" si="4"/>
        <v>44265</v>
      </c>
      <c r="AB17" s="160">
        <f t="shared" si="5"/>
        <v>3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1.6666666700006657E-2</v>
      </c>
      <c r="CY17" s="94" t="str">
        <f t="shared" si="51"/>
        <v>+</v>
      </c>
      <c r="CZ17" s="95">
        <f t="shared" si="52"/>
        <v>1.6666666700006657E-2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44266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1.6666666700006657E-2</v>
      </c>
      <c r="M18" s="315">
        <f t="shared" si="31"/>
        <v>0.40000000120015977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44266</v>
      </c>
      <c r="AA18" s="160">
        <f t="shared" si="4"/>
        <v>44266</v>
      </c>
      <c r="AB18" s="160">
        <f t="shared" si="5"/>
        <v>3</v>
      </c>
      <c r="AC18" s="81">
        <f t="shared" si="6"/>
        <v>5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1.6666666700006657E-2</v>
      </c>
      <c r="CY18" s="94" t="str">
        <f t="shared" si="51"/>
        <v>+</v>
      </c>
      <c r="CZ18" s="95">
        <f t="shared" si="52"/>
        <v>1.6666666700006657E-2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44267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1.6666666700006657E-2</v>
      </c>
      <c r="M19" s="315">
        <f t="shared" si="31"/>
        <v>0.40000000120015977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44267</v>
      </c>
      <c r="AA19" s="160">
        <f t="shared" si="4"/>
        <v>44267</v>
      </c>
      <c r="AB19" s="160">
        <f t="shared" si="5"/>
        <v>3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1.6666666700006657E-2</v>
      </c>
      <c r="CY19" s="94" t="str">
        <f t="shared" si="51"/>
        <v>+</v>
      </c>
      <c r="CZ19" s="95">
        <f t="shared" si="52"/>
        <v>1.6666666700006657E-2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44268</v>
      </c>
      <c r="C20" s="239"/>
      <c r="D20" s="240"/>
      <c r="E20" s="240"/>
      <c r="F20" s="240"/>
      <c r="G20" s="278"/>
      <c r="H20" s="305">
        <f t="shared" si="29"/>
        <v>21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1.666666670000699E-2</v>
      </c>
      <c r="M20" s="315">
        <f t="shared" si="31"/>
        <v>0.40000000120016777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44268</v>
      </c>
      <c r="AA20" s="160">
        <f t="shared" si="4"/>
        <v>44268</v>
      </c>
      <c r="AB20" s="160">
        <f t="shared" si="5"/>
        <v>3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1.666666670000699E-2</v>
      </c>
      <c r="CY20" s="94" t="str">
        <f t="shared" si="51"/>
        <v>+</v>
      </c>
      <c r="CZ20" s="95">
        <f t="shared" si="52"/>
        <v>1.666666670000699E-2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44269</v>
      </c>
      <c r="C21" s="239"/>
      <c r="D21" s="240"/>
      <c r="E21" s="240"/>
      <c r="F21" s="240"/>
      <c r="G21" s="278"/>
      <c r="H21" s="305">
        <f t="shared" si="29"/>
        <v>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1.6666666700007323E-2</v>
      </c>
      <c r="M21" s="315">
        <f t="shared" si="31"/>
        <v>0.40000000120017576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44269</v>
      </c>
      <c r="AA21" s="160">
        <f t="shared" si="4"/>
        <v>44269</v>
      </c>
      <c r="AB21" s="160">
        <f t="shared" si="5"/>
        <v>3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1.6666666700007323E-2</v>
      </c>
      <c r="CY21" s="94" t="str">
        <f t="shared" si="51"/>
        <v>+</v>
      </c>
      <c r="CZ21" s="95">
        <f t="shared" si="52"/>
        <v>1.6666666700007323E-2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44270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1.6666666700007323E-2</v>
      </c>
      <c r="M22" s="315">
        <f t="shared" si="31"/>
        <v>0.40000000120017576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44270</v>
      </c>
      <c r="AA22" s="160">
        <f t="shared" si="4"/>
        <v>44270</v>
      </c>
      <c r="AB22" s="160">
        <f t="shared" si="5"/>
        <v>3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1.6666666700007323E-2</v>
      </c>
      <c r="CY22" s="94" t="str">
        <f t="shared" si="51"/>
        <v>+</v>
      </c>
      <c r="CZ22" s="95">
        <f t="shared" si="52"/>
        <v>1.6666666700007323E-2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44271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1.6666666700007323E-2</v>
      </c>
      <c r="M23" s="315">
        <f t="shared" si="31"/>
        <v>0.40000000120017576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44271</v>
      </c>
      <c r="AA23" s="160">
        <f t="shared" si="4"/>
        <v>44271</v>
      </c>
      <c r="AB23" s="160">
        <f t="shared" si="5"/>
        <v>3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1.6666666700007323E-2</v>
      </c>
      <c r="CY23" s="94" t="str">
        <f t="shared" si="51"/>
        <v>+</v>
      </c>
      <c r="CZ23" s="95">
        <f t="shared" si="52"/>
        <v>1.6666666700007323E-2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44272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1.6666666700007323E-2</v>
      </c>
      <c r="M24" s="315">
        <f t="shared" si="31"/>
        <v>0.40000000120017576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44272</v>
      </c>
      <c r="AA24" s="160">
        <f t="shared" si="4"/>
        <v>44272</v>
      </c>
      <c r="AB24" s="160">
        <f t="shared" si="5"/>
        <v>3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1.6666666700007323E-2</v>
      </c>
      <c r="CY24" s="94" t="str">
        <f t="shared" si="51"/>
        <v>+</v>
      </c>
      <c r="CZ24" s="95">
        <f t="shared" si="52"/>
        <v>1.6666666700007323E-2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44273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1.6666666700007323E-2</v>
      </c>
      <c r="M25" s="315">
        <f t="shared" si="31"/>
        <v>0.40000000120017576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44273</v>
      </c>
      <c r="AA25" s="160">
        <f t="shared" si="4"/>
        <v>44273</v>
      </c>
      <c r="AB25" s="160">
        <f t="shared" si="5"/>
        <v>3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1.6666666700007323E-2</v>
      </c>
      <c r="CY25" s="94" t="str">
        <f t="shared" si="51"/>
        <v>+</v>
      </c>
      <c r="CZ25" s="95">
        <f t="shared" si="52"/>
        <v>1.6666666700007323E-2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44274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1.6666666700007323E-2</v>
      </c>
      <c r="M26" s="315">
        <f t="shared" si="31"/>
        <v>0.40000000120017576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44274</v>
      </c>
      <c r="AA26" s="160">
        <f t="shared" si="4"/>
        <v>44274</v>
      </c>
      <c r="AB26" s="160">
        <f t="shared" si="5"/>
        <v>3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1.6666666700007323E-2</v>
      </c>
      <c r="CY26" s="94" t="str">
        <f t="shared" si="51"/>
        <v>+</v>
      </c>
      <c r="CZ26" s="95">
        <f t="shared" si="52"/>
        <v>1.6666666700007323E-2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44275</v>
      </c>
      <c r="C27" s="239"/>
      <c r="D27" s="240"/>
      <c r="E27" s="240"/>
      <c r="F27" s="240"/>
      <c r="G27" s="278"/>
      <c r="H27" s="305">
        <f t="shared" si="29"/>
        <v>21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1.6666666700007656E-2</v>
      </c>
      <c r="M27" s="315">
        <f t="shared" si="31"/>
        <v>0.40000000120018375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44275</v>
      </c>
      <c r="AA27" s="160">
        <f t="shared" si="4"/>
        <v>44275</v>
      </c>
      <c r="AB27" s="160">
        <f t="shared" si="5"/>
        <v>3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1.6666666700007656E-2</v>
      </c>
      <c r="CY27" s="94" t="str">
        <f t="shared" si="51"/>
        <v>+</v>
      </c>
      <c r="CZ27" s="95">
        <f t="shared" si="52"/>
        <v>1.6666666700007656E-2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44276</v>
      </c>
      <c r="C28" s="239"/>
      <c r="D28" s="240"/>
      <c r="E28" s="240"/>
      <c r="F28" s="240"/>
      <c r="G28" s="278"/>
      <c r="H28" s="305">
        <f t="shared" si="29"/>
        <v>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1.6666666700007989E-2</v>
      </c>
      <c r="M28" s="315">
        <f t="shared" si="31"/>
        <v>0.40000000120019175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44276</v>
      </c>
      <c r="AA28" s="160">
        <f t="shared" si="4"/>
        <v>44276</v>
      </c>
      <c r="AB28" s="160">
        <f t="shared" si="5"/>
        <v>3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1.6666666700007989E-2</v>
      </c>
      <c r="CY28" s="94" t="str">
        <f t="shared" si="51"/>
        <v>+</v>
      </c>
      <c r="CZ28" s="95">
        <f t="shared" si="52"/>
        <v>1.6666666700007989E-2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44277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1.6666666700007989E-2</v>
      </c>
      <c r="M29" s="315">
        <f t="shared" si="31"/>
        <v>0.40000000120019175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44277</v>
      </c>
      <c r="AA29" s="160">
        <f t="shared" si="4"/>
        <v>44277</v>
      </c>
      <c r="AB29" s="160">
        <f t="shared" si="5"/>
        <v>3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1.6666666700007989E-2</v>
      </c>
      <c r="CY29" s="94" t="str">
        <f t="shared" si="51"/>
        <v>+</v>
      </c>
      <c r="CZ29" s="95">
        <f t="shared" si="52"/>
        <v>1.6666666700007989E-2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44278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1.6666666700007989E-2</v>
      </c>
      <c r="M30" s="315">
        <f t="shared" si="31"/>
        <v>0.40000000120019175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44278</v>
      </c>
      <c r="AA30" s="160">
        <f t="shared" si="4"/>
        <v>44278</v>
      </c>
      <c r="AB30" s="160">
        <f t="shared" si="5"/>
        <v>3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1.6666666700007989E-2</v>
      </c>
      <c r="CY30" s="94" t="str">
        <f t="shared" si="51"/>
        <v>+</v>
      </c>
      <c r="CZ30" s="95">
        <f t="shared" si="52"/>
        <v>1.6666666700007989E-2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44279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1.6666666700007989E-2</v>
      </c>
      <c r="M31" s="315">
        <f t="shared" si="31"/>
        <v>0.40000000120019175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44279</v>
      </c>
      <c r="AA31" s="160">
        <f t="shared" si="4"/>
        <v>44279</v>
      </c>
      <c r="AB31" s="160">
        <f t="shared" si="5"/>
        <v>3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1.6666666700007989E-2</v>
      </c>
      <c r="CY31" s="94" t="str">
        <f t="shared" si="51"/>
        <v>+</v>
      </c>
      <c r="CZ31" s="95">
        <f t="shared" si="52"/>
        <v>1.6666666700007989E-2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44280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1.6666666700007989E-2</v>
      </c>
      <c r="M32" s="315">
        <f t="shared" si="31"/>
        <v>0.40000000120019175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44280</v>
      </c>
      <c r="AA32" s="160">
        <f t="shared" si="4"/>
        <v>44280</v>
      </c>
      <c r="AB32" s="160">
        <f t="shared" si="5"/>
        <v>3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1.6666666700007989E-2</v>
      </c>
      <c r="CY32" s="94" t="str">
        <f t="shared" si="51"/>
        <v>+</v>
      </c>
      <c r="CZ32" s="95">
        <f t="shared" si="52"/>
        <v>1.6666666700007989E-2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44281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1.6666666700007989E-2</v>
      </c>
      <c r="M33" s="315">
        <f t="shared" si="31"/>
        <v>0.40000000120019175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44281</v>
      </c>
      <c r="AA33" s="160">
        <f t="shared" si="4"/>
        <v>44281</v>
      </c>
      <c r="AB33" s="160">
        <f t="shared" si="5"/>
        <v>3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1.6666666700007989E-2</v>
      </c>
      <c r="CY33" s="94" t="str">
        <f t="shared" si="51"/>
        <v>+</v>
      </c>
      <c r="CZ33" s="95">
        <f t="shared" si="52"/>
        <v>1.6666666700007989E-2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44282</v>
      </c>
      <c r="C34" s="239"/>
      <c r="D34" s="240"/>
      <c r="E34" s="240"/>
      <c r="F34" s="240"/>
      <c r="G34" s="278"/>
      <c r="H34" s="305">
        <f t="shared" si="29"/>
        <v>21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1.6666666700008322E-2</v>
      </c>
      <c r="M34" s="315">
        <f t="shared" si="31"/>
        <v>0.40000000120019974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44282</v>
      </c>
      <c r="AA34" s="160">
        <f t="shared" si="4"/>
        <v>44282</v>
      </c>
      <c r="AB34" s="160">
        <f t="shared" si="5"/>
        <v>3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1.6666666700008322E-2</v>
      </c>
      <c r="CY34" s="94" t="str">
        <f t="shared" si="51"/>
        <v>+</v>
      </c>
      <c r="CZ34" s="95">
        <f t="shared" si="52"/>
        <v>1.6666666700008322E-2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44283</v>
      </c>
      <c r="C35" s="239"/>
      <c r="D35" s="240"/>
      <c r="E35" s="240"/>
      <c r="F35" s="240"/>
      <c r="G35" s="278"/>
      <c r="H35" s="305">
        <f t="shared" si="29"/>
        <v>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1.6666666700008655E-2</v>
      </c>
      <c r="M35" s="315">
        <f t="shared" si="31"/>
        <v>0.40000000120020773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44283</v>
      </c>
      <c r="AA35" s="160">
        <f t="shared" si="4"/>
        <v>44283</v>
      </c>
      <c r="AB35" s="160">
        <f t="shared" si="5"/>
        <v>3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1.6666666700008655E-2</v>
      </c>
      <c r="CY35" s="94" t="str">
        <f t="shared" si="51"/>
        <v>+</v>
      </c>
      <c r="CZ35" s="95">
        <f t="shared" si="52"/>
        <v>1.6666666700008655E-2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44284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1.6666666700008655E-2</v>
      </c>
      <c r="M36" s="315">
        <f t="shared" si="31"/>
        <v>0.40000000120020773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44284</v>
      </c>
      <c r="AA36" s="160">
        <f>IF(AB36&lt;&gt;$AB$8,"",Z36)</f>
        <v>44284</v>
      </c>
      <c r="AB36" s="160">
        <f t="shared" si="5"/>
        <v>3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1.6666666700008655E-2</v>
      </c>
      <c r="CY36" s="94" t="str">
        <f t="shared" si="51"/>
        <v>+</v>
      </c>
      <c r="CZ36" s="95">
        <f t="shared" si="52"/>
        <v>1.6666666700008655E-2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44285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1.6666666700008655E-2</v>
      </c>
      <c r="M37" s="315">
        <f t="shared" si="31"/>
        <v>0.40000000120020773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44285</v>
      </c>
      <c r="AA37" s="160">
        <f>IF(AB37&lt;&gt;$AB$8,"",Z37)</f>
        <v>44285</v>
      </c>
      <c r="AB37" s="160">
        <f t="shared" si="5"/>
        <v>3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1.6666666700008655E-2</v>
      </c>
      <c r="CY37" s="94" t="str">
        <f t="shared" si="51"/>
        <v>+</v>
      </c>
      <c r="CZ37" s="95">
        <f t="shared" si="52"/>
        <v>1.6666666700008655E-2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44286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1.6666666700008655E-2</v>
      </c>
      <c r="M38" s="319">
        <f t="shared" si="31"/>
        <v>0.40000000120020773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44286</v>
      </c>
      <c r="AA38" s="161">
        <f>IF(AB38&lt;&gt;$AB$8,"",Z38)</f>
        <v>44286</v>
      </c>
      <c r="AB38" s="161">
        <f t="shared" si="5"/>
        <v>3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1.6666666700008655E-2</v>
      </c>
      <c r="CY38" s="115" t="str">
        <f t="shared" si="51"/>
        <v>+</v>
      </c>
      <c r="CZ38" s="116">
        <f t="shared" si="52"/>
        <v>1.6666666700008655E-2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februari!Z38</f>
        <v>44258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februari!Z40</f>
        <v>3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N3">
    <cfRule type="expression" dxfId="92" priority="237" stopIfTrue="1">
      <formula>DD41&lt;&gt;0</formula>
    </cfRule>
  </conditionalFormatting>
  <conditionalFormatting sqref="K3:M3">
    <cfRule type="expression" dxfId="91" priority="298" stopIfTrue="1">
      <formula>DB41&lt;&gt;0</formula>
    </cfRule>
  </conditionalFormatting>
  <conditionalFormatting sqref="O3:R3">
    <cfRule type="expression" dxfId="90" priority="386" stopIfTrue="1">
      <formula>#REF!&lt;&gt;0</formula>
    </cfRule>
  </conditionalFormatting>
  <conditionalFormatting sqref="S3:V3">
    <cfRule type="expression" dxfId="89" priority="89" stopIfTrue="1">
      <formula>$S$3&lt;&gt;""</formula>
    </cfRule>
  </conditionalFormatting>
  <conditionalFormatting sqref="A34:R38">
    <cfRule type="expression" dxfId="88" priority="1" stopIfTrue="1">
      <formula>$AB$8&lt;&gt;$AB34</formula>
    </cfRule>
  </conditionalFormatting>
  <conditionalFormatting sqref="M8:M38">
    <cfRule type="expression" dxfId="87" priority="2" stopIfTrue="1">
      <formula>M8&lt;-8</formula>
    </cfRule>
    <cfRule type="expression" dxfId="86" priority="3">
      <formula>M8&lt;0</formula>
    </cfRule>
  </conditionalFormatting>
  <conditionalFormatting sqref="K8:L38">
    <cfRule type="expression" dxfId="85" priority="4" stopIfTrue="1">
      <formula>$CX8&lt;-0.33334</formula>
    </cfRule>
    <cfRule type="expression" dxfId="84" priority="5">
      <formula>$CX8&lt;0</formula>
    </cfRule>
  </conditionalFormatting>
  <conditionalFormatting sqref="N8:R38 A8:I38">
    <cfRule type="expression" dxfId="83" priority="6" stopIfTrue="1">
      <formula>OR($AC8=0,$AC8=1)</formula>
    </cfRule>
    <cfRule type="expression" dxfId="82" priority="7" stopIfTrue="1">
      <formula>COUNTIFS($DG$5:$DG$19,$AA8)&gt;0</formula>
    </cfRule>
    <cfRule type="expression" dxfId="81" priority="8" stopIfTrue="1">
      <formula>VLOOKUP($AC8,$B$42:$D$46,3) = 1</formula>
    </cfRule>
  </conditionalFormatting>
  <dataValidations count="1">
    <dataValidation type="whole" allowBlank="1" showInputMessage="1" showErrorMessage="1" sqref="D42:D46" xr:uid="{1A3D38EC-3954-4D9A-B2FA-BBEB4CD6131F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1000125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44287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maart!K38</f>
        <v>+</v>
      </c>
      <c r="E3" s="385">
        <f>ABS(maart!M38)</f>
        <v>0.40000000120020773</v>
      </c>
      <c r="F3" s="386"/>
      <c r="G3" s="228">
        <f>E3/24</f>
        <v>1.6666666716675323E-2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1.6666666716675323E-2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44287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1.6666666716675323E-2</v>
      </c>
      <c r="M8" s="311">
        <f>800/0.333333333*CX8/100</f>
        <v>0.40000000160020777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44287</v>
      </c>
      <c r="AA8" s="160">
        <f t="shared" ref="AA8:AA35" si="4">Z8</f>
        <v>44287</v>
      </c>
      <c r="AB8" s="160">
        <f t="shared" ref="AB8:AB38" si="5">MONTH(Z8)</f>
        <v>4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1.6666666716675323E-2</v>
      </c>
      <c r="CY8" s="94" t="str">
        <f>IF((CX8)&gt;0,"+","-")</f>
        <v>+</v>
      </c>
      <c r="CZ8" s="95">
        <f>ABS(CX8)</f>
        <v>1.6666666716675323E-2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44288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1.6666666716675323E-2</v>
      </c>
      <c r="M9" s="315">
        <f t="shared" ref="M9:M38" si="31">800/0.333333333*CX9/100</f>
        <v>0.40000000160020777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44288</v>
      </c>
      <c r="AA9" s="160">
        <f t="shared" si="4"/>
        <v>44288</v>
      </c>
      <c r="AB9" s="160">
        <f t="shared" si="5"/>
        <v>4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1.6666666716675323E-2</v>
      </c>
      <c r="CY9" s="94" t="str">
        <f t="shared" ref="CY9:CY38" si="51">IF((CX9)&gt;0,"+","-")</f>
        <v>+</v>
      </c>
      <c r="CZ9" s="95">
        <f t="shared" ref="CZ9:CZ38" si="52">ABS(CX9)</f>
        <v>1.6666666716675323E-2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44289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1.6666666716675656E-2</v>
      </c>
      <c r="M10" s="315">
        <f t="shared" si="31"/>
        <v>0.40000000160021576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44289</v>
      </c>
      <c r="AA10" s="160">
        <f t="shared" si="4"/>
        <v>44289</v>
      </c>
      <c r="AB10" s="160">
        <f t="shared" si="5"/>
        <v>4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1.6666666716675656E-2</v>
      </c>
      <c r="CY10" s="94" t="str">
        <f t="shared" si="51"/>
        <v>+</v>
      </c>
      <c r="CZ10" s="95">
        <f t="shared" si="52"/>
        <v>1.6666666716675656E-2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44290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1.666666671667599E-2</v>
      </c>
      <c r="M11" s="315">
        <f t="shared" si="31"/>
        <v>0.40000000160022375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44290</v>
      </c>
      <c r="AA11" s="160">
        <f t="shared" si="4"/>
        <v>44290</v>
      </c>
      <c r="AB11" s="160">
        <f t="shared" si="5"/>
        <v>4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1.666666671667599E-2</v>
      </c>
      <c r="CY11" s="94" t="str">
        <f t="shared" si="51"/>
        <v>+</v>
      </c>
      <c r="CZ11" s="95">
        <f t="shared" si="52"/>
        <v>1.666666671667599E-2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44291</v>
      </c>
      <c r="C12" s="239"/>
      <c r="D12" s="240"/>
      <c r="E12" s="240"/>
      <c r="F12" s="240"/>
      <c r="G12" s="278"/>
      <c r="H12" s="305">
        <f t="shared" si="29"/>
        <v>2</v>
      </c>
      <c r="I12" s="273" t="str">
        <f t="shared" si="30"/>
        <v/>
      </c>
      <c r="J12" s="312">
        <f t="shared" si="2"/>
        <v>0.33333333333333331</v>
      </c>
      <c r="K12" s="313" t="str">
        <f t="shared" si="3"/>
        <v>+</v>
      </c>
      <c r="L12" s="314">
        <f t="shared" si="3"/>
        <v>3.3333333383342656E-2</v>
      </c>
      <c r="M12" s="315">
        <f t="shared" si="31"/>
        <v>0.8000000020002237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44291</v>
      </c>
      <c r="AA12" s="160">
        <f t="shared" si="4"/>
        <v>44291</v>
      </c>
      <c r="AB12" s="160">
        <f t="shared" si="5"/>
        <v>4</v>
      </c>
      <c r="AC12" s="81">
        <f t="shared" si="6"/>
        <v>2</v>
      </c>
      <c r="AD12" s="160">
        <f t="shared" si="7"/>
        <v>2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0.33333333333333331</v>
      </c>
      <c r="CD12" s="88" t="str">
        <f t="shared" si="19"/>
        <v/>
      </c>
      <c r="CE12" s="89">
        <f t="shared" si="20"/>
        <v>0</v>
      </c>
      <c r="CF12" s="90">
        <f t="shared" si="37"/>
        <v>0.33333333333333331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0.33333333333333331</v>
      </c>
      <c r="CU12" s="92">
        <f t="shared" si="24"/>
        <v>0.33333333333333331</v>
      </c>
      <c r="CV12" s="326">
        <f t="shared" si="49"/>
        <v>0.33333333333333331</v>
      </c>
      <c r="CW12" s="328">
        <f t="shared" si="25"/>
        <v>1.6666666666666663E-2</v>
      </c>
      <c r="CX12" s="330">
        <f t="shared" si="50"/>
        <v>3.3333333383342656E-2</v>
      </c>
      <c r="CY12" s="94" t="str">
        <f t="shared" si="51"/>
        <v>+</v>
      </c>
      <c r="CZ12" s="95">
        <f t="shared" si="52"/>
        <v>3.3333333383342656E-2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44292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3.3333333383342656E-2</v>
      </c>
      <c r="M13" s="315">
        <f t="shared" si="31"/>
        <v>0.8000000020002237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44292</v>
      </c>
      <c r="AA13" s="160">
        <f t="shared" si="4"/>
        <v>44292</v>
      </c>
      <c r="AB13" s="160">
        <f t="shared" si="5"/>
        <v>4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3.3333333383342656E-2</v>
      </c>
      <c r="CY13" s="94" t="str">
        <f t="shared" si="51"/>
        <v>+</v>
      </c>
      <c r="CZ13" s="95">
        <f t="shared" si="52"/>
        <v>3.3333333383342656E-2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44293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3.3333333383342656E-2</v>
      </c>
      <c r="M14" s="315">
        <f t="shared" si="31"/>
        <v>0.8000000020002237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44293</v>
      </c>
      <c r="AA14" s="160">
        <f t="shared" si="4"/>
        <v>44293</v>
      </c>
      <c r="AB14" s="160">
        <f t="shared" si="5"/>
        <v>4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3.3333333383342656E-2</v>
      </c>
      <c r="CY14" s="94" t="str">
        <f t="shared" si="51"/>
        <v>+</v>
      </c>
      <c r="CZ14" s="95">
        <f t="shared" si="52"/>
        <v>3.3333333383342656E-2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44294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3.3333333383342656E-2</v>
      </c>
      <c r="M15" s="315">
        <f t="shared" si="31"/>
        <v>0.8000000020002237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44294</v>
      </c>
      <c r="AA15" s="160">
        <f t="shared" si="4"/>
        <v>44294</v>
      </c>
      <c r="AB15" s="160">
        <f t="shared" si="5"/>
        <v>4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3.3333333383342656E-2</v>
      </c>
      <c r="CY15" s="94" t="str">
        <f t="shared" si="51"/>
        <v>+</v>
      </c>
      <c r="CZ15" s="95">
        <f t="shared" si="52"/>
        <v>3.3333333383342656E-2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44295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3.3333333383342656E-2</v>
      </c>
      <c r="M16" s="315">
        <f t="shared" si="31"/>
        <v>0.8000000020002237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44295</v>
      </c>
      <c r="AA16" s="160">
        <f t="shared" si="4"/>
        <v>44295</v>
      </c>
      <c r="AB16" s="160">
        <f t="shared" si="5"/>
        <v>4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3.3333333383342656E-2</v>
      </c>
      <c r="CY16" s="94" t="str">
        <f t="shared" si="51"/>
        <v>+</v>
      </c>
      <c r="CZ16" s="95">
        <f t="shared" si="52"/>
        <v>3.3333333383342656E-2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44296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3.3333333383342989E-2</v>
      </c>
      <c r="M17" s="315">
        <f t="shared" si="31"/>
        <v>0.8000000020002318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44296</v>
      </c>
      <c r="AA17" s="160">
        <f t="shared" si="4"/>
        <v>44296</v>
      </c>
      <c r="AB17" s="160">
        <f t="shared" si="5"/>
        <v>4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3.3333333383342989E-2</v>
      </c>
      <c r="CY17" s="94" t="str">
        <f t="shared" si="51"/>
        <v>+</v>
      </c>
      <c r="CZ17" s="95">
        <f t="shared" si="52"/>
        <v>3.3333333383342989E-2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44297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3.3333333383343322E-2</v>
      </c>
      <c r="M18" s="315">
        <f t="shared" si="31"/>
        <v>0.8000000020002398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44297</v>
      </c>
      <c r="AA18" s="160">
        <f t="shared" si="4"/>
        <v>44297</v>
      </c>
      <c r="AB18" s="160">
        <f t="shared" si="5"/>
        <v>4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3.3333333383343322E-2</v>
      </c>
      <c r="CY18" s="94" t="str">
        <f t="shared" si="51"/>
        <v>+</v>
      </c>
      <c r="CZ18" s="95">
        <f t="shared" si="52"/>
        <v>3.3333333383343322E-2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44298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3.3333333383343322E-2</v>
      </c>
      <c r="M19" s="315">
        <f t="shared" si="31"/>
        <v>0.8000000020002398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44298</v>
      </c>
      <c r="AA19" s="160">
        <f t="shared" si="4"/>
        <v>44298</v>
      </c>
      <c r="AB19" s="160">
        <f t="shared" si="5"/>
        <v>4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3.3333333383343322E-2</v>
      </c>
      <c r="CY19" s="94" t="str">
        <f t="shared" si="51"/>
        <v>+</v>
      </c>
      <c r="CZ19" s="95">
        <f t="shared" si="52"/>
        <v>3.3333333383343322E-2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44299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3.3333333383343322E-2</v>
      </c>
      <c r="M20" s="315">
        <f t="shared" si="31"/>
        <v>0.8000000020002398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44299</v>
      </c>
      <c r="AA20" s="160">
        <f t="shared" si="4"/>
        <v>44299</v>
      </c>
      <c r="AB20" s="160">
        <f t="shared" si="5"/>
        <v>4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3.3333333383343322E-2</v>
      </c>
      <c r="CY20" s="94" t="str">
        <f t="shared" si="51"/>
        <v>+</v>
      </c>
      <c r="CZ20" s="95">
        <f t="shared" si="52"/>
        <v>3.3333333383343322E-2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44300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3.3333333383343322E-2</v>
      </c>
      <c r="M21" s="315">
        <f t="shared" si="31"/>
        <v>0.8000000020002398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44300</v>
      </c>
      <c r="AA21" s="160">
        <f t="shared" si="4"/>
        <v>44300</v>
      </c>
      <c r="AB21" s="160">
        <f t="shared" si="5"/>
        <v>4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3.3333333383343322E-2</v>
      </c>
      <c r="CY21" s="94" t="str">
        <f t="shared" si="51"/>
        <v>+</v>
      </c>
      <c r="CZ21" s="95">
        <f t="shared" si="52"/>
        <v>3.3333333383343322E-2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44301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3.3333333383343322E-2</v>
      </c>
      <c r="M22" s="315">
        <f t="shared" si="31"/>
        <v>0.8000000020002398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44301</v>
      </c>
      <c r="AA22" s="160">
        <f t="shared" si="4"/>
        <v>44301</v>
      </c>
      <c r="AB22" s="160">
        <f t="shared" si="5"/>
        <v>4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3.3333333383343322E-2</v>
      </c>
      <c r="CY22" s="94" t="str">
        <f t="shared" si="51"/>
        <v>+</v>
      </c>
      <c r="CZ22" s="95">
        <f t="shared" si="52"/>
        <v>3.3333333383343322E-2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44302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3.3333333383343322E-2</v>
      </c>
      <c r="M23" s="315">
        <f t="shared" si="31"/>
        <v>0.8000000020002398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44302</v>
      </c>
      <c r="AA23" s="160">
        <f t="shared" si="4"/>
        <v>44302</v>
      </c>
      <c r="AB23" s="160">
        <f t="shared" si="5"/>
        <v>4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3.3333333383343322E-2</v>
      </c>
      <c r="CY23" s="94" t="str">
        <f t="shared" si="51"/>
        <v>+</v>
      </c>
      <c r="CZ23" s="95">
        <f t="shared" si="52"/>
        <v>3.3333333383343322E-2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44303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3.3333333383343655E-2</v>
      </c>
      <c r="M24" s="315">
        <f t="shared" si="31"/>
        <v>0.80000000200024768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44303</v>
      </c>
      <c r="AA24" s="160">
        <f t="shared" si="4"/>
        <v>44303</v>
      </c>
      <c r="AB24" s="160">
        <f t="shared" si="5"/>
        <v>4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3.3333333383343655E-2</v>
      </c>
      <c r="CY24" s="94" t="str">
        <f t="shared" si="51"/>
        <v>+</v>
      </c>
      <c r="CZ24" s="95">
        <f t="shared" si="52"/>
        <v>3.3333333383343655E-2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44304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3.3333333383343988E-2</v>
      </c>
      <c r="M25" s="315">
        <f t="shared" si="31"/>
        <v>0.80000000200025567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44304</v>
      </c>
      <c r="AA25" s="160">
        <f t="shared" si="4"/>
        <v>44304</v>
      </c>
      <c r="AB25" s="160">
        <f t="shared" si="5"/>
        <v>4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3.3333333383343988E-2</v>
      </c>
      <c r="CY25" s="94" t="str">
        <f t="shared" si="51"/>
        <v>+</v>
      </c>
      <c r="CZ25" s="95">
        <f t="shared" si="52"/>
        <v>3.3333333383343988E-2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44305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3.3333333383343988E-2</v>
      </c>
      <c r="M26" s="315">
        <f t="shared" si="31"/>
        <v>0.80000000200025567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44305</v>
      </c>
      <c r="AA26" s="160">
        <f t="shared" si="4"/>
        <v>44305</v>
      </c>
      <c r="AB26" s="160">
        <f t="shared" si="5"/>
        <v>4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3.3333333383343988E-2</v>
      </c>
      <c r="CY26" s="94" t="str">
        <f t="shared" si="51"/>
        <v>+</v>
      </c>
      <c r="CZ26" s="95">
        <f t="shared" si="52"/>
        <v>3.3333333383343988E-2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44306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3.3333333383343988E-2</v>
      </c>
      <c r="M27" s="315">
        <f t="shared" si="31"/>
        <v>0.80000000200025567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44306</v>
      </c>
      <c r="AA27" s="160">
        <f t="shared" si="4"/>
        <v>44306</v>
      </c>
      <c r="AB27" s="160">
        <f t="shared" si="5"/>
        <v>4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3.3333333383343988E-2</v>
      </c>
      <c r="CY27" s="94" t="str">
        <f t="shared" si="51"/>
        <v>+</v>
      </c>
      <c r="CZ27" s="95">
        <f t="shared" si="52"/>
        <v>3.3333333383343988E-2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44307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3.3333333383343988E-2</v>
      </c>
      <c r="M28" s="315">
        <f t="shared" si="31"/>
        <v>0.80000000200025567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44307</v>
      </c>
      <c r="AA28" s="160">
        <f t="shared" si="4"/>
        <v>44307</v>
      </c>
      <c r="AB28" s="160">
        <f t="shared" si="5"/>
        <v>4</v>
      </c>
      <c r="AC28" s="81">
        <f t="shared" si="6"/>
        <v>4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3.3333333383343988E-2</v>
      </c>
      <c r="CY28" s="94" t="str">
        <f t="shared" si="51"/>
        <v>+</v>
      </c>
      <c r="CZ28" s="95">
        <f t="shared" si="52"/>
        <v>3.3333333383343988E-2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44308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3.3333333383343988E-2</v>
      </c>
      <c r="M29" s="315">
        <f t="shared" si="31"/>
        <v>0.80000000200025567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44308</v>
      </c>
      <c r="AA29" s="160">
        <f t="shared" si="4"/>
        <v>44308</v>
      </c>
      <c r="AB29" s="160">
        <f t="shared" si="5"/>
        <v>4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3.3333333383343988E-2</v>
      </c>
      <c r="CY29" s="94" t="str">
        <f t="shared" si="51"/>
        <v>+</v>
      </c>
      <c r="CZ29" s="95">
        <f t="shared" si="52"/>
        <v>3.3333333383343988E-2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44309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3.3333333383343988E-2</v>
      </c>
      <c r="M30" s="315">
        <f t="shared" si="31"/>
        <v>0.80000000200025567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44309</v>
      </c>
      <c r="AA30" s="160">
        <f t="shared" si="4"/>
        <v>44309</v>
      </c>
      <c r="AB30" s="160">
        <f t="shared" si="5"/>
        <v>4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3.3333333383343988E-2</v>
      </c>
      <c r="CY30" s="94" t="str">
        <f t="shared" si="51"/>
        <v>+</v>
      </c>
      <c r="CZ30" s="95">
        <f t="shared" si="52"/>
        <v>3.3333333383343988E-2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44310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3.3333333383344321E-2</v>
      </c>
      <c r="M31" s="315">
        <f t="shared" si="31"/>
        <v>0.80000000200026378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44310</v>
      </c>
      <c r="AA31" s="160">
        <f t="shared" si="4"/>
        <v>44310</v>
      </c>
      <c r="AB31" s="160">
        <f t="shared" si="5"/>
        <v>4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3.3333333383344321E-2</v>
      </c>
      <c r="CY31" s="94" t="str">
        <f t="shared" si="51"/>
        <v>+</v>
      </c>
      <c r="CZ31" s="95">
        <f t="shared" si="52"/>
        <v>3.3333333383344321E-2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44311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3.3333333383344654E-2</v>
      </c>
      <c r="M32" s="315">
        <f t="shared" si="31"/>
        <v>0.80000000200027177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44311</v>
      </c>
      <c r="AA32" s="160">
        <f t="shared" si="4"/>
        <v>44311</v>
      </c>
      <c r="AB32" s="160">
        <f t="shared" si="5"/>
        <v>4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3.3333333383344654E-2</v>
      </c>
      <c r="CY32" s="94" t="str">
        <f t="shared" si="51"/>
        <v>+</v>
      </c>
      <c r="CZ32" s="95">
        <f t="shared" si="52"/>
        <v>3.3333333383344654E-2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44312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3.3333333383344654E-2</v>
      </c>
      <c r="M33" s="315">
        <f t="shared" si="31"/>
        <v>0.80000000200027177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44312</v>
      </c>
      <c r="AA33" s="160">
        <f t="shared" si="4"/>
        <v>44312</v>
      </c>
      <c r="AB33" s="160">
        <f t="shared" si="5"/>
        <v>4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3.3333333383344654E-2</v>
      </c>
      <c r="CY33" s="94" t="str">
        <f t="shared" si="51"/>
        <v>+</v>
      </c>
      <c r="CZ33" s="95">
        <f t="shared" si="52"/>
        <v>3.3333333383344654E-2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44313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3.3333333383344654E-2</v>
      </c>
      <c r="M34" s="315">
        <f t="shared" si="31"/>
        <v>0.80000000200027177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44313</v>
      </c>
      <c r="AA34" s="160">
        <f t="shared" si="4"/>
        <v>44313</v>
      </c>
      <c r="AB34" s="160">
        <f t="shared" si="5"/>
        <v>4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3.3333333383344654E-2</v>
      </c>
      <c r="CY34" s="94" t="str">
        <f t="shared" si="51"/>
        <v>+</v>
      </c>
      <c r="CZ34" s="95">
        <f t="shared" si="52"/>
        <v>3.3333333383344654E-2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44314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3.3333333383344654E-2</v>
      </c>
      <c r="M35" s="315">
        <f t="shared" si="31"/>
        <v>0.80000000200027177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44314</v>
      </c>
      <c r="AA35" s="160">
        <f t="shared" si="4"/>
        <v>44314</v>
      </c>
      <c r="AB35" s="160">
        <f t="shared" si="5"/>
        <v>4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3.3333333383344654E-2</v>
      </c>
      <c r="CY35" s="94" t="str">
        <f t="shared" si="51"/>
        <v>+</v>
      </c>
      <c r="CZ35" s="95">
        <f t="shared" si="52"/>
        <v>3.3333333383344654E-2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44315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3.3333333383344654E-2</v>
      </c>
      <c r="M36" s="315">
        <f t="shared" si="31"/>
        <v>0.80000000200027177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44315</v>
      </c>
      <c r="AA36" s="160">
        <f>IF(AB36&lt;&gt;$AB$8,"",Z36)</f>
        <v>44315</v>
      </c>
      <c r="AB36" s="160">
        <f t="shared" si="5"/>
        <v>4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3.3333333383344654E-2</v>
      </c>
      <c r="CY36" s="94" t="str">
        <f t="shared" si="51"/>
        <v>+</v>
      </c>
      <c r="CZ36" s="95">
        <f t="shared" si="52"/>
        <v>3.3333333383344654E-2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44316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3.3333333383344654E-2</v>
      </c>
      <c r="M37" s="315">
        <f t="shared" si="31"/>
        <v>0.80000000200027177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44316</v>
      </c>
      <c r="AA37" s="160">
        <f>IF(AB37&lt;&gt;$AB$8,"",Z37)</f>
        <v>44316</v>
      </c>
      <c r="AB37" s="160">
        <f t="shared" si="5"/>
        <v>4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3.3333333383344654E-2</v>
      </c>
      <c r="CY37" s="94" t="str">
        <f t="shared" si="51"/>
        <v>+</v>
      </c>
      <c r="CZ37" s="95">
        <f t="shared" si="52"/>
        <v>3.3333333383344654E-2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3.3333333383344987E-2</v>
      </c>
      <c r="M38" s="319">
        <f t="shared" si="31"/>
        <v>0.80000000200027965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44317</v>
      </c>
      <c r="AA38" s="161" t="str">
        <f>IF(AB38&lt;&gt;$AB$8,"",Z38)</f>
        <v/>
      </c>
      <c r="AB38" s="161">
        <f t="shared" si="5"/>
        <v>5</v>
      </c>
      <c r="AC38" s="106">
        <f t="shared" si="6"/>
        <v>0</v>
      </c>
      <c r="AD38" s="160">
        <f t="shared" si="7"/>
        <v>2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3.3333333383344987E-2</v>
      </c>
      <c r="CY38" s="115" t="str">
        <f t="shared" si="51"/>
        <v>+</v>
      </c>
      <c r="CZ38" s="116">
        <f t="shared" si="52"/>
        <v>3.3333333383344987E-2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maart!Z38</f>
        <v>44286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maart!Z40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0" priority="89" stopIfTrue="1">
      <formula>$S$3&lt;&gt;""</formula>
    </cfRule>
  </conditionalFormatting>
  <conditionalFormatting sqref="A34:R38">
    <cfRule type="expression" dxfId="79" priority="1" stopIfTrue="1">
      <formula>$AB$8&lt;&gt;$AB34</formula>
    </cfRule>
  </conditionalFormatting>
  <conditionalFormatting sqref="M8:M38">
    <cfRule type="expression" dxfId="78" priority="2" stopIfTrue="1">
      <formula>M8&lt;-8</formula>
    </cfRule>
    <cfRule type="expression" dxfId="77" priority="3">
      <formula>M8&lt;0</formula>
    </cfRule>
  </conditionalFormatting>
  <conditionalFormatting sqref="K8:L38">
    <cfRule type="expression" dxfId="76" priority="4" stopIfTrue="1">
      <formula>$CX8&lt;-0.33334</formula>
    </cfRule>
    <cfRule type="expression" dxfId="75" priority="5">
      <formula>$CX8&lt;0</formula>
    </cfRule>
  </conditionalFormatting>
  <conditionalFormatting sqref="N8:R38 A8:I38">
    <cfRule type="expression" dxfId="74" priority="6" stopIfTrue="1">
      <formula>OR($AC8=0,$AC8=1)</formula>
    </cfRule>
    <cfRule type="expression" dxfId="73" priority="7" stopIfTrue="1">
      <formula>COUNTIFS($DG$5:$DG$19,$AA8)&gt;0</formula>
    </cfRule>
    <cfRule type="expression" dxfId="72" priority="8" stopIfTrue="1">
      <formula>VLOOKUP($AC8,$B$42:$D$46,3) = 1</formula>
    </cfRule>
  </conditionalFormatting>
  <dataValidations count="1">
    <dataValidation type="whole" allowBlank="1" showInputMessage="1" showErrorMessage="1" sqref="D42:D46" xr:uid="{5D1CA6D1-0A4F-4446-AD43-78404236D87E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59" orientation="landscape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utton 36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44317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april!K38</f>
        <v>+</v>
      </c>
      <c r="E3" s="385">
        <f>ABS(april!M38)</f>
        <v>0.80000000200027965</v>
      </c>
      <c r="F3" s="386"/>
      <c r="G3" s="228">
        <f>E3/24</f>
        <v>3.3333333416678317E-2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3.3333333416678317E-2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/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44317</v>
      </c>
      <c r="C8" s="232"/>
      <c r="D8" s="233"/>
      <c r="E8" s="233"/>
      <c r="F8" s="233"/>
      <c r="G8" s="277"/>
      <c r="H8" s="304">
        <f>IF(AC8=0,21,IF(AC8=1,1,IF(AD8=2,2,IF(VLOOKUP($AC8,$B$42:$D$46,3)=1,$E$40,""))))</f>
        <v>21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3.333333341667865E-2</v>
      </c>
      <c r="M8" s="311">
        <f>800/0.333333333*CX8/100</f>
        <v>0.8000000028002876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44317</v>
      </c>
      <c r="AA8" s="160">
        <f t="shared" ref="AA8:AA35" si="4">Z8</f>
        <v>44317</v>
      </c>
      <c r="AB8" s="160">
        <f t="shared" ref="AB8:AB38" si="5">MONTH(Z8)</f>
        <v>5</v>
      </c>
      <c r="AC8" s="81">
        <f t="shared" ref="AC8:AC38" si="6">MOD(Z8,7)</f>
        <v>0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3.333333341667865E-2</v>
      </c>
      <c r="CY8" s="94" t="str">
        <f>IF((CX8)&gt;0,"+","-")</f>
        <v>+</v>
      </c>
      <c r="CZ8" s="95">
        <f>ABS(CX8)</f>
        <v>3.333333341667865E-2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44318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3.3333333416678983E-2</v>
      </c>
      <c r="M9" s="315">
        <f t="shared" ref="M9:M38" si="31">800/0.333333333*CX9/100</f>
        <v>0.80000000280029571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44318</v>
      </c>
      <c r="AA9" s="160">
        <f t="shared" si="4"/>
        <v>44318</v>
      </c>
      <c r="AB9" s="160">
        <f t="shared" si="5"/>
        <v>5</v>
      </c>
      <c r="AC9" s="81">
        <f t="shared" si="6"/>
        <v>1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3.3333333416678983E-2</v>
      </c>
      <c r="CY9" s="94" t="str">
        <f t="shared" ref="CY9:CY38" si="51">IF((CX9)&gt;0,"+","-")</f>
        <v>+</v>
      </c>
      <c r="CZ9" s="95">
        <f t="shared" ref="CZ9:CZ38" si="52">ABS(CX9)</f>
        <v>3.3333333416678983E-2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44319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3.3333333416678983E-2</v>
      </c>
      <c r="M10" s="315">
        <f t="shared" si="31"/>
        <v>0.80000000280029571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44319</v>
      </c>
      <c r="AA10" s="160">
        <f t="shared" si="4"/>
        <v>44319</v>
      </c>
      <c r="AB10" s="160">
        <f t="shared" si="5"/>
        <v>5</v>
      </c>
      <c r="AC10" s="81">
        <f t="shared" si="6"/>
        <v>2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3.3333333416678983E-2</v>
      </c>
      <c r="CY10" s="94" t="str">
        <f t="shared" si="51"/>
        <v>+</v>
      </c>
      <c r="CZ10" s="95">
        <f t="shared" si="52"/>
        <v>3.3333333416678983E-2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44320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3.3333333416678983E-2</v>
      </c>
      <c r="M11" s="315">
        <f t="shared" si="31"/>
        <v>0.80000000280029571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44320</v>
      </c>
      <c r="AA11" s="160">
        <f t="shared" si="4"/>
        <v>44320</v>
      </c>
      <c r="AB11" s="160">
        <f t="shared" si="5"/>
        <v>5</v>
      </c>
      <c r="AC11" s="81">
        <f t="shared" si="6"/>
        <v>3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3.3333333416678983E-2</v>
      </c>
      <c r="CY11" s="94" t="str">
        <f t="shared" si="51"/>
        <v>+</v>
      </c>
      <c r="CZ11" s="95">
        <f t="shared" si="52"/>
        <v>3.3333333416678983E-2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44321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3.3333333416678983E-2</v>
      </c>
      <c r="M12" s="315">
        <f t="shared" si="31"/>
        <v>0.80000000280029571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44321</v>
      </c>
      <c r="AA12" s="160">
        <f t="shared" si="4"/>
        <v>44321</v>
      </c>
      <c r="AB12" s="160">
        <f t="shared" si="5"/>
        <v>5</v>
      </c>
      <c r="AC12" s="81">
        <f t="shared" si="6"/>
        <v>4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3.3333333416678983E-2</v>
      </c>
      <c r="CY12" s="94" t="str">
        <f t="shared" si="51"/>
        <v>+</v>
      </c>
      <c r="CZ12" s="95">
        <f t="shared" si="52"/>
        <v>3.3333333416678983E-2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44322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3.3333333416678983E-2</v>
      </c>
      <c r="M13" s="315">
        <f t="shared" si="31"/>
        <v>0.80000000280029571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44322</v>
      </c>
      <c r="AA13" s="160">
        <f t="shared" si="4"/>
        <v>44322</v>
      </c>
      <c r="AB13" s="160">
        <f t="shared" si="5"/>
        <v>5</v>
      </c>
      <c r="AC13" s="81">
        <f t="shared" si="6"/>
        <v>5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3.3333333416678983E-2</v>
      </c>
      <c r="CY13" s="94" t="str">
        <f t="shared" si="51"/>
        <v>+</v>
      </c>
      <c r="CZ13" s="95">
        <f t="shared" si="52"/>
        <v>3.3333333416678983E-2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44323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3.3333333416678983E-2</v>
      </c>
      <c r="M14" s="315">
        <f t="shared" si="31"/>
        <v>0.80000000280029571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44323</v>
      </c>
      <c r="AA14" s="160">
        <f t="shared" si="4"/>
        <v>44323</v>
      </c>
      <c r="AB14" s="160">
        <f t="shared" si="5"/>
        <v>5</v>
      </c>
      <c r="AC14" s="81">
        <f t="shared" si="6"/>
        <v>6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3.3333333416678983E-2</v>
      </c>
      <c r="CY14" s="94" t="str">
        <f t="shared" si="51"/>
        <v>+</v>
      </c>
      <c r="CZ14" s="95">
        <f t="shared" si="52"/>
        <v>3.3333333416678983E-2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44324</v>
      </c>
      <c r="C15" s="239"/>
      <c r="D15" s="240"/>
      <c r="E15" s="240"/>
      <c r="F15" s="240"/>
      <c r="G15" s="278"/>
      <c r="H15" s="305">
        <f t="shared" si="29"/>
        <v>21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3.3333333416679316E-2</v>
      </c>
      <c r="M15" s="315">
        <f t="shared" si="31"/>
        <v>0.80000000280030359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44324</v>
      </c>
      <c r="AA15" s="160">
        <f t="shared" si="4"/>
        <v>44324</v>
      </c>
      <c r="AB15" s="160">
        <f t="shared" si="5"/>
        <v>5</v>
      </c>
      <c r="AC15" s="81">
        <f t="shared" si="6"/>
        <v>0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3.3333333416679316E-2</v>
      </c>
      <c r="CY15" s="94" t="str">
        <f t="shared" si="51"/>
        <v>+</v>
      </c>
      <c r="CZ15" s="95">
        <f t="shared" si="52"/>
        <v>3.3333333416679316E-2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44325</v>
      </c>
      <c r="C16" s="239"/>
      <c r="D16" s="240"/>
      <c r="E16" s="240"/>
      <c r="F16" s="240"/>
      <c r="G16" s="278"/>
      <c r="H16" s="305">
        <f t="shared" si="29"/>
        <v>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3.3333333416679649E-2</v>
      </c>
      <c r="M16" s="315">
        <f t="shared" si="31"/>
        <v>0.80000000280031158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44325</v>
      </c>
      <c r="AA16" s="160">
        <f t="shared" si="4"/>
        <v>44325</v>
      </c>
      <c r="AB16" s="160">
        <f t="shared" si="5"/>
        <v>5</v>
      </c>
      <c r="AC16" s="81">
        <f t="shared" si="6"/>
        <v>1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3.3333333416679649E-2</v>
      </c>
      <c r="CY16" s="94" t="str">
        <f t="shared" si="51"/>
        <v>+</v>
      </c>
      <c r="CZ16" s="95">
        <f t="shared" si="52"/>
        <v>3.3333333416679649E-2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44326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3.3333333416679649E-2</v>
      </c>
      <c r="M17" s="315">
        <f t="shared" si="31"/>
        <v>0.80000000280031158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44326</v>
      </c>
      <c r="AA17" s="160">
        <f t="shared" si="4"/>
        <v>44326</v>
      </c>
      <c r="AB17" s="160">
        <f t="shared" si="5"/>
        <v>5</v>
      </c>
      <c r="AC17" s="81">
        <f t="shared" si="6"/>
        <v>2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3.3333333416679649E-2</v>
      </c>
      <c r="CY17" s="94" t="str">
        <f t="shared" si="51"/>
        <v>+</v>
      </c>
      <c r="CZ17" s="95">
        <f t="shared" si="52"/>
        <v>3.3333333416679649E-2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44327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3.3333333416679649E-2</v>
      </c>
      <c r="M18" s="315">
        <f t="shared" si="31"/>
        <v>0.80000000280031158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44327</v>
      </c>
      <c r="AA18" s="160">
        <f t="shared" si="4"/>
        <v>44327</v>
      </c>
      <c r="AB18" s="160">
        <f t="shared" si="5"/>
        <v>5</v>
      </c>
      <c r="AC18" s="81">
        <f t="shared" si="6"/>
        <v>3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3.3333333416679649E-2</v>
      </c>
      <c r="CY18" s="94" t="str">
        <f t="shared" si="51"/>
        <v>+</v>
      </c>
      <c r="CZ18" s="95">
        <f t="shared" si="52"/>
        <v>3.3333333416679649E-2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44328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3.3333333416679649E-2</v>
      </c>
      <c r="M19" s="315">
        <f t="shared" si="31"/>
        <v>0.80000000280031158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44328</v>
      </c>
      <c r="AA19" s="160">
        <f t="shared" si="4"/>
        <v>44328</v>
      </c>
      <c r="AB19" s="160">
        <f t="shared" si="5"/>
        <v>5</v>
      </c>
      <c r="AC19" s="81">
        <f t="shared" si="6"/>
        <v>4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3.3333333416679649E-2</v>
      </c>
      <c r="CY19" s="94" t="str">
        <f t="shared" si="51"/>
        <v>+</v>
      </c>
      <c r="CZ19" s="95">
        <f t="shared" si="52"/>
        <v>3.3333333416679649E-2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44329</v>
      </c>
      <c r="C20" s="239"/>
      <c r="D20" s="240"/>
      <c r="E20" s="240"/>
      <c r="F20" s="240"/>
      <c r="G20" s="278"/>
      <c r="H20" s="305">
        <f t="shared" si="29"/>
        <v>2</v>
      </c>
      <c r="I20" s="273" t="str">
        <f t="shared" si="30"/>
        <v/>
      </c>
      <c r="J20" s="312">
        <f t="shared" si="2"/>
        <v>0.33333333333333331</v>
      </c>
      <c r="K20" s="313" t="str">
        <f t="shared" si="3"/>
        <v>+</v>
      </c>
      <c r="L20" s="314">
        <f t="shared" si="3"/>
        <v>5.0000000083346312E-2</v>
      </c>
      <c r="M20" s="315">
        <f t="shared" si="31"/>
        <v>1.2000000032003115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44329</v>
      </c>
      <c r="AA20" s="160">
        <f t="shared" si="4"/>
        <v>44329</v>
      </c>
      <c r="AB20" s="160">
        <f t="shared" si="5"/>
        <v>5</v>
      </c>
      <c r="AC20" s="81">
        <f t="shared" si="6"/>
        <v>5</v>
      </c>
      <c r="AD20" s="160">
        <f t="shared" si="7"/>
        <v>2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0.33333333333333331</v>
      </c>
      <c r="CD20" s="88" t="str">
        <f t="shared" si="19"/>
        <v/>
      </c>
      <c r="CE20" s="89">
        <f t="shared" si="20"/>
        <v>0</v>
      </c>
      <c r="CF20" s="90">
        <f t="shared" si="37"/>
        <v>0.33333333333333331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0.33333333333333331</v>
      </c>
      <c r="CU20" s="92">
        <f t="shared" si="24"/>
        <v>0.33333333333333331</v>
      </c>
      <c r="CV20" s="326">
        <f t="shared" si="49"/>
        <v>0.33333333333333331</v>
      </c>
      <c r="CW20" s="328">
        <f t="shared" si="25"/>
        <v>1.6666666666666663E-2</v>
      </c>
      <c r="CX20" s="330">
        <f t="shared" si="50"/>
        <v>5.0000000083346312E-2</v>
      </c>
      <c r="CY20" s="94" t="str">
        <f t="shared" si="51"/>
        <v>+</v>
      </c>
      <c r="CZ20" s="95">
        <f t="shared" si="52"/>
        <v>5.0000000083346312E-2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44330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5.0000000083346312E-2</v>
      </c>
      <c r="M21" s="315">
        <f t="shared" si="31"/>
        <v>1.2000000032003115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44330</v>
      </c>
      <c r="AA21" s="160">
        <f t="shared" si="4"/>
        <v>44330</v>
      </c>
      <c r="AB21" s="160">
        <f t="shared" si="5"/>
        <v>5</v>
      </c>
      <c r="AC21" s="81">
        <f t="shared" si="6"/>
        <v>6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5.0000000083346312E-2</v>
      </c>
      <c r="CY21" s="94" t="str">
        <f t="shared" si="51"/>
        <v>+</v>
      </c>
      <c r="CZ21" s="95">
        <f t="shared" si="52"/>
        <v>5.0000000083346312E-2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44331</v>
      </c>
      <c r="C22" s="239"/>
      <c r="D22" s="240"/>
      <c r="E22" s="240"/>
      <c r="F22" s="240"/>
      <c r="G22" s="278"/>
      <c r="H22" s="305">
        <f t="shared" si="29"/>
        <v>21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5.0000000083346645E-2</v>
      </c>
      <c r="M22" s="315">
        <f t="shared" si="31"/>
        <v>1.2000000032003195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44331</v>
      </c>
      <c r="AA22" s="160">
        <f t="shared" si="4"/>
        <v>44331</v>
      </c>
      <c r="AB22" s="160">
        <f t="shared" si="5"/>
        <v>5</v>
      </c>
      <c r="AC22" s="81">
        <f t="shared" si="6"/>
        <v>0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5.0000000083346645E-2</v>
      </c>
      <c r="CY22" s="94" t="str">
        <f t="shared" si="51"/>
        <v>+</v>
      </c>
      <c r="CZ22" s="95">
        <f t="shared" si="52"/>
        <v>5.0000000083346645E-2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44332</v>
      </c>
      <c r="C23" s="239"/>
      <c r="D23" s="240"/>
      <c r="E23" s="240"/>
      <c r="F23" s="240"/>
      <c r="G23" s="278"/>
      <c r="H23" s="305">
        <f t="shared" si="29"/>
        <v>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5.0000000083346978E-2</v>
      </c>
      <c r="M23" s="315">
        <f t="shared" si="31"/>
        <v>1.2000000032003275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44332</v>
      </c>
      <c r="AA23" s="160">
        <f t="shared" si="4"/>
        <v>44332</v>
      </c>
      <c r="AB23" s="160">
        <f t="shared" si="5"/>
        <v>5</v>
      </c>
      <c r="AC23" s="81">
        <f t="shared" si="6"/>
        <v>1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5.0000000083346978E-2</v>
      </c>
      <c r="CY23" s="94" t="str">
        <f t="shared" si="51"/>
        <v>+</v>
      </c>
      <c r="CZ23" s="95">
        <f t="shared" si="52"/>
        <v>5.0000000083346978E-2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44333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5.0000000083346978E-2</v>
      </c>
      <c r="M24" s="315">
        <f t="shared" si="31"/>
        <v>1.2000000032003275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44333</v>
      </c>
      <c r="AA24" s="160">
        <f t="shared" si="4"/>
        <v>44333</v>
      </c>
      <c r="AB24" s="160">
        <f t="shared" si="5"/>
        <v>5</v>
      </c>
      <c r="AC24" s="81">
        <f t="shared" si="6"/>
        <v>2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5.0000000083346978E-2</v>
      </c>
      <c r="CY24" s="94" t="str">
        <f t="shared" si="51"/>
        <v>+</v>
      </c>
      <c r="CZ24" s="95">
        <f t="shared" si="52"/>
        <v>5.0000000083346978E-2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44334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5.0000000083346978E-2</v>
      </c>
      <c r="M25" s="315">
        <f t="shared" si="31"/>
        <v>1.2000000032003275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44334</v>
      </c>
      <c r="AA25" s="160">
        <f t="shared" si="4"/>
        <v>44334</v>
      </c>
      <c r="AB25" s="160">
        <f t="shared" si="5"/>
        <v>5</v>
      </c>
      <c r="AC25" s="81">
        <f t="shared" si="6"/>
        <v>3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5.0000000083346978E-2</v>
      </c>
      <c r="CY25" s="94" t="str">
        <f t="shared" si="51"/>
        <v>+</v>
      </c>
      <c r="CZ25" s="95">
        <f t="shared" si="52"/>
        <v>5.0000000083346978E-2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44335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5.0000000083346978E-2</v>
      </c>
      <c r="M26" s="315">
        <f t="shared" si="31"/>
        <v>1.2000000032003275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44335</v>
      </c>
      <c r="AA26" s="160">
        <f t="shared" si="4"/>
        <v>44335</v>
      </c>
      <c r="AB26" s="160">
        <f t="shared" si="5"/>
        <v>5</v>
      </c>
      <c r="AC26" s="81">
        <f t="shared" si="6"/>
        <v>4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5.0000000083346978E-2</v>
      </c>
      <c r="CY26" s="94" t="str">
        <f t="shared" si="51"/>
        <v>+</v>
      </c>
      <c r="CZ26" s="95">
        <f t="shared" si="52"/>
        <v>5.0000000083346978E-2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44336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5.0000000083346978E-2</v>
      </c>
      <c r="M27" s="315">
        <f t="shared" si="31"/>
        <v>1.2000000032003275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44336</v>
      </c>
      <c r="AA27" s="160">
        <f t="shared" si="4"/>
        <v>44336</v>
      </c>
      <c r="AB27" s="160">
        <f t="shared" si="5"/>
        <v>5</v>
      </c>
      <c r="AC27" s="81">
        <f t="shared" si="6"/>
        <v>5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5.0000000083346978E-2</v>
      </c>
      <c r="CY27" s="94" t="str">
        <f t="shared" si="51"/>
        <v>+</v>
      </c>
      <c r="CZ27" s="95">
        <f t="shared" si="52"/>
        <v>5.0000000083346978E-2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44337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5.0000000083346978E-2</v>
      </c>
      <c r="M28" s="315">
        <f t="shared" si="31"/>
        <v>1.2000000032003275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44337</v>
      </c>
      <c r="AA28" s="160">
        <f t="shared" si="4"/>
        <v>44337</v>
      </c>
      <c r="AB28" s="160">
        <f t="shared" si="5"/>
        <v>5</v>
      </c>
      <c r="AC28" s="81">
        <f t="shared" si="6"/>
        <v>6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5.0000000083346978E-2</v>
      </c>
      <c r="CY28" s="94" t="str">
        <f t="shared" si="51"/>
        <v>+</v>
      </c>
      <c r="CZ28" s="95">
        <f t="shared" si="52"/>
        <v>5.0000000083346978E-2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44338</v>
      </c>
      <c r="C29" s="239"/>
      <c r="D29" s="240"/>
      <c r="E29" s="240"/>
      <c r="F29" s="240"/>
      <c r="G29" s="278"/>
      <c r="H29" s="305">
        <f t="shared" si="29"/>
        <v>21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5.0000000083347311E-2</v>
      </c>
      <c r="M29" s="315">
        <f t="shared" si="31"/>
        <v>1.2000000032003355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44338</v>
      </c>
      <c r="AA29" s="160">
        <f t="shared" si="4"/>
        <v>44338</v>
      </c>
      <c r="AB29" s="160">
        <f t="shared" si="5"/>
        <v>5</v>
      </c>
      <c r="AC29" s="81">
        <f t="shared" si="6"/>
        <v>0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5.0000000083347311E-2</v>
      </c>
      <c r="CY29" s="94" t="str">
        <f t="shared" si="51"/>
        <v>+</v>
      </c>
      <c r="CZ29" s="95">
        <f t="shared" si="52"/>
        <v>5.0000000083347311E-2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44339</v>
      </c>
      <c r="C30" s="239"/>
      <c r="D30" s="240"/>
      <c r="E30" s="240"/>
      <c r="F30" s="240"/>
      <c r="G30" s="278"/>
      <c r="H30" s="305">
        <f t="shared" si="29"/>
        <v>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5.0000000083347644E-2</v>
      </c>
      <c r="M30" s="315">
        <f t="shared" si="31"/>
        <v>1.2000000032003435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44339</v>
      </c>
      <c r="AA30" s="160">
        <f t="shared" si="4"/>
        <v>44339</v>
      </c>
      <c r="AB30" s="160">
        <f t="shared" si="5"/>
        <v>5</v>
      </c>
      <c r="AC30" s="81">
        <f t="shared" si="6"/>
        <v>1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5.0000000083347644E-2</v>
      </c>
      <c r="CY30" s="94" t="str">
        <f t="shared" si="51"/>
        <v>+</v>
      </c>
      <c r="CZ30" s="95">
        <f t="shared" si="52"/>
        <v>5.0000000083347644E-2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44340</v>
      </c>
      <c r="C31" s="239"/>
      <c r="D31" s="240"/>
      <c r="E31" s="240"/>
      <c r="F31" s="240"/>
      <c r="G31" s="278"/>
      <c r="H31" s="305">
        <f t="shared" si="29"/>
        <v>2</v>
      </c>
      <c r="I31" s="273" t="str">
        <f t="shared" si="30"/>
        <v/>
      </c>
      <c r="J31" s="312">
        <f t="shared" si="2"/>
        <v>0.33333333333333331</v>
      </c>
      <c r="K31" s="313" t="str">
        <f t="shared" si="3"/>
        <v>+</v>
      </c>
      <c r="L31" s="314">
        <f t="shared" si="3"/>
        <v>6.6666666750014314E-2</v>
      </c>
      <c r="M31" s="315">
        <f t="shared" si="31"/>
        <v>1.6000000036003437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44340</v>
      </c>
      <c r="AA31" s="160">
        <f t="shared" si="4"/>
        <v>44340</v>
      </c>
      <c r="AB31" s="160">
        <f t="shared" si="5"/>
        <v>5</v>
      </c>
      <c r="AC31" s="81">
        <f t="shared" si="6"/>
        <v>2</v>
      </c>
      <c r="AD31" s="160">
        <f t="shared" si="7"/>
        <v>2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0.33333333333333331</v>
      </c>
      <c r="CD31" s="88" t="str">
        <f t="shared" si="19"/>
        <v/>
      </c>
      <c r="CE31" s="89">
        <f t="shared" si="20"/>
        <v>0</v>
      </c>
      <c r="CF31" s="90">
        <f t="shared" si="37"/>
        <v>0.33333333333333331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0.33333333333333331</v>
      </c>
      <c r="CU31" s="92">
        <f t="shared" si="24"/>
        <v>0.33333333333333331</v>
      </c>
      <c r="CV31" s="326">
        <f t="shared" si="49"/>
        <v>0.33333333333333331</v>
      </c>
      <c r="CW31" s="328">
        <f t="shared" si="25"/>
        <v>1.6666666666666663E-2</v>
      </c>
      <c r="CX31" s="330">
        <f t="shared" si="50"/>
        <v>6.6666666750014314E-2</v>
      </c>
      <c r="CY31" s="94" t="str">
        <f t="shared" si="51"/>
        <v>+</v>
      </c>
      <c r="CZ31" s="95">
        <f t="shared" si="52"/>
        <v>6.6666666750014314E-2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44341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6.6666666750014314E-2</v>
      </c>
      <c r="M32" s="315">
        <f t="shared" si="31"/>
        <v>1.6000000036003437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44341</v>
      </c>
      <c r="AA32" s="160">
        <f t="shared" si="4"/>
        <v>44341</v>
      </c>
      <c r="AB32" s="160">
        <f t="shared" si="5"/>
        <v>5</v>
      </c>
      <c r="AC32" s="81">
        <f t="shared" si="6"/>
        <v>3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6.6666666750014314E-2</v>
      </c>
      <c r="CY32" s="94" t="str">
        <f t="shared" si="51"/>
        <v>+</v>
      </c>
      <c r="CZ32" s="95">
        <f t="shared" si="52"/>
        <v>6.6666666750014314E-2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44342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6.6666666750014314E-2</v>
      </c>
      <c r="M33" s="315">
        <f t="shared" si="31"/>
        <v>1.6000000036003437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44342</v>
      </c>
      <c r="AA33" s="160">
        <f t="shared" si="4"/>
        <v>44342</v>
      </c>
      <c r="AB33" s="160">
        <f t="shared" si="5"/>
        <v>5</v>
      </c>
      <c r="AC33" s="81">
        <f t="shared" si="6"/>
        <v>4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6.6666666750014314E-2</v>
      </c>
      <c r="CY33" s="94" t="str">
        <f t="shared" si="51"/>
        <v>+</v>
      </c>
      <c r="CZ33" s="95">
        <f t="shared" si="52"/>
        <v>6.6666666750014314E-2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44343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6.6666666750014314E-2</v>
      </c>
      <c r="M34" s="315">
        <f t="shared" si="31"/>
        <v>1.6000000036003437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44343</v>
      </c>
      <c r="AA34" s="160">
        <f t="shared" si="4"/>
        <v>44343</v>
      </c>
      <c r="AB34" s="160">
        <f t="shared" si="5"/>
        <v>5</v>
      </c>
      <c r="AC34" s="81">
        <f t="shared" si="6"/>
        <v>5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6.6666666750014314E-2</v>
      </c>
      <c r="CY34" s="94" t="str">
        <f t="shared" si="51"/>
        <v>+</v>
      </c>
      <c r="CZ34" s="95">
        <f t="shared" si="52"/>
        <v>6.6666666750014314E-2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44344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6.6666666750014314E-2</v>
      </c>
      <c r="M35" s="315">
        <f t="shared" si="31"/>
        <v>1.6000000036003437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44344</v>
      </c>
      <c r="AA35" s="160">
        <f t="shared" si="4"/>
        <v>44344</v>
      </c>
      <c r="AB35" s="160">
        <f t="shared" si="5"/>
        <v>5</v>
      </c>
      <c r="AC35" s="81">
        <f t="shared" si="6"/>
        <v>6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6.6666666750014314E-2</v>
      </c>
      <c r="CY35" s="94" t="str">
        <f t="shared" si="51"/>
        <v>+</v>
      </c>
      <c r="CZ35" s="95">
        <f t="shared" si="52"/>
        <v>6.6666666750014314E-2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44345</v>
      </c>
      <c r="C36" s="239"/>
      <c r="D36" s="240"/>
      <c r="E36" s="240"/>
      <c r="F36" s="240"/>
      <c r="G36" s="278"/>
      <c r="H36" s="305">
        <f t="shared" si="29"/>
        <v>21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6.6666666750014647E-2</v>
      </c>
      <c r="M36" s="315">
        <f t="shared" si="31"/>
        <v>1.6000000036003517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44345</v>
      </c>
      <c r="AA36" s="160">
        <f>IF(AB36&lt;&gt;$AB$8,"",Z36)</f>
        <v>44345</v>
      </c>
      <c r="AB36" s="160">
        <f t="shared" si="5"/>
        <v>5</v>
      </c>
      <c r="AC36" s="81">
        <f t="shared" si="6"/>
        <v>0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6.6666666750014647E-2</v>
      </c>
      <c r="CY36" s="94" t="str">
        <f t="shared" si="51"/>
        <v>+</v>
      </c>
      <c r="CZ36" s="95">
        <f t="shared" si="52"/>
        <v>6.6666666750014647E-2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44346</v>
      </c>
      <c r="C37" s="239"/>
      <c r="D37" s="240"/>
      <c r="E37" s="240"/>
      <c r="F37" s="240"/>
      <c r="G37" s="278"/>
      <c r="H37" s="305">
        <f t="shared" si="29"/>
        <v>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6.666666675001498E-2</v>
      </c>
      <c r="M37" s="315">
        <f t="shared" si="31"/>
        <v>1.6000000036003597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44346</v>
      </c>
      <c r="AA37" s="160">
        <f>IF(AB37&lt;&gt;$AB$8,"",Z37)</f>
        <v>44346</v>
      </c>
      <c r="AB37" s="160">
        <f t="shared" si="5"/>
        <v>5</v>
      </c>
      <c r="AC37" s="81">
        <f t="shared" si="6"/>
        <v>1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6.666666675001498E-2</v>
      </c>
      <c r="CY37" s="94" t="str">
        <f t="shared" si="51"/>
        <v>+</v>
      </c>
      <c r="CZ37" s="95">
        <f t="shared" si="52"/>
        <v>6.666666675001498E-2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44347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6.666666675001498E-2</v>
      </c>
      <c r="M38" s="319">
        <f t="shared" si="31"/>
        <v>1.6000000036003597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44347</v>
      </c>
      <c r="AA38" s="161">
        <f>IF(AB38&lt;&gt;$AB$8,"",Z38)</f>
        <v>44347</v>
      </c>
      <c r="AB38" s="161">
        <f t="shared" si="5"/>
        <v>5</v>
      </c>
      <c r="AC38" s="106">
        <f t="shared" si="6"/>
        <v>2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6.666666675001498E-2</v>
      </c>
      <c r="CY38" s="115" t="str">
        <f t="shared" si="51"/>
        <v>+</v>
      </c>
      <c r="CZ38" s="116">
        <f t="shared" si="52"/>
        <v>6.666666675001498E-2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april!Z38</f>
        <v>44317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april!Z40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71" priority="89" stopIfTrue="1">
      <formula>$S$3&lt;&gt;""</formula>
    </cfRule>
  </conditionalFormatting>
  <conditionalFormatting sqref="A34:R38">
    <cfRule type="expression" dxfId="70" priority="1" stopIfTrue="1">
      <formula>$AB$8&lt;&gt;$AB34</formula>
    </cfRule>
  </conditionalFormatting>
  <conditionalFormatting sqref="M8:M38">
    <cfRule type="expression" dxfId="69" priority="2" stopIfTrue="1">
      <formula>M8&lt;-8</formula>
    </cfRule>
    <cfRule type="expression" dxfId="68" priority="3">
      <formula>M8&lt;0</formula>
    </cfRule>
  </conditionalFormatting>
  <conditionalFormatting sqref="K8:L38">
    <cfRule type="expression" dxfId="67" priority="4" stopIfTrue="1">
      <formula>$CX8&lt;-0.33334</formula>
    </cfRule>
    <cfRule type="expression" dxfId="66" priority="5">
      <formula>$CX8&lt;0</formula>
    </cfRule>
  </conditionalFormatting>
  <conditionalFormatting sqref="N8:R38 A8:I38">
    <cfRule type="expression" dxfId="65" priority="6" stopIfTrue="1">
      <formula>OR($AC8=0,$AC8=1)</formula>
    </cfRule>
    <cfRule type="expression" dxfId="64" priority="7" stopIfTrue="1">
      <formula>COUNTIFS($DG$5:$DG$19,$AA8)&gt;0</formula>
    </cfRule>
    <cfRule type="expression" dxfId="63" priority="8" stopIfTrue="1">
      <formula>VLOOKUP($AC8,$B$42:$D$46,3) = 1</formula>
    </cfRule>
  </conditionalFormatting>
  <dataValidations count="1">
    <dataValidation type="whole" allowBlank="1" showInputMessage="1" showErrorMessage="1" sqref="D42:D46" xr:uid="{1532228E-DF65-4183-9C96-03611913FDA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44348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mei!K38</f>
        <v>+</v>
      </c>
      <c r="E3" s="385">
        <f>ABS(mei!M38)</f>
        <v>1.6000000036003597</v>
      </c>
      <c r="F3" s="386"/>
      <c r="G3" s="228">
        <f>E3/24</f>
        <v>6.6666666816681652E-2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6.6666666816681652E-2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44348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6.6666666816681652E-2</v>
      </c>
      <c r="M8" s="311">
        <f>800/0.333333333*CX8/100</f>
        <v>1.6000000052003598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44348</v>
      </c>
      <c r="AA8" s="160">
        <f t="shared" ref="AA8:AA35" si="4">Z8</f>
        <v>44348</v>
      </c>
      <c r="AB8" s="160">
        <f t="shared" ref="AB8:AB38" si="5">MONTH(Z8)</f>
        <v>6</v>
      </c>
      <c r="AC8" s="81">
        <f t="shared" ref="AC8:AC38" si="6">MOD(Z8,7)</f>
        <v>3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6.6666666816681652E-2</v>
      </c>
      <c r="CY8" s="94" t="str">
        <f>IF((CX8)&gt;0,"+","-")</f>
        <v>+</v>
      </c>
      <c r="CZ8" s="95">
        <f>ABS(CX8)</f>
        <v>6.6666666816681652E-2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44349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6.6666666816681652E-2</v>
      </c>
      <c r="M9" s="315">
        <f t="shared" ref="M9:M38" si="31">800/0.333333333*CX9/100</f>
        <v>1.6000000052003598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44349</v>
      </c>
      <c r="AA9" s="160">
        <f t="shared" si="4"/>
        <v>44349</v>
      </c>
      <c r="AB9" s="160">
        <f t="shared" si="5"/>
        <v>6</v>
      </c>
      <c r="AC9" s="81">
        <f t="shared" si="6"/>
        <v>4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6.6666666816681652E-2</v>
      </c>
      <c r="CY9" s="94" t="str">
        <f t="shared" ref="CY9:CY38" si="51">IF((CX9)&gt;0,"+","-")</f>
        <v>+</v>
      </c>
      <c r="CZ9" s="95">
        <f t="shared" ref="CZ9:CZ38" si="52">ABS(CX9)</f>
        <v>6.6666666816681652E-2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44350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6.6666666816681652E-2</v>
      </c>
      <c r="M10" s="315">
        <f t="shared" si="31"/>
        <v>1.6000000052003598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44350</v>
      </c>
      <c r="AA10" s="160">
        <f t="shared" si="4"/>
        <v>44350</v>
      </c>
      <c r="AB10" s="160">
        <f t="shared" si="5"/>
        <v>6</v>
      </c>
      <c r="AC10" s="81">
        <f t="shared" si="6"/>
        <v>5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6.6666666816681652E-2</v>
      </c>
      <c r="CY10" s="94" t="str">
        <f t="shared" si="51"/>
        <v>+</v>
      </c>
      <c r="CZ10" s="95">
        <f t="shared" si="52"/>
        <v>6.6666666816681652E-2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44351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6.6666666816681652E-2</v>
      </c>
      <c r="M11" s="315">
        <f t="shared" si="31"/>
        <v>1.6000000052003598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44351</v>
      </c>
      <c r="AA11" s="160">
        <f t="shared" si="4"/>
        <v>44351</v>
      </c>
      <c r="AB11" s="160">
        <f t="shared" si="5"/>
        <v>6</v>
      </c>
      <c r="AC11" s="81">
        <f t="shared" si="6"/>
        <v>6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6.6666666816681652E-2</v>
      </c>
      <c r="CY11" s="94" t="str">
        <f t="shared" si="51"/>
        <v>+</v>
      </c>
      <c r="CZ11" s="95">
        <f t="shared" si="52"/>
        <v>6.6666666816681652E-2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44352</v>
      </c>
      <c r="C12" s="239"/>
      <c r="D12" s="240"/>
      <c r="E12" s="240"/>
      <c r="F12" s="240"/>
      <c r="G12" s="278"/>
      <c r="H12" s="305">
        <f t="shared" si="29"/>
        <v>21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6.6666666816681985E-2</v>
      </c>
      <c r="M12" s="315">
        <f t="shared" si="31"/>
        <v>1.6000000052003676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44352</v>
      </c>
      <c r="AA12" s="160">
        <f t="shared" si="4"/>
        <v>44352</v>
      </c>
      <c r="AB12" s="160">
        <f t="shared" si="5"/>
        <v>6</v>
      </c>
      <c r="AC12" s="81">
        <f t="shared" si="6"/>
        <v>0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6.6666666816681985E-2</v>
      </c>
      <c r="CY12" s="94" t="str">
        <f t="shared" si="51"/>
        <v>+</v>
      </c>
      <c r="CZ12" s="95">
        <f t="shared" si="52"/>
        <v>6.6666666816681985E-2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44353</v>
      </c>
      <c r="C13" s="239"/>
      <c r="D13" s="240"/>
      <c r="E13" s="240"/>
      <c r="F13" s="240"/>
      <c r="G13" s="278"/>
      <c r="H13" s="305">
        <f t="shared" si="29"/>
        <v>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6.6666666816682318E-2</v>
      </c>
      <c r="M13" s="315">
        <f t="shared" si="31"/>
        <v>1.6000000052003756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44353</v>
      </c>
      <c r="AA13" s="160">
        <f t="shared" si="4"/>
        <v>44353</v>
      </c>
      <c r="AB13" s="160">
        <f t="shared" si="5"/>
        <v>6</v>
      </c>
      <c r="AC13" s="81">
        <f t="shared" si="6"/>
        <v>1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6.6666666816682318E-2</v>
      </c>
      <c r="CY13" s="94" t="str">
        <f t="shared" si="51"/>
        <v>+</v>
      </c>
      <c r="CZ13" s="95">
        <f t="shared" si="52"/>
        <v>6.6666666816682318E-2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44354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6.6666666816682318E-2</v>
      </c>
      <c r="M14" s="315">
        <f t="shared" si="31"/>
        <v>1.6000000052003756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44354</v>
      </c>
      <c r="AA14" s="160">
        <f t="shared" si="4"/>
        <v>44354</v>
      </c>
      <c r="AB14" s="160">
        <f t="shared" si="5"/>
        <v>6</v>
      </c>
      <c r="AC14" s="81">
        <f t="shared" si="6"/>
        <v>2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6.6666666816682318E-2</v>
      </c>
      <c r="CY14" s="94" t="str">
        <f t="shared" si="51"/>
        <v>+</v>
      </c>
      <c r="CZ14" s="95">
        <f t="shared" si="52"/>
        <v>6.6666666816682318E-2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44355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6.6666666816682318E-2</v>
      </c>
      <c r="M15" s="315">
        <f t="shared" si="31"/>
        <v>1.6000000052003756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44355</v>
      </c>
      <c r="AA15" s="160">
        <f t="shared" si="4"/>
        <v>44355</v>
      </c>
      <c r="AB15" s="160">
        <f t="shared" si="5"/>
        <v>6</v>
      </c>
      <c r="AC15" s="81">
        <f t="shared" si="6"/>
        <v>3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6.6666666816682318E-2</v>
      </c>
      <c r="CY15" s="94" t="str">
        <f t="shared" si="51"/>
        <v>+</v>
      </c>
      <c r="CZ15" s="95">
        <f t="shared" si="52"/>
        <v>6.6666666816682318E-2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44356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6.6666666816682318E-2</v>
      </c>
      <c r="M16" s="315">
        <f t="shared" si="31"/>
        <v>1.6000000052003756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44356</v>
      </c>
      <c r="AA16" s="160">
        <f t="shared" si="4"/>
        <v>44356</v>
      </c>
      <c r="AB16" s="160">
        <f t="shared" si="5"/>
        <v>6</v>
      </c>
      <c r="AC16" s="81">
        <f t="shared" si="6"/>
        <v>4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6.6666666816682318E-2</v>
      </c>
      <c r="CY16" s="94" t="str">
        <f t="shared" si="51"/>
        <v>+</v>
      </c>
      <c r="CZ16" s="95">
        <f t="shared" si="52"/>
        <v>6.6666666816682318E-2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44357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6.6666666816682318E-2</v>
      </c>
      <c r="M17" s="315">
        <f t="shared" si="31"/>
        <v>1.6000000052003756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44357</v>
      </c>
      <c r="AA17" s="160">
        <f t="shared" si="4"/>
        <v>44357</v>
      </c>
      <c r="AB17" s="160">
        <f t="shared" si="5"/>
        <v>6</v>
      </c>
      <c r="AC17" s="81">
        <f t="shared" si="6"/>
        <v>5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6.6666666816682318E-2</v>
      </c>
      <c r="CY17" s="94" t="str">
        <f t="shared" si="51"/>
        <v>+</v>
      </c>
      <c r="CZ17" s="95">
        <f t="shared" si="52"/>
        <v>6.6666666816682318E-2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44358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6.6666666816682318E-2</v>
      </c>
      <c r="M18" s="315">
        <f t="shared" si="31"/>
        <v>1.6000000052003756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44358</v>
      </c>
      <c r="AA18" s="160">
        <f t="shared" si="4"/>
        <v>44358</v>
      </c>
      <c r="AB18" s="160">
        <f t="shared" si="5"/>
        <v>6</v>
      </c>
      <c r="AC18" s="81">
        <f t="shared" si="6"/>
        <v>6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6.6666666816682318E-2</v>
      </c>
      <c r="CY18" s="94" t="str">
        <f t="shared" si="51"/>
        <v>+</v>
      </c>
      <c r="CZ18" s="95">
        <f t="shared" si="52"/>
        <v>6.6666666816682318E-2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44359</v>
      </c>
      <c r="C19" s="239"/>
      <c r="D19" s="240"/>
      <c r="E19" s="240"/>
      <c r="F19" s="240"/>
      <c r="G19" s="278"/>
      <c r="H19" s="305">
        <f t="shared" si="29"/>
        <v>21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6.6666666816682651E-2</v>
      </c>
      <c r="M19" s="315">
        <f t="shared" si="31"/>
        <v>1.6000000052003835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44359</v>
      </c>
      <c r="AA19" s="160">
        <f t="shared" si="4"/>
        <v>44359</v>
      </c>
      <c r="AB19" s="160">
        <f t="shared" si="5"/>
        <v>6</v>
      </c>
      <c r="AC19" s="81">
        <f t="shared" si="6"/>
        <v>0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6.6666666816682651E-2</v>
      </c>
      <c r="CY19" s="94" t="str">
        <f t="shared" si="51"/>
        <v>+</v>
      </c>
      <c r="CZ19" s="95">
        <f t="shared" si="52"/>
        <v>6.6666666816682651E-2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44360</v>
      </c>
      <c r="C20" s="239"/>
      <c r="D20" s="240"/>
      <c r="E20" s="240"/>
      <c r="F20" s="240"/>
      <c r="G20" s="278"/>
      <c r="H20" s="305">
        <f t="shared" si="29"/>
        <v>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6.6666666816682985E-2</v>
      </c>
      <c r="M20" s="315">
        <f t="shared" si="31"/>
        <v>1.6000000052003918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44360</v>
      </c>
      <c r="AA20" s="160">
        <f t="shared" si="4"/>
        <v>44360</v>
      </c>
      <c r="AB20" s="160">
        <f t="shared" si="5"/>
        <v>6</v>
      </c>
      <c r="AC20" s="81">
        <f t="shared" si="6"/>
        <v>1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6.6666666816682985E-2</v>
      </c>
      <c r="CY20" s="94" t="str">
        <f t="shared" si="51"/>
        <v>+</v>
      </c>
      <c r="CZ20" s="95">
        <f t="shared" si="52"/>
        <v>6.6666666816682985E-2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44361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6.6666666816682985E-2</v>
      </c>
      <c r="M21" s="315">
        <f t="shared" si="31"/>
        <v>1.6000000052003918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44361</v>
      </c>
      <c r="AA21" s="160">
        <f t="shared" si="4"/>
        <v>44361</v>
      </c>
      <c r="AB21" s="160">
        <f t="shared" si="5"/>
        <v>6</v>
      </c>
      <c r="AC21" s="81">
        <f t="shared" si="6"/>
        <v>2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6.6666666816682985E-2</v>
      </c>
      <c r="CY21" s="94" t="str">
        <f t="shared" si="51"/>
        <v>+</v>
      </c>
      <c r="CZ21" s="95">
        <f t="shared" si="52"/>
        <v>6.6666666816682985E-2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44362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6.6666666816682985E-2</v>
      </c>
      <c r="M22" s="315">
        <f t="shared" si="31"/>
        <v>1.6000000052003918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44362</v>
      </c>
      <c r="AA22" s="160">
        <f t="shared" si="4"/>
        <v>44362</v>
      </c>
      <c r="AB22" s="160">
        <f t="shared" si="5"/>
        <v>6</v>
      </c>
      <c r="AC22" s="81">
        <f t="shared" si="6"/>
        <v>3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6.6666666816682985E-2</v>
      </c>
      <c r="CY22" s="94" t="str">
        <f t="shared" si="51"/>
        <v>+</v>
      </c>
      <c r="CZ22" s="95">
        <f t="shared" si="52"/>
        <v>6.6666666816682985E-2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44363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6.6666666816682985E-2</v>
      </c>
      <c r="M23" s="315">
        <f t="shared" si="31"/>
        <v>1.6000000052003918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44363</v>
      </c>
      <c r="AA23" s="160">
        <f t="shared" si="4"/>
        <v>44363</v>
      </c>
      <c r="AB23" s="160">
        <f t="shared" si="5"/>
        <v>6</v>
      </c>
      <c r="AC23" s="81">
        <f t="shared" si="6"/>
        <v>4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6.6666666816682985E-2</v>
      </c>
      <c r="CY23" s="94" t="str">
        <f t="shared" si="51"/>
        <v>+</v>
      </c>
      <c r="CZ23" s="95">
        <f t="shared" si="52"/>
        <v>6.6666666816682985E-2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44364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6.6666666816682985E-2</v>
      </c>
      <c r="M24" s="315">
        <f t="shared" si="31"/>
        <v>1.6000000052003918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44364</v>
      </c>
      <c r="AA24" s="160">
        <f t="shared" si="4"/>
        <v>44364</v>
      </c>
      <c r="AB24" s="160">
        <f t="shared" si="5"/>
        <v>6</v>
      </c>
      <c r="AC24" s="81">
        <f t="shared" si="6"/>
        <v>5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6.6666666816682985E-2</v>
      </c>
      <c r="CY24" s="94" t="str">
        <f t="shared" si="51"/>
        <v>+</v>
      </c>
      <c r="CZ24" s="95">
        <f t="shared" si="52"/>
        <v>6.6666666816682985E-2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44365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6.6666666816682985E-2</v>
      </c>
      <c r="M25" s="315">
        <f t="shared" si="31"/>
        <v>1.6000000052003918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44365</v>
      </c>
      <c r="AA25" s="160">
        <f t="shared" si="4"/>
        <v>44365</v>
      </c>
      <c r="AB25" s="160">
        <f t="shared" si="5"/>
        <v>6</v>
      </c>
      <c r="AC25" s="81">
        <f t="shared" si="6"/>
        <v>6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6.6666666816682985E-2</v>
      </c>
      <c r="CY25" s="94" t="str">
        <f t="shared" si="51"/>
        <v>+</v>
      </c>
      <c r="CZ25" s="95">
        <f t="shared" si="52"/>
        <v>6.6666666816682985E-2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44366</v>
      </c>
      <c r="C26" s="239"/>
      <c r="D26" s="240"/>
      <c r="E26" s="240"/>
      <c r="F26" s="240"/>
      <c r="G26" s="278"/>
      <c r="H26" s="305">
        <f t="shared" si="29"/>
        <v>21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6.6666666816683318E-2</v>
      </c>
      <c r="M26" s="315">
        <f t="shared" si="31"/>
        <v>1.6000000052003998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44366</v>
      </c>
      <c r="AA26" s="160">
        <f t="shared" si="4"/>
        <v>44366</v>
      </c>
      <c r="AB26" s="160">
        <f t="shared" si="5"/>
        <v>6</v>
      </c>
      <c r="AC26" s="81">
        <f t="shared" si="6"/>
        <v>0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6.6666666816683318E-2</v>
      </c>
      <c r="CY26" s="94" t="str">
        <f t="shared" si="51"/>
        <v>+</v>
      </c>
      <c r="CZ26" s="95">
        <f t="shared" si="52"/>
        <v>6.6666666816683318E-2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44367</v>
      </c>
      <c r="C27" s="239"/>
      <c r="D27" s="240"/>
      <c r="E27" s="240"/>
      <c r="F27" s="240"/>
      <c r="G27" s="278"/>
      <c r="H27" s="305">
        <f t="shared" si="29"/>
        <v>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6.6666666816683651E-2</v>
      </c>
      <c r="M27" s="315">
        <f t="shared" si="31"/>
        <v>1.6000000052004077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44367</v>
      </c>
      <c r="AA27" s="160">
        <f t="shared" si="4"/>
        <v>44367</v>
      </c>
      <c r="AB27" s="160">
        <f t="shared" si="5"/>
        <v>6</v>
      </c>
      <c r="AC27" s="81">
        <f t="shared" si="6"/>
        <v>1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6.6666666816683651E-2</v>
      </c>
      <c r="CY27" s="94" t="str">
        <f t="shared" si="51"/>
        <v>+</v>
      </c>
      <c r="CZ27" s="95">
        <f t="shared" si="52"/>
        <v>6.6666666816683651E-2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44368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6.6666666816683651E-2</v>
      </c>
      <c r="M28" s="315">
        <f t="shared" si="31"/>
        <v>1.6000000052004077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44368</v>
      </c>
      <c r="AA28" s="160">
        <f t="shared" si="4"/>
        <v>44368</v>
      </c>
      <c r="AB28" s="160">
        <f t="shared" si="5"/>
        <v>6</v>
      </c>
      <c r="AC28" s="81">
        <f t="shared" si="6"/>
        <v>2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6.6666666816683651E-2</v>
      </c>
      <c r="CY28" s="94" t="str">
        <f t="shared" si="51"/>
        <v>+</v>
      </c>
      <c r="CZ28" s="95">
        <f t="shared" si="52"/>
        <v>6.6666666816683651E-2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44369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6.6666666816683651E-2</v>
      </c>
      <c r="M29" s="315">
        <f t="shared" si="31"/>
        <v>1.6000000052004077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44369</v>
      </c>
      <c r="AA29" s="160">
        <f t="shared" si="4"/>
        <v>44369</v>
      </c>
      <c r="AB29" s="160">
        <f t="shared" si="5"/>
        <v>6</v>
      </c>
      <c r="AC29" s="81">
        <f t="shared" si="6"/>
        <v>3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6.6666666816683651E-2</v>
      </c>
      <c r="CY29" s="94" t="str">
        <f t="shared" si="51"/>
        <v>+</v>
      </c>
      <c r="CZ29" s="95">
        <f t="shared" si="52"/>
        <v>6.6666666816683651E-2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44370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6.6666666816683651E-2</v>
      </c>
      <c r="M30" s="315">
        <f t="shared" si="31"/>
        <v>1.6000000052004077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44370</v>
      </c>
      <c r="AA30" s="160">
        <f t="shared" si="4"/>
        <v>44370</v>
      </c>
      <c r="AB30" s="160">
        <f t="shared" si="5"/>
        <v>6</v>
      </c>
      <c r="AC30" s="81">
        <f t="shared" si="6"/>
        <v>4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6.6666666816683651E-2</v>
      </c>
      <c r="CY30" s="94" t="str">
        <f t="shared" si="51"/>
        <v>+</v>
      </c>
      <c r="CZ30" s="95">
        <f t="shared" si="52"/>
        <v>6.6666666816683651E-2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44371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6.6666666816683651E-2</v>
      </c>
      <c r="M31" s="315">
        <f t="shared" si="31"/>
        <v>1.6000000052004077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44371</v>
      </c>
      <c r="AA31" s="160">
        <f t="shared" si="4"/>
        <v>44371</v>
      </c>
      <c r="AB31" s="160">
        <f t="shared" si="5"/>
        <v>6</v>
      </c>
      <c r="AC31" s="81">
        <f t="shared" si="6"/>
        <v>5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6.6666666816683651E-2</v>
      </c>
      <c r="CY31" s="94" t="str">
        <f t="shared" si="51"/>
        <v>+</v>
      </c>
      <c r="CZ31" s="95">
        <f t="shared" si="52"/>
        <v>6.6666666816683651E-2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44372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6.6666666816683651E-2</v>
      </c>
      <c r="M32" s="315">
        <f t="shared" si="31"/>
        <v>1.6000000052004077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44372</v>
      </c>
      <c r="AA32" s="160">
        <f t="shared" si="4"/>
        <v>44372</v>
      </c>
      <c r="AB32" s="160">
        <f t="shared" si="5"/>
        <v>6</v>
      </c>
      <c r="AC32" s="81">
        <f t="shared" si="6"/>
        <v>6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6.6666666816683651E-2</v>
      </c>
      <c r="CY32" s="94" t="str">
        <f t="shared" si="51"/>
        <v>+</v>
      </c>
      <c r="CZ32" s="95">
        <f t="shared" si="52"/>
        <v>6.6666666816683651E-2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44373</v>
      </c>
      <c r="C33" s="239"/>
      <c r="D33" s="240"/>
      <c r="E33" s="240"/>
      <c r="F33" s="240"/>
      <c r="G33" s="278"/>
      <c r="H33" s="305">
        <f t="shared" si="29"/>
        <v>21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6.6666666816683984E-2</v>
      </c>
      <c r="M33" s="315">
        <f t="shared" si="31"/>
        <v>1.6000000052004157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44373</v>
      </c>
      <c r="AA33" s="160">
        <f t="shared" si="4"/>
        <v>44373</v>
      </c>
      <c r="AB33" s="160">
        <f t="shared" si="5"/>
        <v>6</v>
      </c>
      <c r="AC33" s="81">
        <f t="shared" si="6"/>
        <v>0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6.6666666816683984E-2</v>
      </c>
      <c r="CY33" s="94" t="str">
        <f t="shared" si="51"/>
        <v>+</v>
      </c>
      <c r="CZ33" s="95">
        <f t="shared" si="52"/>
        <v>6.6666666816683984E-2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44374</v>
      </c>
      <c r="C34" s="239"/>
      <c r="D34" s="240"/>
      <c r="E34" s="240"/>
      <c r="F34" s="240"/>
      <c r="G34" s="278"/>
      <c r="H34" s="305">
        <f t="shared" si="29"/>
        <v>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6.6666666816684317E-2</v>
      </c>
      <c r="M34" s="315">
        <f t="shared" si="31"/>
        <v>1.6000000052004237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44374</v>
      </c>
      <c r="AA34" s="160">
        <f t="shared" si="4"/>
        <v>44374</v>
      </c>
      <c r="AB34" s="160">
        <f t="shared" si="5"/>
        <v>6</v>
      </c>
      <c r="AC34" s="81">
        <f t="shared" si="6"/>
        <v>1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6.6666666816684317E-2</v>
      </c>
      <c r="CY34" s="94" t="str">
        <f t="shared" si="51"/>
        <v>+</v>
      </c>
      <c r="CZ34" s="95">
        <f t="shared" si="52"/>
        <v>6.6666666816684317E-2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44375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6.6666666816684317E-2</v>
      </c>
      <c r="M35" s="315">
        <f t="shared" si="31"/>
        <v>1.6000000052004237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44375</v>
      </c>
      <c r="AA35" s="160">
        <f t="shared" si="4"/>
        <v>44375</v>
      </c>
      <c r="AB35" s="160">
        <f t="shared" si="5"/>
        <v>6</v>
      </c>
      <c r="AC35" s="81">
        <f t="shared" si="6"/>
        <v>2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6.6666666816684317E-2</v>
      </c>
      <c r="CY35" s="94" t="str">
        <f t="shared" si="51"/>
        <v>+</v>
      </c>
      <c r="CZ35" s="95">
        <f t="shared" si="52"/>
        <v>6.6666666816684317E-2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44376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6.6666666816684317E-2</v>
      </c>
      <c r="M36" s="315">
        <f t="shared" si="31"/>
        <v>1.6000000052004237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44376</v>
      </c>
      <c r="AA36" s="160">
        <f>IF(AB36&lt;&gt;$AB$8,"",Z36)</f>
        <v>44376</v>
      </c>
      <c r="AB36" s="160">
        <f t="shared" si="5"/>
        <v>6</v>
      </c>
      <c r="AC36" s="81">
        <f t="shared" si="6"/>
        <v>3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6.6666666816684317E-2</v>
      </c>
      <c r="CY36" s="94" t="str">
        <f t="shared" si="51"/>
        <v>+</v>
      </c>
      <c r="CZ36" s="95">
        <f t="shared" si="52"/>
        <v>6.6666666816684317E-2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44377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6.6666666816684317E-2</v>
      </c>
      <c r="M37" s="315">
        <f t="shared" si="31"/>
        <v>1.6000000052004237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44377</v>
      </c>
      <c r="AA37" s="160">
        <f>IF(AB37&lt;&gt;$AB$8,"",Z37)</f>
        <v>44377</v>
      </c>
      <c r="AB37" s="160">
        <f t="shared" si="5"/>
        <v>6</v>
      </c>
      <c r="AC37" s="81">
        <f t="shared" si="6"/>
        <v>4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6.6666666816684317E-2</v>
      </c>
      <c r="CY37" s="94" t="str">
        <f t="shared" si="51"/>
        <v>+</v>
      </c>
      <c r="CZ37" s="95">
        <f t="shared" si="52"/>
        <v>6.6666666816684317E-2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6.6666666816684317E-2</v>
      </c>
      <c r="M38" s="319">
        <f t="shared" si="31"/>
        <v>1.6000000052004237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44378</v>
      </c>
      <c r="AA38" s="161" t="str">
        <f>IF(AB38&lt;&gt;$AB$8,"",Z38)</f>
        <v/>
      </c>
      <c r="AB38" s="161">
        <f t="shared" si="5"/>
        <v>7</v>
      </c>
      <c r="AC38" s="106">
        <f t="shared" si="6"/>
        <v>5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6.6666666816684317E-2</v>
      </c>
      <c r="CY38" s="115" t="str">
        <f t="shared" si="51"/>
        <v>+</v>
      </c>
      <c r="CZ38" s="116">
        <f t="shared" si="52"/>
        <v>6.6666666816684317E-2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mei!Z38</f>
        <v>44347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mei!Z40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62" priority="89" stopIfTrue="1">
      <formula>$S$3&lt;&gt;""</formula>
    </cfRule>
  </conditionalFormatting>
  <conditionalFormatting sqref="A34:R38">
    <cfRule type="expression" dxfId="61" priority="1" stopIfTrue="1">
      <formula>$AB$8&lt;&gt;$AB34</formula>
    </cfRule>
  </conditionalFormatting>
  <conditionalFormatting sqref="M8:M38">
    <cfRule type="expression" dxfId="60" priority="2" stopIfTrue="1">
      <formula>M8&lt;-8</formula>
    </cfRule>
    <cfRule type="expression" dxfId="59" priority="3">
      <formula>M8&lt;0</formula>
    </cfRule>
  </conditionalFormatting>
  <conditionalFormatting sqref="K8:L38">
    <cfRule type="expression" dxfId="58" priority="4" stopIfTrue="1">
      <formula>$CX8&lt;-0.33334</formula>
    </cfRule>
    <cfRule type="expression" dxfId="57" priority="5">
      <formula>$CX8&lt;0</formula>
    </cfRule>
  </conditionalFormatting>
  <conditionalFormatting sqref="N8:R38 A8:I38">
    <cfRule type="expression" dxfId="56" priority="6" stopIfTrue="1">
      <formula>OR($AC8=0,$AC8=1)</formula>
    </cfRule>
    <cfRule type="expression" dxfId="55" priority="7" stopIfTrue="1">
      <formula>COUNTIFS($DG$5:$DG$19,$AA8)&gt;0</formula>
    </cfRule>
    <cfRule type="expression" dxfId="54" priority="8" stopIfTrue="1">
      <formula>VLOOKUP($AC8,$B$42:$D$46,3) = 1</formula>
    </cfRule>
  </conditionalFormatting>
  <dataValidations count="1">
    <dataValidation type="whole" allowBlank="1" showInputMessage="1" showErrorMessage="1" sqref="D42:D46" xr:uid="{A1590A4D-98E5-48D6-ABB3-BFA20F753528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25</xdr:col>
                    <xdr:colOff>9525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44378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juni!K38</f>
        <v>+</v>
      </c>
      <c r="E3" s="385">
        <f>ABS(juni!M38)</f>
        <v>1.6000000052004237</v>
      </c>
      <c r="F3" s="386"/>
      <c r="G3" s="228">
        <f>E3/24</f>
        <v>6.6666666883350989E-2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6.6666666883350989E-2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44378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6.6666666883350989E-2</v>
      </c>
      <c r="M8" s="311">
        <f>800/0.333333333*CX8/100</f>
        <v>1.6000000068004239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44378</v>
      </c>
      <c r="AA8" s="160">
        <f t="shared" ref="AA8:AA35" si="4">Z8</f>
        <v>44378</v>
      </c>
      <c r="AB8" s="160">
        <f t="shared" ref="AB8:AB38" si="5">MONTH(Z8)</f>
        <v>7</v>
      </c>
      <c r="AC8" s="81">
        <f t="shared" ref="AC8:AC38" si="6">MOD(Z8,7)</f>
        <v>5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6.6666666883350989E-2</v>
      </c>
      <c r="CY8" s="94" t="str">
        <f>IF((CX8)&gt;0,"+","-")</f>
        <v>+</v>
      </c>
      <c r="CZ8" s="95">
        <f>ABS(CX8)</f>
        <v>6.6666666883350989E-2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44379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6.6666666883350989E-2</v>
      </c>
      <c r="M9" s="315">
        <f t="shared" ref="M9:M38" si="31">800/0.333333333*CX9/100</f>
        <v>1.6000000068004239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44379</v>
      </c>
      <c r="AA9" s="160">
        <f t="shared" si="4"/>
        <v>44379</v>
      </c>
      <c r="AB9" s="160">
        <f t="shared" si="5"/>
        <v>7</v>
      </c>
      <c r="AC9" s="81">
        <f t="shared" si="6"/>
        <v>6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6.6666666883350989E-2</v>
      </c>
      <c r="CY9" s="94" t="str">
        <f t="shared" ref="CY9:CY38" si="51">IF((CX9)&gt;0,"+","-")</f>
        <v>+</v>
      </c>
      <c r="CZ9" s="95">
        <f t="shared" ref="CZ9:CZ38" si="52">ABS(CX9)</f>
        <v>6.6666666883350989E-2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44380</v>
      </c>
      <c r="C10" s="239"/>
      <c r="D10" s="240"/>
      <c r="E10" s="240"/>
      <c r="F10" s="240"/>
      <c r="G10" s="278"/>
      <c r="H10" s="305">
        <f t="shared" si="29"/>
        <v>21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6.6666666883351322E-2</v>
      </c>
      <c r="M10" s="315">
        <f t="shared" si="31"/>
        <v>1.6000000068004316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44380</v>
      </c>
      <c r="AA10" s="160">
        <f t="shared" si="4"/>
        <v>44380</v>
      </c>
      <c r="AB10" s="160">
        <f t="shared" si="5"/>
        <v>7</v>
      </c>
      <c r="AC10" s="81">
        <f t="shared" si="6"/>
        <v>0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6.6666666883351322E-2</v>
      </c>
      <c r="CY10" s="94" t="str">
        <f t="shared" si="51"/>
        <v>+</v>
      </c>
      <c r="CZ10" s="95">
        <f t="shared" si="52"/>
        <v>6.6666666883351322E-2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44381</v>
      </c>
      <c r="C11" s="239"/>
      <c r="D11" s="240"/>
      <c r="E11" s="240"/>
      <c r="F11" s="240"/>
      <c r="G11" s="278"/>
      <c r="H11" s="305">
        <f t="shared" si="29"/>
        <v>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6.6666666883351655E-2</v>
      </c>
      <c r="M11" s="315">
        <f t="shared" si="31"/>
        <v>1.6000000068004396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44381</v>
      </c>
      <c r="AA11" s="160">
        <f t="shared" si="4"/>
        <v>44381</v>
      </c>
      <c r="AB11" s="160">
        <f t="shared" si="5"/>
        <v>7</v>
      </c>
      <c r="AC11" s="81">
        <f t="shared" si="6"/>
        <v>1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6.6666666883351655E-2</v>
      </c>
      <c r="CY11" s="94" t="str">
        <f t="shared" si="51"/>
        <v>+</v>
      </c>
      <c r="CZ11" s="95">
        <f t="shared" si="52"/>
        <v>6.6666666883351655E-2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44382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6.6666666883351655E-2</v>
      </c>
      <c r="M12" s="315">
        <f t="shared" si="31"/>
        <v>1.6000000068004396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44382</v>
      </c>
      <c r="AA12" s="160">
        <f t="shared" si="4"/>
        <v>44382</v>
      </c>
      <c r="AB12" s="160">
        <f t="shared" si="5"/>
        <v>7</v>
      </c>
      <c r="AC12" s="81">
        <f t="shared" si="6"/>
        <v>2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6.6666666883351655E-2</v>
      </c>
      <c r="CY12" s="94" t="str">
        <f t="shared" si="51"/>
        <v>+</v>
      </c>
      <c r="CZ12" s="95">
        <f t="shared" si="52"/>
        <v>6.6666666883351655E-2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44383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6.6666666883351655E-2</v>
      </c>
      <c r="M13" s="315">
        <f t="shared" si="31"/>
        <v>1.6000000068004396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44383</v>
      </c>
      <c r="AA13" s="160">
        <f t="shared" si="4"/>
        <v>44383</v>
      </c>
      <c r="AB13" s="160">
        <f t="shared" si="5"/>
        <v>7</v>
      </c>
      <c r="AC13" s="81">
        <f t="shared" si="6"/>
        <v>3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6.6666666883351655E-2</v>
      </c>
      <c r="CY13" s="94" t="str">
        <f t="shared" si="51"/>
        <v>+</v>
      </c>
      <c r="CZ13" s="95">
        <f t="shared" si="52"/>
        <v>6.6666666883351655E-2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44384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6.6666666883351655E-2</v>
      </c>
      <c r="M14" s="315">
        <f t="shared" si="31"/>
        <v>1.6000000068004396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44384</v>
      </c>
      <c r="AA14" s="160">
        <f t="shared" si="4"/>
        <v>44384</v>
      </c>
      <c r="AB14" s="160">
        <f t="shared" si="5"/>
        <v>7</v>
      </c>
      <c r="AC14" s="81">
        <f t="shared" si="6"/>
        <v>4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6.6666666883351655E-2</v>
      </c>
      <c r="CY14" s="94" t="str">
        <f t="shared" si="51"/>
        <v>+</v>
      </c>
      <c r="CZ14" s="95">
        <f t="shared" si="52"/>
        <v>6.6666666883351655E-2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44385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6.6666666883351655E-2</v>
      </c>
      <c r="M15" s="315">
        <f t="shared" si="31"/>
        <v>1.6000000068004396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44385</v>
      </c>
      <c r="AA15" s="160">
        <f t="shared" si="4"/>
        <v>44385</v>
      </c>
      <c r="AB15" s="160">
        <f t="shared" si="5"/>
        <v>7</v>
      </c>
      <c r="AC15" s="81">
        <f t="shared" si="6"/>
        <v>5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6.6666666883351655E-2</v>
      </c>
      <c r="CY15" s="94" t="str">
        <f t="shared" si="51"/>
        <v>+</v>
      </c>
      <c r="CZ15" s="95">
        <f t="shared" si="52"/>
        <v>6.6666666883351655E-2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44386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6.6666666883351655E-2</v>
      </c>
      <c r="M16" s="315">
        <f t="shared" si="31"/>
        <v>1.6000000068004396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44386</v>
      </c>
      <c r="AA16" s="160">
        <f t="shared" si="4"/>
        <v>44386</v>
      </c>
      <c r="AB16" s="160">
        <f t="shared" si="5"/>
        <v>7</v>
      </c>
      <c r="AC16" s="81">
        <f t="shared" si="6"/>
        <v>6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6.6666666883351655E-2</v>
      </c>
      <c r="CY16" s="94" t="str">
        <f t="shared" si="51"/>
        <v>+</v>
      </c>
      <c r="CZ16" s="95">
        <f t="shared" si="52"/>
        <v>6.6666666883351655E-2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44387</v>
      </c>
      <c r="C17" s="239"/>
      <c r="D17" s="240"/>
      <c r="E17" s="240"/>
      <c r="F17" s="240"/>
      <c r="G17" s="278"/>
      <c r="H17" s="305">
        <f t="shared" si="29"/>
        <v>21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6.6666666883351988E-2</v>
      </c>
      <c r="M17" s="315">
        <f t="shared" si="31"/>
        <v>1.6000000068004478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44387</v>
      </c>
      <c r="AA17" s="160">
        <f t="shared" si="4"/>
        <v>44387</v>
      </c>
      <c r="AB17" s="160">
        <f t="shared" si="5"/>
        <v>7</v>
      </c>
      <c r="AC17" s="81">
        <f t="shared" si="6"/>
        <v>0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6.6666666883351988E-2</v>
      </c>
      <c r="CY17" s="94" t="str">
        <f t="shared" si="51"/>
        <v>+</v>
      </c>
      <c r="CZ17" s="95">
        <f t="shared" si="52"/>
        <v>6.6666666883351988E-2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44388</v>
      </c>
      <c r="C18" s="239"/>
      <c r="D18" s="240"/>
      <c r="E18" s="240"/>
      <c r="F18" s="240"/>
      <c r="G18" s="278"/>
      <c r="H18" s="305">
        <f t="shared" si="29"/>
        <v>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6.6666666883352321E-2</v>
      </c>
      <c r="M18" s="315">
        <f t="shared" si="31"/>
        <v>1.6000000068004558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44388</v>
      </c>
      <c r="AA18" s="160">
        <f t="shared" si="4"/>
        <v>44388</v>
      </c>
      <c r="AB18" s="160">
        <f t="shared" si="5"/>
        <v>7</v>
      </c>
      <c r="AC18" s="81">
        <f t="shared" si="6"/>
        <v>1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6.6666666883352321E-2</v>
      </c>
      <c r="CY18" s="94" t="str">
        <f t="shared" si="51"/>
        <v>+</v>
      </c>
      <c r="CZ18" s="95">
        <f t="shared" si="52"/>
        <v>6.6666666883352321E-2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44389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6.6666666883352321E-2</v>
      </c>
      <c r="M19" s="315">
        <f t="shared" si="31"/>
        <v>1.6000000068004558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44389</v>
      </c>
      <c r="AA19" s="160">
        <f t="shared" si="4"/>
        <v>44389</v>
      </c>
      <c r="AB19" s="160">
        <f t="shared" si="5"/>
        <v>7</v>
      </c>
      <c r="AC19" s="81">
        <f t="shared" si="6"/>
        <v>2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6.6666666883352321E-2</v>
      </c>
      <c r="CY19" s="94" t="str">
        <f t="shared" si="51"/>
        <v>+</v>
      </c>
      <c r="CZ19" s="95">
        <f t="shared" si="52"/>
        <v>6.6666666883352321E-2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44390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6.6666666883352321E-2</v>
      </c>
      <c r="M20" s="315">
        <f t="shared" si="31"/>
        <v>1.6000000068004558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44390</v>
      </c>
      <c r="AA20" s="160">
        <f t="shared" si="4"/>
        <v>44390</v>
      </c>
      <c r="AB20" s="160">
        <f t="shared" si="5"/>
        <v>7</v>
      </c>
      <c r="AC20" s="81">
        <f t="shared" si="6"/>
        <v>3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6.6666666883352321E-2</v>
      </c>
      <c r="CY20" s="94" t="str">
        <f t="shared" si="51"/>
        <v>+</v>
      </c>
      <c r="CZ20" s="95">
        <f t="shared" si="52"/>
        <v>6.6666666883352321E-2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44391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6.6666666883352321E-2</v>
      </c>
      <c r="M21" s="315">
        <f t="shared" si="31"/>
        <v>1.6000000068004558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44391</v>
      </c>
      <c r="AA21" s="160">
        <f t="shared" si="4"/>
        <v>44391</v>
      </c>
      <c r="AB21" s="160">
        <f t="shared" si="5"/>
        <v>7</v>
      </c>
      <c r="AC21" s="81">
        <f t="shared" si="6"/>
        <v>4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6.6666666883352321E-2</v>
      </c>
      <c r="CY21" s="94" t="str">
        <f t="shared" si="51"/>
        <v>+</v>
      </c>
      <c r="CZ21" s="95">
        <f t="shared" si="52"/>
        <v>6.6666666883352321E-2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44392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6.6666666883352321E-2</v>
      </c>
      <c r="M22" s="315">
        <f t="shared" si="31"/>
        <v>1.6000000068004558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44392</v>
      </c>
      <c r="AA22" s="160">
        <f t="shared" si="4"/>
        <v>44392</v>
      </c>
      <c r="AB22" s="160">
        <f t="shared" si="5"/>
        <v>7</v>
      </c>
      <c r="AC22" s="81">
        <f t="shared" si="6"/>
        <v>5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6.6666666883352321E-2</v>
      </c>
      <c r="CY22" s="94" t="str">
        <f t="shared" si="51"/>
        <v>+</v>
      </c>
      <c r="CZ22" s="95">
        <f t="shared" si="52"/>
        <v>6.6666666883352321E-2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44393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6.6666666883352321E-2</v>
      </c>
      <c r="M23" s="315">
        <f t="shared" si="31"/>
        <v>1.6000000068004558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44393</v>
      </c>
      <c r="AA23" s="160">
        <f t="shared" si="4"/>
        <v>44393</v>
      </c>
      <c r="AB23" s="160">
        <f t="shared" si="5"/>
        <v>7</v>
      </c>
      <c r="AC23" s="81">
        <f t="shared" si="6"/>
        <v>6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6.6666666883352321E-2</v>
      </c>
      <c r="CY23" s="94" t="str">
        <f t="shared" si="51"/>
        <v>+</v>
      </c>
      <c r="CZ23" s="95">
        <f t="shared" si="52"/>
        <v>6.6666666883352321E-2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44394</v>
      </c>
      <c r="C24" s="239"/>
      <c r="D24" s="240"/>
      <c r="E24" s="240"/>
      <c r="F24" s="240"/>
      <c r="G24" s="278"/>
      <c r="H24" s="305">
        <f t="shared" si="29"/>
        <v>21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6.6666666883352654E-2</v>
      </c>
      <c r="M24" s="315">
        <f t="shared" si="31"/>
        <v>1.6000000068004638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44394</v>
      </c>
      <c r="AA24" s="160">
        <f t="shared" si="4"/>
        <v>44394</v>
      </c>
      <c r="AB24" s="160">
        <f t="shared" si="5"/>
        <v>7</v>
      </c>
      <c r="AC24" s="81">
        <f t="shared" si="6"/>
        <v>0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6.6666666883352654E-2</v>
      </c>
      <c r="CY24" s="94" t="str">
        <f t="shared" si="51"/>
        <v>+</v>
      </c>
      <c r="CZ24" s="95">
        <f t="shared" si="52"/>
        <v>6.6666666883352654E-2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44395</v>
      </c>
      <c r="C25" s="239"/>
      <c r="D25" s="240"/>
      <c r="E25" s="240"/>
      <c r="F25" s="240"/>
      <c r="G25" s="278"/>
      <c r="H25" s="305">
        <f t="shared" si="29"/>
        <v>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6.6666666883352987E-2</v>
      </c>
      <c r="M25" s="315">
        <f t="shared" si="31"/>
        <v>1.6000000068004718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44395</v>
      </c>
      <c r="AA25" s="160">
        <f t="shared" si="4"/>
        <v>44395</v>
      </c>
      <c r="AB25" s="160">
        <f t="shared" si="5"/>
        <v>7</v>
      </c>
      <c r="AC25" s="81">
        <f t="shared" si="6"/>
        <v>1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6.6666666883352987E-2</v>
      </c>
      <c r="CY25" s="94" t="str">
        <f t="shared" si="51"/>
        <v>+</v>
      </c>
      <c r="CZ25" s="95">
        <f t="shared" si="52"/>
        <v>6.6666666883352987E-2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44396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6.6666666883352987E-2</v>
      </c>
      <c r="M26" s="315">
        <f t="shared" si="31"/>
        <v>1.6000000068004718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44396</v>
      </c>
      <c r="AA26" s="160">
        <f t="shared" si="4"/>
        <v>44396</v>
      </c>
      <c r="AB26" s="160">
        <f t="shared" si="5"/>
        <v>7</v>
      </c>
      <c r="AC26" s="81">
        <f t="shared" si="6"/>
        <v>2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6.6666666883352987E-2</v>
      </c>
      <c r="CY26" s="94" t="str">
        <f t="shared" si="51"/>
        <v>+</v>
      </c>
      <c r="CZ26" s="95">
        <f t="shared" si="52"/>
        <v>6.6666666883352987E-2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44397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6.6666666883352987E-2</v>
      </c>
      <c r="M27" s="315">
        <f t="shared" si="31"/>
        <v>1.6000000068004718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44397</v>
      </c>
      <c r="AA27" s="160">
        <f t="shared" si="4"/>
        <v>44397</v>
      </c>
      <c r="AB27" s="160">
        <f t="shared" si="5"/>
        <v>7</v>
      </c>
      <c r="AC27" s="81">
        <f t="shared" si="6"/>
        <v>3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6.6666666883352987E-2</v>
      </c>
      <c r="CY27" s="94" t="str">
        <f t="shared" si="51"/>
        <v>+</v>
      </c>
      <c r="CZ27" s="95">
        <f t="shared" si="52"/>
        <v>6.6666666883352987E-2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44398</v>
      </c>
      <c r="C28" s="239"/>
      <c r="D28" s="240"/>
      <c r="E28" s="240"/>
      <c r="F28" s="240"/>
      <c r="G28" s="278"/>
      <c r="H28" s="305">
        <f t="shared" si="29"/>
        <v>2</v>
      </c>
      <c r="I28" s="273" t="str">
        <f t="shared" si="30"/>
        <v/>
      </c>
      <c r="J28" s="312">
        <f t="shared" si="2"/>
        <v>0.33333333333333331</v>
      </c>
      <c r="K28" s="313" t="str">
        <f t="shared" si="3"/>
        <v>+</v>
      </c>
      <c r="L28" s="314">
        <f t="shared" si="3"/>
        <v>8.333333355001965E-2</v>
      </c>
      <c r="M28" s="315">
        <f t="shared" si="31"/>
        <v>2.0000000072004713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44398</v>
      </c>
      <c r="AA28" s="160">
        <f t="shared" si="4"/>
        <v>44398</v>
      </c>
      <c r="AB28" s="160">
        <f t="shared" si="5"/>
        <v>7</v>
      </c>
      <c r="AC28" s="81">
        <f t="shared" si="6"/>
        <v>4</v>
      </c>
      <c r="AD28" s="160">
        <f t="shared" si="7"/>
        <v>2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0.33333333333333331</v>
      </c>
      <c r="CD28" s="88" t="str">
        <f t="shared" si="19"/>
        <v/>
      </c>
      <c r="CE28" s="89">
        <f t="shared" si="20"/>
        <v>0</v>
      </c>
      <c r="CF28" s="90">
        <f t="shared" si="37"/>
        <v>0.33333333333333331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0.33333333333333331</v>
      </c>
      <c r="CU28" s="92">
        <f t="shared" si="24"/>
        <v>0.33333333333333331</v>
      </c>
      <c r="CV28" s="326">
        <f t="shared" si="49"/>
        <v>0.33333333333333331</v>
      </c>
      <c r="CW28" s="328">
        <f t="shared" si="25"/>
        <v>1.6666666666666663E-2</v>
      </c>
      <c r="CX28" s="330">
        <f t="shared" si="50"/>
        <v>8.333333355001965E-2</v>
      </c>
      <c r="CY28" s="94" t="str">
        <f t="shared" si="51"/>
        <v>+</v>
      </c>
      <c r="CZ28" s="95">
        <f t="shared" si="52"/>
        <v>8.333333355001965E-2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44399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8.333333355001965E-2</v>
      </c>
      <c r="M29" s="315">
        <f t="shared" si="31"/>
        <v>2.0000000072004713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44399</v>
      </c>
      <c r="AA29" s="160">
        <f t="shared" si="4"/>
        <v>44399</v>
      </c>
      <c r="AB29" s="160">
        <f t="shared" si="5"/>
        <v>7</v>
      </c>
      <c r="AC29" s="81">
        <f t="shared" si="6"/>
        <v>5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8.333333355001965E-2</v>
      </c>
      <c r="CY29" s="94" t="str">
        <f t="shared" si="51"/>
        <v>+</v>
      </c>
      <c r="CZ29" s="95">
        <f t="shared" si="52"/>
        <v>8.333333355001965E-2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44400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8.333333355001965E-2</v>
      </c>
      <c r="M30" s="315">
        <f t="shared" si="31"/>
        <v>2.0000000072004713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44400</v>
      </c>
      <c r="AA30" s="160">
        <f t="shared" si="4"/>
        <v>44400</v>
      </c>
      <c r="AB30" s="160">
        <f t="shared" si="5"/>
        <v>7</v>
      </c>
      <c r="AC30" s="81">
        <f t="shared" si="6"/>
        <v>6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8.333333355001965E-2</v>
      </c>
      <c r="CY30" s="94" t="str">
        <f t="shared" si="51"/>
        <v>+</v>
      </c>
      <c r="CZ30" s="95">
        <f t="shared" si="52"/>
        <v>8.333333355001965E-2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44401</v>
      </c>
      <c r="C31" s="239"/>
      <c r="D31" s="240"/>
      <c r="E31" s="240"/>
      <c r="F31" s="240"/>
      <c r="G31" s="278"/>
      <c r="H31" s="305">
        <f t="shared" si="29"/>
        <v>21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8.3333333550019983E-2</v>
      </c>
      <c r="M31" s="315">
        <f t="shared" si="31"/>
        <v>2.0000000072004798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44401</v>
      </c>
      <c r="AA31" s="160">
        <f t="shared" si="4"/>
        <v>44401</v>
      </c>
      <c r="AB31" s="160">
        <f t="shared" si="5"/>
        <v>7</v>
      </c>
      <c r="AC31" s="81">
        <f t="shared" si="6"/>
        <v>0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8.3333333550019983E-2</v>
      </c>
      <c r="CY31" s="94" t="str">
        <f t="shared" si="51"/>
        <v>+</v>
      </c>
      <c r="CZ31" s="95">
        <f t="shared" si="52"/>
        <v>8.3333333550019983E-2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44402</v>
      </c>
      <c r="C32" s="239"/>
      <c r="D32" s="240"/>
      <c r="E32" s="240"/>
      <c r="F32" s="240"/>
      <c r="G32" s="278"/>
      <c r="H32" s="305">
        <f t="shared" si="29"/>
        <v>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8.3333333550020317E-2</v>
      </c>
      <c r="M32" s="315">
        <f t="shared" si="31"/>
        <v>2.0000000072004878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44402</v>
      </c>
      <c r="AA32" s="160">
        <f t="shared" si="4"/>
        <v>44402</v>
      </c>
      <c r="AB32" s="160">
        <f t="shared" si="5"/>
        <v>7</v>
      </c>
      <c r="AC32" s="81">
        <f t="shared" si="6"/>
        <v>1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8.3333333550020317E-2</v>
      </c>
      <c r="CY32" s="94" t="str">
        <f t="shared" si="51"/>
        <v>+</v>
      </c>
      <c r="CZ32" s="95">
        <f t="shared" si="52"/>
        <v>8.3333333550020317E-2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44403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8.3333333550020317E-2</v>
      </c>
      <c r="M33" s="315">
        <f t="shared" si="31"/>
        <v>2.0000000072004878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44403</v>
      </c>
      <c r="AA33" s="160">
        <f t="shared" si="4"/>
        <v>44403</v>
      </c>
      <c r="AB33" s="160">
        <f t="shared" si="5"/>
        <v>7</v>
      </c>
      <c r="AC33" s="81">
        <f t="shared" si="6"/>
        <v>2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8.3333333550020317E-2</v>
      </c>
      <c r="CY33" s="94" t="str">
        <f t="shared" si="51"/>
        <v>+</v>
      </c>
      <c r="CZ33" s="95">
        <f t="shared" si="52"/>
        <v>8.3333333550020317E-2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44404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8.3333333550020317E-2</v>
      </c>
      <c r="M34" s="315">
        <f t="shared" si="31"/>
        <v>2.0000000072004878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44404</v>
      </c>
      <c r="AA34" s="160">
        <f t="shared" si="4"/>
        <v>44404</v>
      </c>
      <c r="AB34" s="160">
        <f t="shared" si="5"/>
        <v>7</v>
      </c>
      <c r="AC34" s="81">
        <f t="shared" si="6"/>
        <v>3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8.3333333550020317E-2</v>
      </c>
      <c r="CY34" s="94" t="str">
        <f t="shared" si="51"/>
        <v>+</v>
      </c>
      <c r="CZ34" s="95">
        <f t="shared" si="52"/>
        <v>8.3333333550020317E-2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44405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8.3333333550020317E-2</v>
      </c>
      <c r="M35" s="315">
        <f t="shared" si="31"/>
        <v>2.0000000072004878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44405</v>
      </c>
      <c r="AA35" s="160">
        <f t="shared" si="4"/>
        <v>44405</v>
      </c>
      <c r="AB35" s="160">
        <f t="shared" si="5"/>
        <v>7</v>
      </c>
      <c r="AC35" s="81">
        <f t="shared" si="6"/>
        <v>4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8.3333333550020317E-2</v>
      </c>
      <c r="CY35" s="94" t="str">
        <f t="shared" si="51"/>
        <v>+</v>
      </c>
      <c r="CZ35" s="95">
        <f t="shared" si="52"/>
        <v>8.3333333550020317E-2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44406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8.3333333550020317E-2</v>
      </c>
      <c r="M36" s="315">
        <f t="shared" si="31"/>
        <v>2.0000000072004878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44406</v>
      </c>
      <c r="AA36" s="160">
        <f>IF(AB36&lt;&gt;$AB$8,"",Z36)</f>
        <v>44406</v>
      </c>
      <c r="AB36" s="160">
        <f t="shared" si="5"/>
        <v>7</v>
      </c>
      <c r="AC36" s="81">
        <f t="shared" si="6"/>
        <v>5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8.3333333550020317E-2</v>
      </c>
      <c r="CY36" s="94" t="str">
        <f t="shared" si="51"/>
        <v>+</v>
      </c>
      <c r="CZ36" s="95">
        <f t="shared" si="52"/>
        <v>8.3333333550020317E-2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44407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8.3333333550020317E-2</v>
      </c>
      <c r="M37" s="315">
        <f t="shared" si="31"/>
        <v>2.0000000072004878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44407</v>
      </c>
      <c r="AA37" s="160">
        <f>IF(AB37&lt;&gt;$AB$8,"",Z37)</f>
        <v>44407</v>
      </c>
      <c r="AB37" s="160">
        <f t="shared" si="5"/>
        <v>7</v>
      </c>
      <c r="AC37" s="81">
        <f t="shared" si="6"/>
        <v>6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8.3333333550020317E-2</v>
      </c>
      <c r="CY37" s="94" t="str">
        <f t="shared" si="51"/>
        <v>+</v>
      </c>
      <c r="CZ37" s="95">
        <f t="shared" si="52"/>
        <v>8.3333333550020317E-2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44408</v>
      </c>
      <c r="C38" s="246"/>
      <c r="D38" s="247"/>
      <c r="E38" s="247"/>
      <c r="F38" s="247"/>
      <c r="G38" s="267"/>
      <c r="H38" s="306">
        <f t="shared" si="29"/>
        <v>21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8.333333355002065E-2</v>
      </c>
      <c r="M38" s="319">
        <f t="shared" si="31"/>
        <v>2.0000000072004958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44408</v>
      </c>
      <c r="AA38" s="161">
        <f>IF(AB38&lt;&gt;$AB$8,"",Z38)</f>
        <v>44408</v>
      </c>
      <c r="AB38" s="161">
        <f t="shared" si="5"/>
        <v>7</v>
      </c>
      <c r="AC38" s="106">
        <f t="shared" si="6"/>
        <v>0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8.333333355002065E-2</v>
      </c>
      <c r="CY38" s="115" t="str">
        <f t="shared" si="51"/>
        <v>+</v>
      </c>
      <c r="CZ38" s="116">
        <f t="shared" si="52"/>
        <v>8.333333355002065E-2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juni!Z38</f>
        <v>44378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juni!Z40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53" priority="81" stopIfTrue="1">
      <formula>$S$3&lt;&gt;""</formula>
    </cfRule>
  </conditionalFormatting>
  <conditionalFormatting sqref="A34:R38">
    <cfRule type="expression" dxfId="52" priority="1" stopIfTrue="1">
      <formula>$AB$8&lt;&gt;$AB34</formula>
    </cfRule>
  </conditionalFormatting>
  <conditionalFormatting sqref="M8:M38">
    <cfRule type="expression" dxfId="51" priority="2" stopIfTrue="1">
      <formula>M8&lt;-8</formula>
    </cfRule>
    <cfRule type="expression" dxfId="50" priority="3">
      <formula>M8&lt;0</formula>
    </cfRule>
  </conditionalFormatting>
  <conditionalFormatting sqref="K8:L38">
    <cfRule type="expression" dxfId="49" priority="4" stopIfTrue="1">
      <formula>$CX8&lt;-0.33334</formula>
    </cfRule>
    <cfRule type="expression" dxfId="48" priority="5">
      <formula>$CX8&lt;0</formula>
    </cfRule>
  </conditionalFormatting>
  <conditionalFormatting sqref="N8:R38 A8:I38">
    <cfRule type="expression" dxfId="47" priority="6" stopIfTrue="1">
      <formula>OR($AC8=0,$AC8=1)</formula>
    </cfRule>
    <cfRule type="expression" dxfId="46" priority="7" stopIfTrue="1">
      <formula>COUNTIFS($DG$5:$DG$19,$AA8)&gt;0</formula>
    </cfRule>
    <cfRule type="expression" dxfId="45" priority="8" stopIfTrue="1">
      <formula>VLOOKUP($AC8,$B$42:$D$46,3) = 1</formula>
    </cfRule>
  </conditionalFormatting>
  <dataValidations count="1">
    <dataValidation type="whole" allowBlank="1" showInputMessage="1" showErrorMessage="1" sqref="D42:D46" xr:uid="{CBDC9A14-0718-41EC-8750-C703DA778A06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44409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juli!K38</f>
        <v>+</v>
      </c>
      <c r="E3" s="385">
        <f>ABS(juli!M38)</f>
        <v>2.0000000072004958</v>
      </c>
      <c r="F3" s="386"/>
      <c r="G3" s="228">
        <f>E3/24</f>
        <v>8.333333363335399E-2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8.333333363335399E-2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44409</v>
      </c>
      <c r="C8" s="232"/>
      <c r="D8" s="233"/>
      <c r="E8" s="233"/>
      <c r="F8" s="233"/>
      <c r="G8" s="277"/>
      <c r="H8" s="304">
        <f>IF(AC8=0,21,IF(AC8=1,1,IF(AD8=2,2,IF(VLOOKUP($AC8,$B$42:$D$46,3)=1,$E$40,""))))</f>
        <v>1</v>
      </c>
      <c r="I8" s="274" t="str">
        <f>IF(H8="",IF(VLOOKUP($AC8,$B$42:$D$46,3)=2,$E$40,""),"")</f>
        <v/>
      </c>
      <c r="J8" s="308">
        <f t="shared" ref="J8:J38" si="2">CU8</f>
        <v>0.31666666666666698</v>
      </c>
      <c r="K8" s="309" t="str">
        <f t="shared" ref="K8:L38" si="3">CY8</f>
        <v>+</v>
      </c>
      <c r="L8" s="310">
        <f t="shared" si="3"/>
        <v>8.3333333633354323E-2</v>
      </c>
      <c r="M8" s="311">
        <f>800/0.333333333*CX8/100</f>
        <v>2.0000000092005039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44409</v>
      </c>
      <c r="AA8" s="160">
        <f t="shared" ref="AA8:AA35" si="4">Z8</f>
        <v>44409</v>
      </c>
      <c r="AB8" s="160">
        <f t="shared" ref="AB8:AB38" si="5">MONTH(Z8)</f>
        <v>8</v>
      </c>
      <c r="AC8" s="81">
        <f t="shared" ref="AC8:AC38" si="6">MOD(Z8,7)</f>
        <v>1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0.31666666666666698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0.31666666666666698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0.31666666666666698</v>
      </c>
      <c r="CU8" s="92">
        <f t="shared" ref="CU8:CU38" si="24">IF(CF8=0,CS8,MIN(CT8+CS8,0.375))</f>
        <v>0.31666666666666698</v>
      </c>
      <c r="CV8" s="326">
        <f>CU8</f>
        <v>0.31666666666666698</v>
      </c>
      <c r="CW8" s="328">
        <f t="shared" ref="CW8:CW38" si="25">IF(CV8=0,0,CV8-IF(Arbeidsstelsel=4,$BW$17,$BW$18))</f>
        <v>3.3306690738754696E-16</v>
      </c>
      <c r="CX8" s="330">
        <f t="shared" ref="CX8" si="26">IF(OR($CM8=1,$CN8=1,$CO8=1,$CP8=1),$CW$3-IF(Arbeidsstelsel=4,$BX$29,$BX$26),$CW$3+$CW8)</f>
        <v>8.3333333633354323E-2</v>
      </c>
      <c r="CY8" s="94" t="str">
        <f>IF((CX8)&gt;0,"+","-")</f>
        <v>+</v>
      </c>
      <c r="CZ8" s="95">
        <f>ABS(CX8)</f>
        <v>8.3333333633354323E-2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44410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8.3333333633354323E-2</v>
      </c>
      <c r="M9" s="315">
        <f t="shared" ref="M9:M38" si="31">800/0.333333333*CX9/100</f>
        <v>2.0000000092005039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44410</v>
      </c>
      <c r="AA9" s="160">
        <f t="shared" si="4"/>
        <v>44410</v>
      </c>
      <c r="AB9" s="160">
        <f t="shared" si="5"/>
        <v>8</v>
      </c>
      <c r="AC9" s="81">
        <f t="shared" si="6"/>
        <v>2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8.3333333633354323E-2</v>
      </c>
      <c r="CY9" s="94" t="str">
        <f t="shared" ref="CY9:CY38" si="51">IF((CX9)&gt;0,"+","-")</f>
        <v>+</v>
      </c>
      <c r="CZ9" s="95">
        <f t="shared" ref="CZ9:CZ38" si="52">ABS(CX9)</f>
        <v>8.3333333633354323E-2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44411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8.3333333633354323E-2</v>
      </c>
      <c r="M10" s="315">
        <f t="shared" si="31"/>
        <v>2.0000000092005039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44411</v>
      </c>
      <c r="AA10" s="160">
        <f t="shared" si="4"/>
        <v>44411</v>
      </c>
      <c r="AB10" s="160">
        <f t="shared" si="5"/>
        <v>8</v>
      </c>
      <c r="AC10" s="81">
        <f t="shared" si="6"/>
        <v>3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8.3333333633354323E-2</v>
      </c>
      <c r="CY10" s="94" t="str">
        <f t="shared" si="51"/>
        <v>+</v>
      </c>
      <c r="CZ10" s="95">
        <f t="shared" si="52"/>
        <v>8.3333333633354323E-2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44412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8.3333333633354323E-2</v>
      </c>
      <c r="M11" s="315">
        <f t="shared" si="31"/>
        <v>2.0000000092005039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44412</v>
      </c>
      <c r="AA11" s="160">
        <f t="shared" si="4"/>
        <v>44412</v>
      </c>
      <c r="AB11" s="160">
        <f t="shared" si="5"/>
        <v>8</v>
      </c>
      <c r="AC11" s="81">
        <f t="shared" si="6"/>
        <v>4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8.3333333633354323E-2</v>
      </c>
      <c r="CY11" s="94" t="str">
        <f t="shared" si="51"/>
        <v>+</v>
      </c>
      <c r="CZ11" s="95">
        <f t="shared" si="52"/>
        <v>8.3333333633354323E-2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44413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8.3333333633354323E-2</v>
      </c>
      <c r="M12" s="315">
        <f t="shared" si="31"/>
        <v>2.0000000092005039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44413</v>
      </c>
      <c r="AA12" s="160">
        <f t="shared" si="4"/>
        <v>44413</v>
      </c>
      <c r="AB12" s="160">
        <f t="shared" si="5"/>
        <v>8</v>
      </c>
      <c r="AC12" s="81">
        <f t="shared" si="6"/>
        <v>5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8.3333333633354323E-2</v>
      </c>
      <c r="CY12" s="94" t="str">
        <f t="shared" si="51"/>
        <v>+</v>
      </c>
      <c r="CZ12" s="95">
        <f t="shared" si="52"/>
        <v>8.3333333633354323E-2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44414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8.3333333633354323E-2</v>
      </c>
      <c r="M13" s="315">
        <f t="shared" si="31"/>
        <v>2.0000000092005039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44414</v>
      </c>
      <c r="AA13" s="160">
        <f t="shared" si="4"/>
        <v>44414</v>
      </c>
      <c r="AB13" s="160">
        <f t="shared" si="5"/>
        <v>8</v>
      </c>
      <c r="AC13" s="81">
        <f t="shared" si="6"/>
        <v>6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8.3333333633354323E-2</v>
      </c>
      <c r="CY13" s="94" t="str">
        <f t="shared" si="51"/>
        <v>+</v>
      </c>
      <c r="CZ13" s="95">
        <f t="shared" si="52"/>
        <v>8.3333333633354323E-2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44415</v>
      </c>
      <c r="C14" s="239"/>
      <c r="D14" s="240"/>
      <c r="E14" s="240"/>
      <c r="F14" s="240"/>
      <c r="G14" s="278"/>
      <c r="H14" s="305">
        <f t="shared" si="29"/>
        <v>21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8.3333333633354656E-2</v>
      </c>
      <c r="M14" s="315">
        <f t="shared" si="31"/>
        <v>2.0000000092005119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44415</v>
      </c>
      <c r="AA14" s="160">
        <f t="shared" si="4"/>
        <v>44415</v>
      </c>
      <c r="AB14" s="160">
        <f t="shared" si="5"/>
        <v>8</v>
      </c>
      <c r="AC14" s="81">
        <f t="shared" si="6"/>
        <v>0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8.3333333633354656E-2</v>
      </c>
      <c r="CY14" s="94" t="str">
        <f t="shared" si="51"/>
        <v>+</v>
      </c>
      <c r="CZ14" s="95">
        <f t="shared" si="52"/>
        <v>8.3333333633354656E-2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44416</v>
      </c>
      <c r="C15" s="239"/>
      <c r="D15" s="240"/>
      <c r="E15" s="240"/>
      <c r="F15" s="240"/>
      <c r="G15" s="278"/>
      <c r="H15" s="305">
        <f t="shared" si="29"/>
        <v>1</v>
      </c>
      <c r="I15" s="273" t="str">
        <f t="shared" si="30"/>
        <v/>
      </c>
      <c r="J15" s="312">
        <f t="shared" si="2"/>
        <v>0.31666666666666698</v>
      </c>
      <c r="K15" s="313" t="str">
        <f t="shared" si="3"/>
        <v>+</v>
      </c>
      <c r="L15" s="314">
        <f t="shared" si="3"/>
        <v>8.3333333633354989E-2</v>
      </c>
      <c r="M15" s="315">
        <f t="shared" si="31"/>
        <v>2.0000000092005199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44416</v>
      </c>
      <c r="AA15" s="160">
        <f t="shared" si="4"/>
        <v>44416</v>
      </c>
      <c r="AB15" s="160">
        <f t="shared" si="5"/>
        <v>8</v>
      </c>
      <c r="AC15" s="81">
        <f t="shared" si="6"/>
        <v>1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>
        <f t="shared" si="18"/>
        <v>0.31666666666666698</v>
      </c>
      <c r="CD15" s="88" t="str">
        <f t="shared" si="19"/>
        <v/>
      </c>
      <c r="CE15" s="89">
        <f t="shared" si="20"/>
        <v>0</v>
      </c>
      <c r="CF15" s="90">
        <f t="shared" si="37"/>
        <v>0.31666666666666698</v>
      </c>
      <c r="CG15" s="91">
        <f t="shared" si="38"/>
        <v>0</v>
      </c>
      <c r="CH15" s="87">
        <f t="shared" si="39"/>
        <v>0</v>
      </c>
      <c r="CI15" s="92">
        <f t="shared" si="40"/>
        <v>0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0.31666666666666698</v>
      </c>
      <c r="CU15" s="92">
        <f t="shared" si="24"/>
        <v>0.31666666666666698</v>
      </c>
      <c r="CV15" s="326">
        <f t="shared" si="49"/>
        <v>0.31666666666666698</v>
      </c>
      <c r="CW15" s="328">
        <f t="shared" si="25"/>
        <v>3.3306690738754696E-16</v>
      </c>
      <c r="CX15" s="330">
        <f t="shared" si="50"/>
        <v>8.3333333633354989E-2</v>
      </c>
      <c r="CY15" s="94" t="str">
        <f t="shared" si="51"/>
        <v>+</v>
      </c>
      <c r="CZ15" s="95">
        <f t="shared" si="52"/>
        <v>8.3333333633354989E-2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44417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8.3333333633354989E-2</v>
      </c>
      <c r="M16" s="315">
        <f t="shared" si="31"/>
        <v>2.0000000092005199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44417</v>
      </c>
      <c r="AA16" s="160">
        <f t="shared" si="4"/>
        <v>44417</v>
      </c>
      <c r="AB16" s="160">
        <f t="shared" si="5"/>
        <v>8</v>
      </c>
      <c r="AC16" s="81">
        <f t="shared" si="6"/>
        <v>2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8.3333333633354989E-2</v>
      </c>
      <c r="CY16" s="94" t="str">
        <f t="shared" si="51"/>
        <v>+</v>
      </c>
      <c r="CZ16" s="95">
        <f t="shared" si="52"/>
        <v>8.3333333633354989E-2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44418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8.3333333633354989E-2</v>
      </c>
      <c r="M17" s="315">
        <f t="shared" si="31"/>
        <v>2.0000000092005199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44418</v>
      </c>
      <c r="AA17" s="160">
        <f t="shared" si="4"/>
        <v>44418</v>
      </c>
      <c r="AB17" s="160">
        <f t="shared" si="5"/>
        <v>8</v>
      </c>
      <c r="AC17" s="81">
        <f t="shared" si="6"/>
        <v>3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8.3333333633354989E-2</v>
      </c>
      <c r="CY17" s="94" t="str">
        <f t="shared" si="51"/>
        <v>+</v>
      </c>
      <c r="CZ17" s="95">
        <f t="shared" si="52"/>
        <v>8.3333333633354989E-2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44419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8.3333333633354989E-2</v>
      </c>
      <c r="M18" s="315">
        <f t="shared" si="31"/>
        <v>2.0000000092005199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44419</v>
      </c>
      <c r="AA18" s="160">
        <f t="shared" si="4"/>
        <v>44419</v>
      </c>
      <c r="AB18" s="160">
        <f t="shared" si="5"/>
        <v>8</v>
      </c>
      <c r="AC18" s="81">
        <f t="shared" si="6"/>
        <v>4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8.3333333633354989E-2</v>
      </c>
      <c r="CY18" s="94" t="str">
        <f t="shared" si="51"/>
        <v>+</v>
      </c>
      <c r="CZ18" s="95">
        <f t="shared" si="52"/>
        <v>8.3333333633354989E-2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44420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8.3333333633354989E-2</v>
      </c>
      <c r="M19" s="315">
        <f t="shared" si="31"/>
        <v>2.0000000092005199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44420</v>
      </c>
      <c r="AA19" s="160">
        <f t="shared" si="4"/>
        <v>44420</v>
      </c>
      <c r="AB19" s="160">
        <f t="shared" si="5"/>
        <v>8</v>
      </c>
      <c r="AC19" s="81">
        <f t="shared" si="6"/>
        <v>5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8.3333333633354989E-2</v>
      </c>
      <c r="CY19" s="94" t="str">
        <f t="shared" si="51"/>
        <v>+</v>
      </c>
      <c r="CZ19" s="95">
        <f t="shared" si="52"/>
        <v>8.3333333633354989E-2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44421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8.3333333633354989E-2</v>
      </c>
      <c r="M20" s="315">
        <f t="shared" si="31"/>
        <v>2.0000000092005199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44421</v>
      </c>
      <c r="AA20" s="160">
        <f t="shared" si="4"/>
        <v>44421</v>
      </c>
      <c r="AB20" s="160">
        <f t="shared" si="5"/>
        <v>8</v>
      </c>
      <c r="AC20" s="81">
        <f t="shared" si="6"/>
        <v>6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8.3333333633354989E-2</v>
      </c>
      <c r="CY20" s="94" t="str">
        <f t="shared" si="51"/>
        <v>+</v>
      </c>
      <c r="CZ20" s="95">
        <f t="shared" si="52"/>
        <v>8.3333333633354989E-2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44422</v>
      </c>
      <c r="C21" s="239"/>
      <c r="D21" s="240"/>
      <c r="E21" s="240"/>
      <c r="F21" s="240"/>
      <c r="G21" s="278"/>
      <c r="H21" s="305">
        <f t="shared" si="29"/>
        <v>21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8.3333333633355322E-2</v>
      </c>
      <c r="M21" s="315">
        <f t="shared" si="31"/>
        <v>2.0000000092005279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44422</v>
      </c>
      <c r="AA21" s="160">
        <f t="shared" si="4"/>
        <v>44422</v>
      </c>
      <c r="AB21" s="160">
        <f t="shared" si="5"/>
        <v>8</v>
      </c>
      <c r="AC21" s="81">
        <f t="shared" si="6"/>
        <v>0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8.3333333633355322E-2</v>
      </c>
      <c r="CY21" s="94" t="str">
        <f t="shared" si="51"/>
        <v>+</v>
      </c>
      <c r="CZ21" s="95">
        <f t="shared" si="52"/>
        <v>8.3333333633355322E-2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44423</v>
      </c>
      <c r="C22" s="239"/>
      <c r="D22" s="240"/>
      <c r="E22" s="240"/>
      <c r="F22" s="240"/>
      <c r="G22" s="278"/>
      <c r="H22" s="305">
        <f t="shared" si="29"/>
        <v>1</v>
      </c>
      <c r="I22" s="273" t="str">
        <f t="shared" si="30"/>
        <v/>
      </c>
      <c r="J22" s="312">
        <f t="shared" si="2"/>
        <v>0.31666666666666698</v>
      </c>
      <c r="K22" s="313" t="str">
        <f t="shared" si="3"/>
        <v>+</v>
      </c>
      <c r="L22" s="314">
        <f t="shared" si="3"/>
        <v>8.3333333633355655E-2</v>
      </c>
      <c r="M22" s="315">
        <f t="shared" si="31"/>
        <v>2.0000000092005359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44423</v>
      </c>
      <c r="AA22" s="160">
        <f t="shared" si="4"/>
        <v>44423</v>
      </c>
      <c r="AB22" s="160">
        <f t="shared" si="5"/>
        <v>8</v>
      </c>
      <c r="AC22" s="81">
        <f t="shared" si="6"/>
        <v>1</v>
      </c>
      <c r="AD22" s="160">
        <f t="shared" si="7"/>
        <v>2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>
        <f t="shared" si="18"/>
        <v>0.31666666666666698</v>
      </c>
      <c r="CD22" s="88" t="str">
        <f t="shared" si="19"/>
        <v/>
      </c>
      <c r="CE22" s="89">
        <f t="shared" si="20"/>
        <v>0</v>
      </c>
      <c r="CF22" s="90">
        <f t="shared" si="37"/>
        <v>0.31666666666666698</v>
      </c>
      <c r="CG22" s="91">
        <f t="shared" si="38"/>
        <v>0</v>
      </c>
      <c r="CH22" s="87">
        <f t="shared" si="39"/>
        <v>0</v>
      </c>
      <c r="CI22" s="92">
        <f t="shared" si="40"/>
        <v>0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0.31666666666666698</v>
      </c>
      <c r="CU22" s="92">
        <f t="shared" si="24"/>
        <v>0.31666666666666698</v>
      </c>
      <c r="CV22" s="326">
        <f t="shared" si="49"/>
        <v>0.31666666666666698</v>
      </c>
      <c r="CW22" s="328">
        <f t="shared" si="25"/>
        <v>3.3306690738754696E-16</v>
      </c>
      <c r="CX22" s="330">
        <f t="shared" si="50"/>
        <v>8.3333333633355655E-2</v>
      </c>
      <c r="CY22" s="94" t="str">
        <f t="shared" si="51"/>
        <v>+</v>
      </c>
      <c r="CZ22" s="95">
        <f t="shared" si="52"/>
        <v>8.3333333633355655E-2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44424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8.3333333633355655E-2</v>
      </c>
      <c r="M23" s="315">
        <f t="shared" si="31"/>
        <v>2.0000000092005359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44424</v>
      </c>
      <c r="AA23" s="160">
        <f t="shared" si="4"/>
        <v>44424</v>
      </c>
      <c r="AB23" s="160">
        <f t="shared" si="5"/>
        <v>8</v>
      </c>
      <c r="AC23" s="81">
        <f t="shared" si="6"/>
        <v>2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8.3333333633355655E-2</v>
      </c>
      <c r="CY23" s="94" t="str">
        <f t="shared" si="51"/>
        <v>+</v>
      </c>
      <c r="CZ23" s="95">
        <f t="shared" si="52"/>
        <v>8.3333333633355655E-2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44425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8.3333333633355655E-2</v>
      </c>
      <c r="M24" s="315">
        <f t="shared" si="31"/>
        <v>2.0000000092005359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44425</v>
      </c>
      <c r="AA24" s="160">
        <f t="shared" si="4"/>
        <v>44425</v>
      </c>
      <c r="AB24" s="160">
        <f t="shared" si="5"/>
        <v>8</v>
      </c>
      <c r="AC24" s="81">
        <f t="shared" si="6"/>
        <v>3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8.3333333633355655E-2</v>
      </c>
      <c r="CY24" s="94" t="str">
        <f t="shared" si="51"/>
        <v>+</v>
      </c>
      <c r="CZ24" s="95">
        <f t="shared" si="52"/>
        <v>8.3333333633355655E-2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44426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8.3333333633355655E-2</v>
      </c>
      <c r="M25" s="315">
        <f t="shared" si="31"/>
        <v>2.0000000092005359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44426</v>
      </c>
      <c r="AA25" s="160">
        <f t="shared" si="4"/>
        <v>44426</v>
      </c>
      <c r="AB25" s="160">
        <f t="shared" si="5"/>
        <v>8</v>
      </c>
      <c r="AC25" s="81">
        <f t="shared" si="6"/>
        <v>4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8.3333333633355655E-2</v>
      </c>
      <c r="CY25" s="94" t="str">
        <f t="shared" si="51"/>
        <v>+</v>
      </c>
      <c r="CZ25" s="95">
        <f t="shared" si="52"/>
        <v>8.3333333633355655E-2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44427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8.3333333633355655E-2</v>
      </c>
      <c r="M26" s="315">
        <f t="shared" si="31"/>
        <v>2.0000000092005359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44427</v>
      </c>
      <c r="AA26" s="160">
        <f t="shared" si="4"/>
        <v>44427</v>
      </c>
      <c r="AB26" s="160">
        <f t="shared" si="5"/>
        <v>8</v>
      </c>
      <c r="AC26" s="81">
        <f t="shared" si="6"/>
        <v>5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8.3333333633355655E-2</v>
      </c>
      <c r="CY26" s="94" t="str">
        <f t="shared" si="51"/>
        <v>+</v>
      </c>
      <c r="CZ26" s="95">
        <f t="shared" si="52"/>
        <v>8.3333333633355655E-2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44428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8.3333333633355655E-2</v>
      </c>
      <c r="M27" s="315">
        <f t="shared" si="31"/>
        <v>2.0000000092005359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44428</v>
      </c>
      <c r="AA27" s="160">
        <f t="shared" si="4"/>
        <v>44428</v>
      </c>
      <c r="AB27" s="160">
        <f t="shared" si="5"/>
        <v>8</v>
      </c>
      <c r="AC27" s="81">
        <f t="shared" si="6"/>
        <v>6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8.3333333633355655E-2</v>
      </c>
      <c r="CY27" s="94" t="str">
        <f t="shared" si="51"/>
        <v>+</v>
      </c>
      <c r="CZ27" s="95">
        <f t="shared" si="52"/>
        <v>8.3333333633355655E-2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44429</v>
      </c>
      <c r="C28" s="239"/>
      <c r="D28" s="240"/>
      <c r="E28" s="240"/>
      <c r="F28" s="240"/>
      <c r="G28" s="278"/>
      <c r="H28" s="305">
        <f t="shared" si="29"/>
        <v>21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8.3333333633355988E-2</v>
      </c>
      <c r="M28" s="315">
        <f t="shared" si="31"/>
        <v>2.0000000092005439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44429</v>
      </c>
      <c r="AA28" s="160">
        <f t="shared" si="4"/>
        <v>44429</v>
      </c>
      <c r="AB28" s="160">
        <f t="shared" si="5"/>
        <v>8</v>
      </c>
      <c r="AC28" s="81">
        <f t="shared" si="6"/>
        <v>0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8.3333333633355988E-2</v>
      </c>
      <c r="CY28" s="94" t="str">
        <f t="shared" si="51"/>
        <v>+</v>
      </c>
      <c r="CZ28" s="95">
        <f t="shared" si="52"/>
        <v>8.3333333633355988E-2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44430</v>
      </c>
      <c r="C29" s="239"/>
      <c r="D29" s="240"/>
      <c r="E29" s="240"/>
      <c r="F29" s="240"/>
      <c r="G29" s="278"/>
      <c r="H29" s="305">
        <f t="shared" si="29"/>
        <v>1</v>
      </c>
      <c r="I29" s="273" t="str">
        <f t="shared" si="30"/>
        <v/>
      </c>
      <c r="J29" s="312">
        <f t="shared" si="2"/>
        <v>0.31666666666666698</v>
      </c>
      <c r="K29" s="313" t="str">
        <f t="shared" si="3"/>
        <v>+</v>
      </c>
      <c r="L29" s="314">
        <f t="shared" si="3"/>
        <v>8.3333333633356321E-2</v>
      </c>
      <c r="M29" s="315">
        <f t="shared" si="31"/>
        <v>2.0000000092005519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44430</v>
      </c>
      <c r="AA29" s="160">
        <f t="shared" si="4"/>
        <v>44430</v>
      </c>
      <c r="AB29" s="160">
        <f t="shared" si="5"/>
        <v>8</v>
      </c>
      <c r="AC29" s="81">
        <f t="shared" si="6"/>
        <v>1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>
        <f t="shared" si="18"/>
        <v>0.31666666666666698</v>
      </c>
      <c r="CD29" s="88" t="str">
        <f t="shared" si="19"/>
        <v/>
      </c>
      <c r="CE29" s="89">
        <f t="shared" si="20"/>
        <v>0</v>
      </c>
      <c r="CF29" s="90">
        <f t="shared" si="37"/>
        <v>0.31666666666666698</v>
      </c>
      <c r="CG29" s="91">
        <f t="shared" si="38"/>
        <v>0</v>
      </c>
      <c r="CH29" s="87">
        <f t="shared" si="39"/>
        <v>0</v>
      </c>
      <c r="CI29" s="92">
        <f t="shared" si="40"/>
        <v>0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0.31666666666666698</v>
      </c>
      <c r="CU29" s="92">
        <f t="shared" si="24"/>
        <v>0.31666666666666698</v>
      </c>
      <c r="CV29" s="326">
        <f t="shared" si="49"/>
        <v>0.31666666666666698</v>
      </c>
      <c r="CW29" s="328">
        <f t="shared" si="25"/>
        <v>3.3306690738754696E-16</v>
      </c>
      <c r="CX29" s="330">
        <f t="shared" si="50"/>
        <v>8.3333333633356321E-2</v>
      </c>
      <c r="CY29" s="94" t="str">
        <f t="shared" si="51"/>
        <v>+</v>
      </c>
      <c r="CZ29" s="95">
        <f t="shared" si="52"/>
        <v>8.3333333633356321E-2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44431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8.3333333633356321E-2</v>
      </c>
      <c r="M30" s="315">
        <f t="shared" si="31"/>
        <v>2.0000000092005519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44431</v>
      </c>
      <c r="AA30" s="160">
        <f t="shared" si="4"/>
        <v>44431</v>
      </c>
      <c r="AB30" s="160">
        <f t="shared" si="5"/>
        <v>8</v>
      </c>
      <c r="AC30" s="81">
        <f t="shared" si="6"/>
        <v>2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8.3333333633356321E-2</v>
      </c>
      <c r="CY30" s="94" t="str">
        <f t="shared" si="51"/>
        <v>+</v>
      </c>
      <c r="CZ30" s="95">
        <f t="shared" si="52"/>
        <v>8.3333333633356321E-2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44432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8.3333333633356321E-2</v>
      </c>
      <c r="M31" s="315">
        <f t="shared" si="31"/>
        <v>2.0000000092005519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44432</v>
      </c>
      <c r="AA31" s="160">
        <f t="shared" si="4"/>
        <v>44432</v>
      </c>
      <c r="AB31" s="160">
        <f t="shared" si="5"/>
        <v>8</v>
      </c>
      <c r="AC31" s="81">
        <f t="shared" si="6"/>
        <v>3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8.3333333633356321E-2</v>
      </c>
      <c r="CY31" s="94" t="str">
        <f t="shared" si="51"/>
        <v>+</v>
      </c>
      <c r="CZ31" s="95">
        <f t="shared" si="52"/>
        <v>8.3333333633356321E-2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44433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8.3333333633356321E-2</v>
      </c>
      <c r="M32" s="315">
        <f t="shared" si="31"/>
        <v>2.0000000092005519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44433</v>
      </c>
      <c r="AA32" s="160">
        <f t="shared" si="4"/>
        <v>44433</v>
      </c>
      <c r="AB32" s="160">
        <f t="shared" si="5"/>
        <v>8</v>
      </c>
      <c r="AC32" s="81">
        <f t="shared" si="6"/>
        <v>4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8.3333333633356321E-2</v>
      </c>
      <c r="CY32" s="94" t="str">
        <f t="shared" si="51"/>
        <v>+</v>
      </c>
      <c r="CZ32" s="95">
        <f t="shared" si="52"/>
        <v>8.3333333633356321E-2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44434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8.3333333633356321E-2</v>
      </c>
      <c r="M33" s="315">
        <f t="shared" si="31"/>
        <v>2.0000000092005519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44434</v>
      </c>
      <c r="AA33" s="160">
        <f t="shared" si="4"/>
        <v>44434</v>
      </c>
      <c r="AB33" s="160">
        <f t="shared" si="5"/>
        <v>8</v>
      </c>
      <c r="AC33" s="81">
        <f t="shared" si="6"/>
        <v>5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8.3333333633356321E-2</v>
      </c>
      <c r="CY33" s="94" t="str">
        <f t="shared" si="51"/>
        <v>+</v>
      </c>
      <c r="CZ33" s="95">
        <f t="shared" si="52"/>
        <v>8.3333333633356321E-2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44435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8.3333333633356321E-2</v>
      </c>
      <c r="M34" s="315">
        <f t="shared" si="31"/>
        <v>2.0000000092005519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44435</v>
      </c>
      <c r="AA34" s="160">
        <f t="shared" si="4"/>
        <v>44435</v>
      </c>
      <c r="AB34" s="160">
        <f t="shared" si="5"/>
        <v>8</v>
      </c>
      <c r="AC34" s="81">
        <f t="shared" si="6"/>
        <v>6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8.3333333633356321E-2</v>
      </c>
      <c r="CY34" s="94" t="str">
        <f t="shared" si="51"/>
        <v>+</v>
      </c>
      <c r="CZ34" s="95">
        <f t="shared" si="52"/>
        <v>8.3333333633356321E-2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44436</v>
      </c>
      <c r="C35" s="239"/>
      <c r="D35" s="240"/>
      <c r="E35" s="240"/>
      <c r="F35" s="240"/>
      <c r="G35" s="278"/>
      <c r="H35" s="305">
        <f t="shared" si="29"/>
        <v>21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8.3333333633356654E-2</v>
      </c>
      <c r="M35" s="315">
        <f t="shared" si="31"/>
        <v>2.0000000092005599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44436</v>
      </c>
      <c r="AA35" s="160">
        <f t="shared" si="4"/>
        <v>44436</v>
      </c>
      <c r="AB35" s="160">
        <f t="shared" si="5"/>
        <v>8</v>
      </c>
      <c r="AC35" s="81">
        <f t="shared" si="6"/>
        <v>0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8.3333333633356654E-2</v>
      </c>
      <c r="CY35" s="94" t="str">
        <f t="shared" si="51"/>
        <v>+</v>
      </c>
      <c r="CZ35" s="95">
        <f t="shared" si="52"/>
        <v>8.3333333633356654E-2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44437</v>
      </c>
      <c r="C36" s="239"/>
      <c r="D36" s="240"/>
      <c r="E36" s="240"/>
      <c r="F36" s="240"/>
      <c r="G36" s="278"/>
      <c r="H36" s="305">
        <f t="shared" si="29"/>
        <v>1</v>
      </c>
      <c r="I36" s="273" t="str">
        <f t="shared" si="30"/>
        <v/>
      </c>
      <c r="J36" s="312">
        <f t="shared" si="2"/>
        <v>0.31666666666666698</v>
      </c>
      <c r="K36" s="313" t="str">
        <f t="shared" si="3"/>
        <v>+</v>
      </c>
      <c r="L36" s="314">
        <f t="shared" si="3"/>
        <v>8.3333333633356987E-2</v>
      </c>
      <c r="M36" s="315">
        <f t="shared" si="31"/>
        <v>2.0000000092005679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44437</v>
      </c>
      <c r="AA36" s="160">
        <f>IF(AB36&lt;&gt;$AB$8,"",Z36)</f>
        <v>44437</v>
      </c>
      <c r="AB36" s="160">
        <f t="shared" si="5"/>
        <v>8</v>
      </c>
      <c r="AC36" s="81">
        <f t="shared" si="6"/>
        <v>1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>
        <f t="shared" si="18"/>
        <v>0.31666666666666698</v>
      </c>
      <c r="CD36" s="88" t="str">
        <f t="shared" si="19"/>
        <v/>
      </c>
      <c r="CE36" s="89">
        <f t="shared" si="20"/>
        <v>0</v>
      </c>
      <c r="CF36" s="90">
        <f t="shared" si="37"/>
        <v>0.31666666666666698</v>
      </c>
      <c r="CG36" s="91">
        <f t="shared" si="38"/>
        <v>0</v>
      </c>
      <c r="CH36" s="87">
        <f t="shared" si="39"/>
        <v>0</v>
      </c>
      <c r="CI36" s="92">
        <f t="shared" si="40"/>
        <v>0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0.31666666666666698</v>
      </c>
      <c r="CU36" s="92">
        <f t="shared" si="24"/>
        <v>0.31666666666666698</v>
      </c>
      <c r="CV36" s="326">
        <f t="shared" si="49"/>
        <v>0.31666666666666698</v>
      </c>
      <c r="CW36" s="328">
        <f t="shared" si="25"/>
        <v>3.3306690738754696E-16</v>
      </c>
      <c r="CX36" s="330">
        <f t="shared" si="50"/>
        <v>8.3333333633356987E-2</v>
      </c>
      <c r="CY36" s="94" t="str">
        <f t="shared" si="51"/>
        <v>+</v>
      </c>
      <c r="CZ36" s="95">
        <f t="shared" si="52"/>
        <v>8.3333333633356987E-2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44438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8.3333333633356987E-2</v>
      </c>
      <c r="M37" s="315">
        <f t="shared" si="31"/>
        <v>2.0000000092005679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44438</v>
      </c>
      <c r="AA37" s="160">
        <f>IF(AB37&lt;&gt;$AB$8,"",Z37)</f>
        <v>44438</v>
      </c>
      <c r="AB37" s="160">
        <f t="shared" si="5"/>
        <v>8</v>
      </c>
      <c r="AC37" s="81">
        <f t="shared" si="6"/>
        <v>2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8.3333333633356987E-2</v>
      </c>
      <c r="CY37" s="94" t="str">
        <f t="shared" si="51"/>
        <v>+</v>
      </c>
      <c r="CZ37" s="95">
        <f t="shared" si="52"/>
        <v>8.3333333633356987E-2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44439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8.3333333633356987E-2</v>
      </c>
      <c r="M38" s="319">
        <f t="shared" si="31"/>
        <v>2.0000000092005679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44439</v>
      </c>
      <c r="AA38" s="161">
        <f>IF(AB38&lt;&gt;$AB$8,"",Z38)</f>
        <v>44439</v>
      </c>
      <c r="AB38" s="161">
        <f t="shared" si="5"/>
        <v>8</v>
      </c>
      <c r="AC38" s="106">
        <f t="shared" si="6"/>
        <v>3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8.3333333633356987E-2</v>
      </c>
      <c r="CY38" s="115" t="str">
        <f t="shared" si="51"/>
        <v>+</v>
      </c>
      <c r="CZ38" s="116">
        <f t="shared" si="52"/>
        <v>8.3333333633356987E-2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juli!Z38</f>
        <v>44408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N41+januari!N42+februari!N41+maart!N41+april!N41+mei!N41+juni!N41+juli!N41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juli!Z40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N42+januari!N43+februari!N42+maart!N42+april!N42+mei!N42+juni!N42+juli!N42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N43+januari!N44+februari!N43+maart!N43+april!N43+mei!N43+juni!N43+juli!N43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N44+januari!N45+februari!N44+maart!N44+april!N44+mei!N44+juni!N44+juli!N44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44" priority="73" stopIfTrue="1">
      <formula>$S$3&lt;&gt;""</formula>
    </cfRule>
  </conditionalFormatting>
  <conditionalFormatting sqref="M8:M38">
    <cfRule type="expression" dxfId="43" priority="2" stopIfTrue="1">
      <formula>M8&lt;-8</formula>
    </cfRule>
    <cfRule type="expression" dxfId="42" priority="3">
      <formula>M8&lt;0</formula>
    </cfRule>
  </conditionalFormatting>
  <conditionalFormatting sqref="K8:L38">
    <cfRule type="expression" dxfId="41" priority="4" stopIfTrue="1">
      <formula>$CX8&lt;-0.33334</formula>
    </cfRule>
    <cfRule type="expression" dxfId="40" priority="5">
      <formula>$CX8&lt;0</formula>
    </cfRule>
  </conditionalFormatting>
  <conditionalFormatting sqref="A34:R38">
    <cfRule type="expression" dxfId="39" priority="1" stopIfTrue="1">
      <formula>$AB$8&lt;&gt;$AB34</formula>
    </cfRule>
  </conditionalFormatting>
  <conditionalFormatting sqref="N8:R38 A8:I38">
    <cfRule type="expression" dxfId="38" priority="6" stopIfTrue="1">
      <formula>OR($AC8=0,$AC8=1)</formula>
    </cfRule>
    <cfRule type="expression" dxfId="37" priority="7" stopIfTrue="1">
      <formula>COUNTIFS($DG$5:$DG$19,$AA8)&gt;0</formula>
    </cfRule>
    <cfRule type="expression" dxfId="36" priority="8" stopIfTrue="1">
      <formula>VLOOKUP($AC8,$B$42:$D$46,3) = 1</formula>
    </cfRule>
  </conditionalFormatting>
  <dataValidations count="1">
    <dataValidation type="whole" allowBlank="1" showInputMessage="1" showErrorMessage="1" sqref="D42:D46" xr:uid="{DD36878B-693F-471B-AA5A-CF60BA1F3B5D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4" name="Button 10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1111111">
    <pageSetUpPr fitToPage="1"/>
  </sheetPr>
  <dimension ref="A1:DS127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44440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augustus!K38</f>
        <v>+</v>
      </c>
      <c r="E3" s="385">
        <f>ABS(augustus!M38)</f>
        <v>2.0000000092005679</v>
      </c>
      <c r="F3" s="386"/>
      <c r="G3" s="228">
        <f>E3/24</f>
        <v>8.3333333716690328E-2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8.3333333716690328E-2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44440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8.3333333716690328E-2</v>
      </c>
      <c r="M8" s="311">
        <f>800/0.333333333*CX8/100</f>
        <v>2.000000011200568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44440</v>
      </c>
      <c r="AA8" s="160">
        <f t="shared" ref="AA8:AA35" si="4">Z8</f>
        <v>44440</v>
      </c>
      <c r="AB8" s="160">
        <f t="shared" ref="AB8:AB38" si="5">MONTH(Z8)</f>
        <v>9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8.3333333716690328E-2</v>
      </c>
      <c r="CY8" s="94" t="str">
        <f>IF((CX8)&gt;0,"+","-")</f>
        <v>+</v>
      </c>
      <c r="CZ8" s="95">
        <f>ABS(CX8)</f>
        <v>8.3333333716690328E-2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44441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8.3333333716690328E-2</v>
      </c>
      <c r="M9" s="315">
        <f t="shared" ref="M9:M38" si="31">800/0.333333333*CX9/100</f>
        <v>2.000000011200568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44441</v>
      </c>
      <c r="AA9" s="160">
        <f t="shared" si="4"/>
        <v>44441</v>
      </c>
      <c r="AB9" s="160">
        <f t="shared" si="5"/>
        <v>9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8.3333333716690328E-2</v>
      </c>
      <c r="CY9" s="94" t="str">
        <f t="shared" ref="CY9:CY38" si="51">IF((CX9)&gt;0,"+","-")</f>
        <v>+</v>
      </c>
      <c r="CZ9" s="95">
        <f t="shared" ref="CZ9:CZ38" si="52">ABS(CX9)</f>
        <v>8.3333333716690328E-2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44442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8.3333333716690328E-2</v>
      </c>
      <c r="M10" s="315">
        <f t="shared" si="31"/>
        <v>2.000000011200568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44442</v>
      </c>
      <c r="AA10" s="160">
        <f t="shared" si="4"/>
        <v>44442</v>
      </c>
      <c r="AB10" s="160">
        <f t="shared" si="5"/>
        <v>9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8.3333333716690328E-2</v>
      </c>
      <c r="CY10" s="94" t="str">
        <f t="shared" si="51"/>
        <v>+</v>
      </c>
      <c r="CZ10" s="95">
        <f t="shared" si="52"/>
        <v>8.3333333716690328E-2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44443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8.3333333716690661E-2</v>
      </c>
      <c r="M11" s="315">
        <f t="shared" si="31"/>
        <v>2.000000011200576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44443</v>
      </c>
      <c r="AA11" s="160">
        <f t="shared" si="4"/>
        <v>44443</v>
      </c>
      <c r="AB11" s="160">
        <f t="shared" si="5"/>
        <v>9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8.3333333716690661E-2</v>
      </c>
      <c r="CY11" s="94" t="str">
        <f t="shared" si="51"/>
        <v>+</v>
      </c>
      <c r="CZ11" s="95">
        <f t="shared" si="52"/>
        <v>8.3333333716690661E-2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44444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8.3333333716690994E-2</v>
      </c>
      <c r="M12" s="315">
        <f t="shared" si="31"/>
        <v>2.000000011200584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44444</v>
      </c>
      <c r="AA12" s="160">
        <f t="shared" si="4"/>
        <v>44444</v>
      </c>
      <c r="AB12" s="160">
        <f t="shared" si="5"/>
        <v>9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8.3333333716690994E-2</v>
      </c>
      <c r="CY12" s="94" t="str">
        <f t="shared" si="51"/>
        <v>+</v>
      </c>
      <c r="CZ12" s="95">
        <f t="shared" si="52"/>
        <v>8.3333333716690994E-2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44445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8.3333333716690994E-2</v>
      </c>
      <c r="M13" s="315">
        <f t="shared" si="31"/>
        <v>2.000000011200584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44445</v>
      </c>
      <c r="AA13" s="160">
        <f t="shared" si="4"/>
        <v>44445</v>
      </c>
      <c r="AB13" s="160">
        <f t="shared" si="5"/>
        <v>9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8.3333333716690994E-2</v>
      </c>
      <c r="CY13" s="94" t="str">
        <f t="shared" si="51"/>
        <v>+</v>
      </c>
      <c r="CZ13" s="95">
        <f t="shared" si="52"/>
        <v>8.3333333716690994E-2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44446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8.3333333716690994E-2</v>
      </c>
      <c r="M14" s="315">
        <f t="shared" si="31"/>
        <v>2.000000011200584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44446</v>
      </c>
      <c r="AA14" s="160">
        <f t="shared" si="4"/>
        <v>44446</v>
      </c>
      <c r="AB14" s="160">
        <f t="shared" si="5"/>
        <v>9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8.3333333716690994E-2</v>
      </c>
      <c r="CY14" s="94" t="str">
        <f t="shared" si="51"/>
        <v>+</v>
      </c>
      <c r="CZ14" s="95">
        <f t="shared" si="52"/>
        <v>8.3333333716690994E-2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44447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8.3333333716690994E-2</v>
      </c>
      <c r="M15" s="315">
        <f t="shared" si="31"/>
        <v>2.000000011200584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44447</v>
      </c>
      <c r="AA15" s="160">
        <f t="shared" si="4"/>
        <v>44447</v>
      </c>
      <c r="AB15" s="160">
        <f t="shared" si="5"/>
        <v>9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8.3333333716690994E-2</v>
      </c>
      <c r="CY15" s="94" t="str">
        <f t="shared" si="51"/>
        <v>+</v>
      </c>
      <c r="CZ15" s="95">
        <f t="shared" si="52"/>
        <v>8.3333333716690994E-2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44448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8.3333333716690994E-2</v>
      </c>
      <c r="M16" s="315">
        <f t="shared" si="31"/>
        <v>2.000000011200584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44448</v>
      </c>
      <c r="AA16" s="160">
        <f t="shared" si="4"/>
        <v>44448</v>
      </c>
      <c r="AB16" s="160">
        <f t="shared" si="5"/>
        <v>9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8.3333333716690994E-2</v>
      </c>
      <c r="CY16" s="94" t="str">
        <f t="shared" si="51"/>
        <v>+</v>
      </c>
      <c r="CZ16" s="95">
        <f t="shared" si="52"/>
        <v>8.3333333716690994E-2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44449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8.3333333716690994E-2</v>
      </c>
      <c r="M17" s="315">
        <f t="shared" si="31"/>
        <v>2.000000011200584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44449</v>
      </c>
      <c r="AA17" s="160">
        <f t="shared" si="4"/>
        <v>44449</v>
      </c>
      <c r="AB17" s="160">
        <f t="shared" si="5"/>
        <v>9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8.3333333716690994E-2</v>
      </c>
      <c r="CY17" s="94" t="str">
        <f t="shared" si="51"/>
        <v>+</v>
      </c>
      <c r="CZ17" s="95">
        <f t="shared" si="52"/>
        <v>8.3333333716690994E-2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44450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8.3333333716691327E-2</v>
      </c>
      <c r="M18" s="315">
        <f t="shared" si="31"/>
        <v>2.000000011200592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44450</v>
      </c>
      <c r="AA18" s="160">
        <f t="shared" si="4"/>
        <v>44450</v>
      </c>
      <c r="AB18" s="160">
        <f t="shared" si="5"/>
        <v>9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8.3333333716691327E-2</v>
      </c>
      <c r="CY18" s="94" t="str">
        <f t="shared" si="51"/>
        <v>+</v>
      </c>
      <c r="CZ18" s="95">
        <f t="shared" si="52"/>
        <v>8.3333333716691327E-2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44451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8.333333371669166E-2</v>
      </c>
      <c r="M19" s="315">
        <f t="shared" si="31"/>
        <v>2.0000000112006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44451</v>
      </c>
      <c r="AA19" s="160">
        <f t="shared" si="4"/>
        <v>44451</v>
      </c>
      <c r="AB19" s="160">
        <f t="shared" si="5"/>
        <v>9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8.333333371669166E-2</v>
      </c>
      <c r="CY19" s="94" t="str">
        <f t="shared" si="51"/>
        <v>+</v>
      </c>
      <c r="CZ19" s="95">
        <f t="shared" si="52"/>
        <v>8.333333371669166E-2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44452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8.333333371669166E-2</v>
      </c>
      <c r="M20" s="315">
        <f t="shared" si="31"/>
        <v>2.0000000112006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44452</v>
      </c>
      <c r="AA20" s="160">
        <f t="shared" si="4"/>
        <v>44452</v>
      </c>
      <c r="AB20" s="160">
        <f t="shared" si="5"/>
        <v>9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8.333333371669166E-2</v>
      </c>
      <c r="CY20" s="94" t="str">
        <f t="shared" si="51"/>
        <v>+</v>
      </c>
      <c r="CZ20" s="95">
        <f t="shared" si="52"/>
        <v>8.333333371669166E-2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44453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8.333333371669166E-2</v>
      </c>
      <c r="M21" s="315">
        <f t="shared" si="31"/>
        <v>2.0000000112006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44453</v>
      </c>
      <c r="AA21" s="160">
        <f t="shared" si="4"/>
        <v>44453</v>
      </c>
      <c r="AB21" s="160">
        <f t="shared" si="5"/>
        <v>9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8.333333371669166E-2</v>
      </c>
      <c r="CY21" s="94" t="str">
        <f t="shared" si="51"/>
        <v>+</v>
      </c>
      <c r="CZ21" s="95">
        <f t="shared" si="52"/>
        <v>8.333333371669166E-2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44454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8.333333371669166E-2</v>
      </c>
      <c r="M22" s="315">
        <f t="shared" si="31"/>
        <v>2.0000000112006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44454</v>
      </c>
      <c r="AA22" s="160">
        <f t="shared" si="4"/>
        <v>44454</v>
      </c>
      <c r="AB22" s="160">
        <f t="shared" si="5"/>
        <v>9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8.333333371669166E-2</v>
      </c>
      <c r="CY22" s="94" t="str">
        <f t="shared" si="51"/>
        <v>+</v>
      </c>
      <c r="CZ22" s="95">
        <f t="shared" si="52"/>
        <v>8.333333371669166E-2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44455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8.333333371669166E-2</v>
      </c>
      <c r="M23" s="315">
        <f t="shared" si="31"/>
        <v>2.0000000112006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44455</v>
      </c>
      <c r="AA23" s="160">
        <f t="shared" si="4"/>
        <v>44455</v>
      </c>
      <c r="AB23" s="160">
        <f t="shared" si="5"/>
        <v>9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8.333333371669166E-2</v>
      </c>
      <c r="CY23" s="94" t="str">
        <f t="shared" si="51"/>
        <v>+</v>
      </c>
      <c r="CZ23" s="95">
        <f t="shared" si="52"/>
        <v>8.333333371669166E-2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44456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8.333333371669166E-2</v>
      </c>
      <c r="M24" s="315">
        <f t="shared" si="31"/>
        <v>2.0000000112006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44456</v>
      </c>
      <c r="AA24" s="160">
        <f t="shared" si="4"/>
        <v>44456</v>
      </c>
      <c r="AB24" s="160">
        <f t="shared" si="5"/>
        <v>9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8.333333371669166E-2</v>
      </c>
      <c r="CY24" s="94" t="str">
        <f t="shared" si="51"/>
        <v>+</v>
      </c>
      <c r="CZ24" s="95">
        <f t="shared" si="52"/>
        <v>8.333333371669166E-2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44457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8.3333333716691993E-2</v>
      </c>
      <c r="M25" s="315">
        <f t="shared" si="31"/>
        <v>2.000000011200608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44457</v>
      </c>
      <c r="AA25" s="160">
        <f t="shared" si="4"/>
        <v>44457</v>
      </c>
      <c r="AB25" s="160">
        <f t="shared" si="5"/>
        <v>9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8.3333333716691993E-2</v>
      </c>
      <c r="CY25" s="94" t="str">
        <f t="shared" si="51"/>
        <v>+</v>
      </c>
      <c r="CZ25" s="95">
        <f t="shared" si="52"/>
        <v>8.3333333716691993E-2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44458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8.3333333716692326E-2</v>
      </c>
      <c r="M26" s="315">
        <f t="shared" si="31"/>
        <v>2.000000011200616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44458</v>
      </c>
      <c r="AA26" s="160">
        <f t="shared" si="4"/>
        <v>44458</v>
      </c>
      <c r="AB26" s="160">
        <f t="shared" si="5"/>
        <v>9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8.3333333716692326E-2</v>
      </c>
      <c r="CY26" s="94" t="str">
        <f t="shared" si="51"/>
        <v>+</v>
      </c>
      <c r="CZ26" s="95">
        <f t="shared" si="52"/>
        <v>8.3333333716692326E-2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44459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8.3333333716692326E-2</v>
      </c>
      <c r="M27" s="315">
        <f t="shared" si="31"/>
        <v>2.000000011200616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44459</v>
      </c>
      <c r="AA27" s="160">
        <f t="shared" si="4"/>
        <v>44459</v>
      </c>
      <c r="AB27" s="160">
        <f t="shared" si="5"/>
        <v>9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8.3333333716692326E-2</v>
      </c>
      <c r="CY27" s="94" t="str">
        <f t="shared" si="51"/>
        <v>+</v>
      </c>
      <c r="CZ27" s="95">
        <f t="shared" si="52"/>
        <v>8.3333333716692326E-2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44460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8.3333333716692326E-2</v>
      </c>
      <c r="M28" s="315">
        <f t="shared" si="31"/>
        <v>2.000000011200616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44460</v>
      </c>
      <c r="AA28" s="160">
        <f t="shared" si="4"/>
        <v>44460</v>
      </c>
      <c r="AB28" s="160">
        <f t="shared" si="5"/>
        <v>9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8.3333333716692326E-2</v>
      </c>
      <c r="CY28" s="94" t="str">
        <f t="shared" si="51"/>
        <v>+</v>
      </c>
      <c r="CZ28" s="95">
        <f t="shared" si="52"/>
        <v>8.3333333716692326E-2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44461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8.3333333716692326E-2</v>
      </c>
      <c r="M29" s="315">
        <f t="shared" si="31"/>
        <v>2.000000011200616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44461</v>
      </c>
      <c r="AA29" s="160">
        <f t="shared" si="4"/>
        <v>44461</v>
      </c>
      <c r="AB29" s="160">
        <f t="shared" si="5"/>
        <v>9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8.3333333716692326E-2</v>
      </c>
      <c r="CY29" s="94" t="str">
        <f t="shared" si="51"/>
        <v>+</v>
      </c>
      <c r="CZ29" s="95">
        <f t="shared" si="52"/>
        <v>8.3333333716692326E-2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44462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8.3333333716692326E-2</v>
      </c>
      <c r="M30" s="315">
        <f t="shared" si="31"/>
        <v>2.000000011200616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44462</v>
      </c>
      <c r="AA30" s="160">
        <f t="shared" si="4"/>
        <v>44462</v>
      </c>
      <c r="AB30" s="160">
        <f t="shared" si="5"/>
        <v>9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8.3333333716692326E-2</v>
      </c>
      <c r="CY30" s="94" t="str">
        <f t="shared" si="51"/>
        <v>+</v>
      </c>
      <c r="CZ30" s="95">
        <f t="shared" si="52"/>
        <v>8.3333333716692326E-2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44463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8.3333333716692326E-2</v>
      </c>
      <c r="M31" s="315">
        <f t="shared" si="31"/>
        <v>2.000000011200616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44463</v>
      </c>
      <c r="AA31" s="160">
        <f t="shared" si="4"/>
        <v>44463</v>
      </c>
      <c r="AB31" s="160">
        <f t="shared" si="5"/>
        <v>9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8.3333333716692326E-2</v>
      </c>
      <c r="CY31" s="94" t="str">
        <f t="shared" si="51"/>
        <v>+</v>
      </c>
      <c r="CZ31" s="95">
        <f t="shared" si="52"/>
        <v>8.3333333716692326E-2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44464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8.3333333716692659E-2</v>
      </c>
      <c r="M32" s="315">
        <f t="shared" si="31"/>
        <v>2.000000011200624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44464</v>
      </c>
      <c r="AA32" s="160">
        <f t="shared" si="4"/>
        <v>44464</v>
      </c>
      <c r="AB32" s="160">
        <f t="shared" si="5"/>
        <v>9</v>
      </c>
      <c r="AC32" s="81">
        <f t="shared" si="6"/>
        <v>0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8.3333333716692659E-2</v>
      </c>
      <c r="CY32" s="94" t="str">
        <f t="shared" si="51"/>
        <v>+</v>
      </c>
      <c r="CZ32" s="95">
        <f t="shared" si="52"/>
        <v>8.3333333716692659E-2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44465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8.3333333716692992E-2</v>
      </c>
      <c r="M33" s="315">
        <f t="shared" si="31"/>
        <v>2.000000011200632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44465</v>
      </c>
      <c r="AA33" s="160">
        <f t="shared" si="4"/>
        <v>44465</v>
      </c>
      <c r="AB33" s="160">
        <f t="shared" si="5"/>
        <v>9</v>
      </c>
      <c r="AC33" s="81">
        <f t="shared" si="6"/>
        <v>1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8.3333333716692992E-2</v>
      </c>
      <c r="CY33" s="94" t="str">
        <f t="shared" si="51"/>
        <v>+</v>
      </c>
      <c r="CZ33" s="95">
        <f t="shared" si="52"/>
        <v>8.3333333716692992E-2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44466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8.3333333716692992E-2</v>
      </c>
      <c r="M34" s="315">
        <f t="shared" si="31"/>
        <v>2.000000011200632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44466</v>
      </c>
      <c r="AA34" s="160">
        <f t="shared" si="4"/>
        <v>44466</v>
      </c>
      <c r="AB34" s="160">
        <f t="shared" si="5"/>
        <v>9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8.3333333716692992E-2</v>
      </c>
      <c r="CY34" s="94" t="str">
        <f t="shared" si="51"/>
        <v>+</v>
      </c>
      <c r="CZ34" s="95">
        <f t="shared" si="52"/>
        <v>8.3333333716692992E-2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44467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8.3333333716692992E-2</v>
      </c>
      <c r="M35" s="315">
        <f t="shared" si="31"/>
        <v>2.000000011200632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44467</v>
      </c>
      <c r="AA35" s="160">
        <f t="shared" si="4"/>
        <v>44467</v>
      </c>
      <c r="AB35" s="160">
        <f t="shared" si="5"/>
        <v>9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8.3333333716692992E-2</v>
      </c>
      <c r="CY35" s="94" t="str">
        <f t="shared" si="51"/>
        <v>+</v>
      </c>
      <c r="CZ35" s="95">
        <f t="shared" si="52"/>
        <v>8.3333333716692992E-2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44468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8.3333333716692992E-2</v>
      </c>
      <c r="M36" s="315">
        <f t="shared" si="31"/>
        <v>2.000000011200632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44468</v>
      </c>
      <c r="AA36" s="160">
        <f>IF(AB36&lt;&gt;$AB$8,"",Z36)</f>
        <v>44468</v>
      </c>
      <c r="AB36" s="160">
        <f t="shared" si="5"/>
        <v>9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8.3333333716692992E-2</v>
      </c>
      <c r="CY36" s="94" t="str">
        <f t="shared" si="51"/>
        <v>+</v>
      </c>
      <c r="CZ36" s="95">
        <f t="shared" si="52"/>
        <v>8.3333333716692992E-2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44469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8.3333333716692992E-2</v>
      </c>
      <c r="M37" s="315">
        <f t="shared" si="31"/>
        <v>2.000000011200632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44469</v>
      </c>
      <c r="AA37" s="160">
        <f>IF(AB37&lt;&gt;$AB$8,"",Z37)</f>
        <v>44469</v>
      </c>
      <c r="AB37" s="160">
        <f t="shared" si="5"/>
        <v>9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8.3333333716692992E-2</v>
      </c>
      <c r="CY37" s="94" t="str">
        <f t="shared" si="51"/>
        <v>+</v>
      </c>
      <c r="CZ37" s="95">
        <f t="shared" si="52"/>
        <v>8.3333333716692992E-2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8.3333333716692992E-2</v>
      </c>
      <c r="M38" s="319">
        <f t="shared" si="31"/>
        <v>2.000000011200632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44470</v>
      </c>
      <c r="AA38" s="161" t="str">
        <f>IF(AB38&lt;&gt;$AB$8,"",Z38)</f>
        <v/>
      </c>
      <c r="AB38" s="161">
        <f t="shared" si="5"/>
        <v>10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8.3333333716692992E-2</v>
      </c>
      <c r="CY38" s="115" t="str">
        <f t="shared" si="51"/>
        <v>+</v>
      </c>
      <c r="CZ38" s="116">
        <f t="shared" si="52"/>
        <v>8.3333333716692992E-2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augustus!Z38</f>
        <v>44439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N41+januari!N42+februari!N41+maart!N41+april!N41+mei!N41+juni!N41+juli!N41+augustus!N41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augustus!Z40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N42+januari!N43+februari!N42+maart!N42+april!N42+mei!N42+juni!N42+juli!N42+augustus!N42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N43+januari!N44+februari!N43+maart!N43+april!N43+mei!N43+juni!N43+juli!N43+augustus!N43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N44+januari!N45+februari!N44+maart!N44+april!N44+mei!N44+juni!N44+juli!N44+augustus!N44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B75" s="1"/>
      <c r="DC75" s="1"/>
      <c r="DD75" s="1"/>
      <c r="DE75" s="1"/>
      <c r="DF75" s="1"/>
      <c r="DG75" s="1"/>
      <c r="DH75" s="1"/>
      <c r="DI75" s="1"/>
      <c r="DJ75" s="1"/>
      <c r="DK75" s="27"/>
      <c r="DL75" s="18"/>
      <c r="DM75" s="18"/>
      <c r="DN75" s="21"/>
      <c r="DO75" s="21"/>
      <c r="DP75" s="21"/>
      <c r="DQ75" s="130"/>
      <c r="DR75" s="22"/>
    </row>
    <row r="76" spans="106:122" x14ac:dyDescent="0.2">
      <c r="DB76" s="1"/>
      <c r="DC76" s="1"/>
      <c r="DD76" s="1"/>
      <c r="DE76" s="1"/>
      <c r="DF76" s="1"/>
      <c r="DG76" s="1"/>
      <c r="DH76" s="1"/>
      <c r="DI76" s="1"/>
      <c r="DJ76" s="1"/>
      <c r="DK76" s="21"/>
      <c r="DL76" s="18"/>
      <c r="DM76" s="18"/>
      <c r="DN76" s="21"/>
      <c r="DO76" s="21"/>
      <c r="DP76" s="21"/>
      <c r="DQ76" s="130"/>
      <c r="DR76" s="21"/>
    </row>
    <row r="77" spans="106:122" x14ac:dyDescent="0.2">
      <c r="DB77" s="1"/>
      <c r="DC77" s="1"/>
      <c r="DD77" s="1"/>
      <c r="DE77" s="1"/>
      <c r="DF77" s="1"/>
      <c r="DG77" s="1"/>
      <c r="DH77" s="1"/>
      <c r="DI77" s="1"/>
      <c r="DJ77" s="1"/>
      <c r="DK77" s="21"/>
      <c r="DL77" s="18"/>
      <c r="DM77" s="18"/>
      <c r="DN77" s="21"/>
      <c r="DO77" s="21"/>
      <c r="DP77" s="21"/>
      <c r="DQ77" s="130"/>
      <c r="DR77" s="21"/>
    </row>
    <row r="78" spans="106:122" x14ac:dyDescent="0.2">
      <c r="DB78" s="1"/>
      <c r="DC78" s="1"/>
      <c r="DD78" s="1"/>
      <c r="DE78" s="1"/>
      <c r="DF78" s="1"/>
      <c r="DG78" s="1"/>
      <c r="DH78" s="1"/>
      <c r="DI78" s="1"/>
      <c r="DJ78" s="1"/>
      <c r="DK78" s="21"/>
      <c r="DL78" s="18"/>
      <c r="DM78" s="18"/>
      <c r="DN78" s="21"/>
      <c r="DO78" s="21"/>
      <c r="DP78" s="21"/>
      <c r="DQ78" s="130"/>
      <c r="DR78" s="21"/>
    </row>
    <row r="79" spans="106:122" x14ac:dyDescent="0.2">
      <c r="DB79" s="1"/>
      <c r="DC79" s="1"/>
      <c r="DD79" s="1"/>
      <c r="DE79" s="1"/>
      <c r="DF79" s="1"/>
      <c r="DG79" s="1"/>
      <c r="DH79" s="1"/>
      <c r="DI79" s="1"/>
      <c r="DJ79" s="1"/>
      <c r="DK79" s="21"/>
      <c r="DL79" s="18"/>
      <c r="DM79" s="18"/>
      <c r="DN79" s="21"/>
      <c r="DO79" s="21"/>
      <c r="DP79" s="21"/>
      <c r="DQ79" s="130"/>
      <c r="DR79" s="21"/>
    </row>
    <row r="80" spans="106:122" x14ac:dyDescent="0.2">
      <c r="DB80" s="1"/>
      <c r="DC80" s="1"/>
      <c r="DD80" s="1"/>
      <c r="DE80" s="1"/>
      <c r="DF80" s="1"/>
      <c r="DG80" s="1"/>
      <c r="DH80" s="1"/>
      <c r="DI80" s="1"/>
      <c r="DJ80" s="1"/>
      <c r="DK80" s="21"/>
      <c r="DL80" s="18"/>
      <c r="DM80" s="18"/>
      <c r="DN80" s="21"/>
      <c r="DO80" s="21"/>
      <c r="DP80" s="21"/>
      <c r="DQ80" s="130"/>
      <c r="DR80" s="21"/>
    </row>
    <row r="81" spans="14:122" x14ac:dyDescent="0.2">
      <c r="DB81" s="1"/>
      <c r="DC81" s="1"/>
      <c r="DD81" s="1"/>
      <c r="DE81" s="1"/>
      <c r="DF81" s="1"/>
      <c r="DG81" s="1"/>
      <c r="DH81" s="1"/>
      <c r="DI81" s="1"/>
      <c r="DJ81" s="1"/>
      <c r="DK81" s="21"/>
      <c r="DL81" s="18"/>
      <c r="DM81" s="18"/>
      <c r="DN81" s="21"/>
      <c r="DO81" s="21"/>
      <c r="DP81" s="21"/>
      <c r="DQ81" s="130"/>
      <c r="DR81" s="21"/>
    </row>
    <row r="82" spans="14:122" x14ac:dyDescent="0.2">
      <c r="R82" s="119"/>
      <c r="S82" s="119"/>
      <c r="T82" s="119"/>
      <c r="DB82" s="1"/>
      <c r="DC82" s="1"/>
      <c r="DD82" s="1"/>
      <c r="DE82" s="1"/>
      <c r="DF82" s="1"/>
      <c r="DG82" s="1"/>
      <c r="DH82" s="1"/>
      <c r="DI82" s="1"/>
      <c r="DJ82" s="1"/>
      <c r="DK82" s="21"/>
      <c r="DL82" s="18"/>
      <c r="DM82" s="18"/>
      <c r="DN82" s="21"/>
      <c r="DO82" s="21"/>
      <c r="DP82" s="21"/>
      <c r="DQ82" s="130"/>
      <c r="DR82" s="21"/>
    </row>
    <row r="83" spans="14:122" x14ac:dyDescent="0.2">
      <c r="N83" s="119"/>
      <c r="O83" s="119"/>
      <c r="P83" s="119"/>
      <c r="Q83" s="119"/>
      <c r="R83" s="119"/>
      <c r="S83" s="119"/>
      <c r="T83" s="119"/>
      <c r="U83" s="119"/>
      <c r="V83" s="119"/>
      <c r="W83" s="147"/>
      <c r="DB83" s="1"/>
      <c r="DC83" s="1"/>
      <c r="DD83" s="1"/>
      <c r="DE83" s="1"/>
      <c r="DF83" s="1"/>
      <c r="DG83" s="1"/>
      <c r="DH83" s="1"/>
      <c r="DI83" s="1"/>
      <c r="DJ83" s="1"/>
      <c r="DK83" s="21"/>
      <c r="DL83" s="18"/>
      <c r="DM83" s="18"/>
      <c r="DN83" s="21"/>
      <c r="DO83" s="21"/>
      <c r="DP83" s="21"/>
      <c r="DQ83" s="130"/>
      <c r="DR83" s="21"/>
    </row>
    <row r="84" spans="14:122" x14ac:dyDescent="0.2">
      <c r="N84" s="119"/>
      <c r="O84" s="119"/>
      <c r="P84" s="119"/>
      <c r="Q84" s="119"/>
      <c r="R84" s="119"/>
      <c r="S84" s="119"/>
      <c r="T84" s="119"/>
      <c r="U84" s="119"/>
      <c r="V84" s="119"/>
      <c r="W84" s="147"/>
      <c r="DB84" s="1"/>
      <c r="DC84" s="1"/>
      <c r="DD84" s="1"/>
      <c r="DE84" s="1"/>
      <c r="DF84" s="1"/>
      <c r="DG84" s="1"/>
      <c r="DH84" s="1"/>
      <c r="DI84" s="1"/>
      <c r="DJ84" s="1"/>
      <c r="DK84" s="21"/>
      <c r="DL84" s="18"/>
      <c r="DM84" s="18"/>
      <c r="DN84" s="21"/>
      <c r="DO84" s="21"/>
      <c r="DP84" s="21"/>
      <c r="DQ84" s="130"/>
      <c r="DR84" s="21"/>
    </row>
    <row r="85" spans="14:122" x14ac:dyDescent="0.2">
      <c r="N85" s="119"/>
      <c r="O85" s="119"/>
      <c r="P85" s="119"/>
      <c r="Q85" s="119"/>
      <c r="R85" s="125"/>
      <c r="S85" s="125"/>
      <c r="T85" s="125"/>
      <c r="U85" s="119"/>
      <c r="V85" s="119"/>
      <c r="W85" s="147"/>
      <c r="DB85" s="1"/>
      <c r="DC85" s="1"/>
      <c r="DD85" s="1"/>
      <c r="DE85" s="1"/>
      <c r="DF85" s="1"/>
      <c r="DG85" s="1"/>
      <c r="DH85" s="1"/>
      <c r="DI85" s="1"/>
      <c r="DJ85" s="1"/>
      <c r="DK85" s="21"/>
      <c r="DL85" s="18"/>
      <c r="DM85" s="18"/>
      <c r="DN85" s="21"/>
      <c r="DO85" s="21"/>
      <c r="DP85" s="21"/>
      <c r="DQ85" s="130"/>
      <c r="DR85" s="21"/>
    </row>
    <row r="86" spans="14:122" x14ac:dyDescent="0.2">
      <c r="N86" s="125"/>
      <c r="O86" s="125"/>
      <c r="P86" s="125"/>
      <c r="Q86" s="125"/>
      <c r="U86" s="125"/>
      <c r="V86" s="125"/>
      <c r="W86" s="148"/>
      <c r="DB86" s="1"/>
      <c r="DC86" s="1"/>
      <c r="DD86" s="1"/>
      <c r="DE86" s="1"/>
      <c r="DF86" s="1"/>
      <c r="DG86" s="1"/>
      <c r="DH86" s="1"/>
      <c r="DI86" s="1"/>
      <c r="DJ86" s="1"/>
      <c r="DK86" s="21"/>
      <c r="DL86" s="18"/>
      <c r="DM86" s="18"/>
      <c r="DN86" s="21"/>
      <c r="DO86" s="21"/>
      <c r="DP86" s="21"/>
      <c r="DQ86" s="130"/>
      <c r="DR86" s="21"/>
    </row>
    <row r="87" spans="14:122" x14ac:dyDescent="0.2">
      <c r="W87" s="149"/>
      <c r="DB87" s="1"/>
      <c r="DC87" s="1"/>
      <c r="DD87" s="1"/>
      <c r="DE87" s="1"/>
      <c r="DF87" s="1"/>
      <c r="DG87" s="1"/>
      <c r="DH87" s="1"/>
      <c r="DI87" s="1"/>
      <c r="DJ87" s="1"/>
      <c r="DK87" s="21"/>
      <c r="DL87" s="18"/>
      <c r="DM87" s="18"/>
      <c r="DN87" s="21"/>
      <c r="DO87" s="21"/>
      <c r="DP87" s="21"/>
      <c r="DQ87" s="130"/>
      <c r="DR87" s="21"/>
    </row>
    <row r="88" spans="14:122" x14ac:dyDescent="0.2">
      <c r="DB88" s="1"/>
      <c r="DC88" s="1"/>
      <c r="DD88" s="1"/>
      <c r="DE88" s="1"/>
      <c r="DF88" s="1"/>
      <c r="DG88" s="1"/>
      <c r="DH88" s="1"/>
      <c r="DI88" s="1"/>
      <c r="DJ88" s="1"/>
      <c r="DK88" s="21"/>
      <c r="DL88" s="18"/>
      <c r="DM88" s="18"/>
      <c r="DN88" s="21"/>
      <c r="DO88" s="21"/>
      <c r="DP88" s="21"/>
      <c r="DQ88" s="130"/>
      <c r="DR88" s="21"/>
    </row>
    <row r="89" spans="14:122" x14ac:dyDescent="0.2">
      <c r="DB89" s="1"/>
      <c r="DC89" s="1"/>
      <c r="DD89" s="1"/>
      <c r="DE89" s="1"/>
      <c r="DF89" s="1"/>
      <c r="DG89" s="1"/>
      <c r="DH89" s="1"/>
      <c r="DI89" s="1"/>
      <c r="DJ89" s="1"/>
      <c r="DK89" s="21"/>
      <c r="DL89" s="18"/>
      <c r="DM89" s="18"/>
      <c r="DN89" s="21"/>
      <c r="DO89" s="21"/>
      <c r="DP89" s="21"/>
      <c r="DQ89" s="130"/>
      <c r="DR89" s="21"/>
    </row>
    <row r="90" spans="14:122" x14ac:dyDescent="0.2">
      <c r="DB90" s="1"/>
      <c r="DC90" s="1"/>
      <c r="DD90" s="1"/>
      <c r="DE90" s="1"/>
      <c r="DF90" s="1"/>
      <c r="DG90" s="1"/>
      <c r="DH90" s="1"/>
      <c r="DI90" s="1"/>
      <c r="DJ90" s="1"/>
      <c r="DK90" s="21"/>
      <c r="DL90" s="18"/>
      <c r="DM90" s="18"/>
      <c r="DN90" s="21"/>
      <c r="DO90" s="21"/>
      <c r="DP90" s="21"/>
      <c r="DQ90" s="130"/>
      <c r="DR90" s="21"/>
    </row>
    <row r="91" spans="14:122" x14ac:dyDescent="0.2">
      <c r="DB91" s="1"/>
      <c r="DC91" s="1"/>
      <c r="DD91" s="1"/>
      <c r="DE91" s="1"/>
      <c r="DF91" s="1"/>
      <c r="DG91" s="1"/>
      <c r="DH91" s="1"/>
      <c r="DI91" s="1"/>
      <c r="DJ91" s="1"/>
      <c r="DK91" s="21"/>
      <c r="DL91" s="18"/>
      <c r="DM91" s="18"/>
      <c r="DN91" s="21"/>
      <c r="DO91" s="21"/>
      <c r="DP91" s="21"/>
      <c r="DQ91" s="130"/>
      <c r="DR91" s="21"/>
    </row>
    <row r="92" spans="14:122" x14ac:dyDescent="0.2">
      <c r="DB92" s="1"/>
      <c r="DC92" s="1"/>
      <c r="DD92" s="1"/>
      <c r="DE92" s="1"/>
      <c r="DF92" s="1"/>
      <c r="DG92" s="1"/>
      <c r="DH92" s="1"/>
      <c r="DI92" s="1"/>
      <c r="DJ92" s="1"/>
      <c r="DK92" s="21"/>
      <c r="DL92" s="18"/>
      <c r="DM92" s="18"/>
      <c r="DN92" s="21"/>
      <c r="DO92" s="21"/>
      <c r="DP92" s="21"/>
      <c r="DQ92" s="130"/>
      <c r="DR92" s="21"/>
    </row>
    <row r="93" spans="14:122" x14ac:dyDescent="0.2">
      <c r="DB93" s="1"/>
      <c r="DC93" s="1"/>
      <c r="DD93" s="1"/>
      <c r="DE93" s="1"/>
      <c r="DF93" s="1"/>
      <c r="DG93" s="1"/>
      <c r="DH93" s="1"/>
      <c r="DI93" s="1"/>
      <c r="DJ93" s="1"/>
      <c r="DK93" s="21"/>
      <c r="DL93" s="18"/>
      <c r="DM93" s="18"/>
      <c r="DN93" s="21"/>
      <c r="DO93" s="21"/>
      <c r="DP93" s="21"/>
      <c r="DQ93" s="130"/>
      <c r="DR93" s="21"/>
    </row>
    <row r="94" spans="14:122" x14ac:dyDescent="0.2">
      <c r="DB94" s="1"/>
      <c r="DC94" s="1"/>
      <c r="DD94" s="1"/>
      <c r="DE94" s="1"/>
      <c r="DF94" s="1"/>
      <c r="DG94" s="1"/>
      <c r="DH94" s="1"/>
      <c r="DI94" s="1"/>
      <c r="DJ94" s="1"/>
      <c r="DK94" s="21"/>
      <c r="DL94" s="18"/>
      <c r="DM94" s="18"/>
      <c r="DN94" s="21"/>
      <c r="DO94" s="21"/>
      <c r="DP94" s="21"/>
      <c r="DQ94" s="130"/>
      <c r="DR94" s="21"/>
    </row>
    <row r="95" spans="14:122" x14ac:dyDescent="0.2">
      <c r="DB95" s="1"/>
      <c r="DC95" s="1"/>
      <c r="DD95" s="1"/>
      <c r="DE95" s="1"/>
      <c r="DF95" s="1"/>
      <c r="DG95" s="1"/>
      <c r="DH95" s="1"/>
      <c r="DI95" s="1"/>
      <c r="DJ95" s="1"/>
      <c r="DK95" s="21"/>
      <c r="DL95" s="18"/>
      <c r="DM95" s="18"/>
      <c r="DN95" s="21"/>
      <c r="DO95" s="21"/>
      <c r="DP95" s="21"/>
      <c r="DQ95" s="130"/>
      <c r="DR95" s="21"/>
    </row>
    <row r="96" spans="14:122" x14ac:dyDescent="0.2">
      <c r="DB96" s="1"/>
      <c r="DC96" s="1"/>
      <c r="DD96" s="1"/>
      <c r="DE96" s="1"/>
      <c r="DF96" s="1"/>
      <c r="DG96" s="1"/>
      <c r="DH96" s="1"/>
      <c r="DI96" s="1"/>
      <c r="DJ96" s="1"/>
      <c r="DK96" s="21"/>
      <c r="DL96" s="18"/>
      <c r="DM96" s="18"/>
      <c r="DN96" s="21"/>
      <c r="DO96" s="21"/>
      <c r="DP96" s="21"/>
      <c r="DQ96" s="130"/>
      <c r="DR96" s="21"/>
    </row>
    <row r="97" spans="106:123" x14ac:dyDescent="0.2">
      <c r="DB97" s="1"/>
      <c r="DC97" s="1"/>
      <c r="DD97" s="1"/>
      <c r="DE97" s="1"/>
      <c r="DF97" s="1"/>
      <c r="DG97" s="1"/>
      <c r="DH97" s="1"/>
      <c r="DI97" s="1"/>
      <c r="DJ97" s="1"/>
      <c r="DK97" s="21"/>
      <c r="DL97" s="18"/>
      <c r="DM97" s="18"/>
      <c r="DN97" s="21"/>
      <c r="DO97" s="21"/>
      <c r="DP97" s="21"/>
      <c r="DQ97" s="130"/>
      <c r="DR97" s="21"/>
    </row>
    <row r="98" spans="106:123" x14ac:dyDescent="0.2">
      <c r="DB98" s="1"/>
      <c r="DC98" s="1"/>
      <c r="DD98" s="1"/>
      <c r="DE98" s="1"/>
      <c r="DF98" s="1"/>
      <c r="DG98" s="1"/>
      <c r="DH98" s="1"/>
      <c r="DI98" s="1"/>
      <c r="DJ98" s="1"/>
      <c r="DK98" s="21"/>
      <c r="DL98" s="18"/>
      <c r="DM98" s="18"/>
      <c r="DN98" s="21"/>
      <c r="DO98" s="21"/>
      <c r="DP98" s="21"/>
      <c r="DQ98" s="130"/>
      <c r="DR98" s="21"/>
    </row>
    <row r="99" spans="106:123" x14ac:dyDescent="0.2">
      <c r="DB99" s="1"/>
      <c r="DC99" s="1"/>
      <c r="DD99" s="1"/>
      <c r="DE99" s="1"/>
      <c r="DF99" s="1"/>
      <c r="DG99" s="1"/>
      <c r="DH99" s="1"/>
      <c r="DI99" s="1"/>
      <c r="DJ99" s="1"/>
      <c r="DK99" s="21"/>
      <c r="DL99" s="18"/>
      <c r="DM99" s="18"/>
      <c r="DN99" s="21"/>
      <c r="DO99" s="21"/>
      <c r="DP99" s="21"/>
      <c r="DQ99" s="130"/>
      <c r="DR99" s="21"/>
    </row>
    <row r="100" spans="106:123" x14ac:dyDescent="0.2">
      <c r="DB100" s="1"/>
      <c r="DC100" s="1"/>
      <c r="DD100" s="1"/>
      <c r="DE100" s="1"/>
      <c r="DF100" s="1"/>
      <c r="DG100" s="1"/>
      <c r="DH100" s="1"/>
      <c r="DI100" s="1"/>
      <c r="DJ100" s="1"/>
      <c r="DK100" s="21"/>
      <c r="DL100" s="18"/>
      <c r="DM100" s="18"/>
      <c r="DN100" s="21"/>
      <c r="DO100" s="21"/>
      <c r="DP100" s="21"/>
      <c r="DQ100" s="130"/>
      <c r="DR100" s="21"/>
    </row>
    <row r="101" spans="106:123" x14ac:dyDescent="0.2">
      <c r="DB101" s="1"/>
      <c r="DC101" s="1"/>
      <c r="DD101" s="1"/>
      <c r="DE101" s="1"/>
      <c r="DF101" s="1"/>
      <c r="DG101" s="1"/>
      <c r="DH101" s="1"/>
      <c r="DI101" s="1"/>
      <c r="DJ101" s="1"/>
      <c r="DK101" s="21"/>
      <c r="DL101" s="18"/>
      <c r="DM101" s="18"/>
      <c r="DN101" s="21"/>
      <c r="DO101" s="21"/>
      <c r="DP101" s="21"/>
      <c r="DQ101" s="130"/>
      <c r="DR101" s="21"/>
    </row>
    <row r="102" spans="106:123" x14ac:dyDescent="0.2">
      <c r="DB102" s="1"/>
      <c r="DC102" s="1"/>
      <c r="DD102" s="1"/>
      <c r="DE102" s="1"/>
      <c r="DF102" s="1"/>
      <c r="DG102" s="1"/>
      <c r="DH102" s="1"/>
      <c r="DI102" s="1"/>
      <c r="DJ102" s="1"/>
      <c r="DK102" s="21"/>
      <c r="DL102" s="18"/>
      <c r="DM102" s="18"/>
      <c r="DN102" s="21"/>
      <c r="DO102" s="21"/>
      <c r="DP102" s="21"/>
      <c r="DQ102" s="130"/>
      <c r="DR102" s="21"/>
    </row>
    <row r="103" spans="106:123" x14ac:dyDescent="0.2">
      <c r="DB103" s="1"/>
      <c r="DC103" s="1"/>
      <c r="DD103" s="1"/>
      <c r="DE103" s="1"/>
      <c r="DF103" s="1"/>
      <c r="DG103" s="1"/>
      <c r="DH103" s="1"/>
      <c r="DI103" s="1"/>
      <c r="DJ103" s="1"/>
      <c r="DK103" s="21"/>
      <c r="DL103" s="18"/>
      <c r="DM103" s="18"/>
      <c r="DN103" s="21"/>
      <c r="DO103" s="21"/>
      <c r="DP103" s="21"/>
      <c r="DQ103" s="130"/>
      <c r="DR103" s="21"/>
    </row>
    <row r="104" spans="106:123" x14ac:dyDescent="0.2">
      <c r="DB104" s="1"/>
      <c r="DC104" s="1"/>
      <c r="DD104" s="1"/>
      <c r="DE104" s="1"/>
      <c r="DF104" s="1"/>
      <c r="DG104" s="1"/>
      <c r="DH104" s="1"/>
      <c r="DI104" s="1"/>
      <c r="DJ104" s="1"/>
      <c r="DK104" s="21"/>
      <c r="DL104" s="18"/>
      <c r="DM104" s="18"/>
      <c r="DN104" s="21"/>
      <c r="DO104" s="21"/>
      <c r="DP104" s="21"/>
      <c r="DQ104" s="130"/>
      <c r="DR104" s="21"/>
    </row>
    <row r="105" spans="106:123" x14ac:dyDescent="0.2">
      <c r="DB105" s="1"/>
      <c r="DC105" s="1"/>
      <c r="DD105" s="1"/>
      <c r="DE105" s="1"/>
      <c r="DF105" s="1"/>
      <c r="DG105" s="1"/>
      <c r="DH105" s="1"/>
      <c r="DI105" s="1"/>
      <c r="DJ105" s="1"/>
      <c r="DK105" s="21"/>
      <c r="DL105" s="18"/>
      <c r="DM105" s="18"/>
      <c r="DN105" s="21"/>
      <c r="DO105" s="21"/>
      <c r="DP105" s="21"/>
      <c r="DQ105" s="130"/>
      <c r="DR105" s="21"/>
    </row>
    <row r="106" spans="106:123" x14ac:dyDescent="0.2">
      <c r="DB106" s="1"/>
      <c r="DC106" s="1"/>
      <c r="DD106" s="1"/>
      <c r="DE106" s="1"/>
      <c r="DF106" s="1"/>
      <c r="DG106" s="1"/>
      <c r="DH106" s="1"/>
      <c r="DI106" s="1"/>
      <c r="DJ106" s="1"/>
      <c r="DK106" s="21"/>
      <c r="DL106" s="18"/>
      <c r="DM106" s="18"/>
      <c r="DN106" s="21"/>
      <c r="DO106" s="21"/>
      <c r="DP106" s="21"/>
      <c r="DQ106" s="130"/>
      <c r="DR106" s="21"/>
    </row>
    <row r="107" spans="106:123" x14ac:dyDescent="0.2">
      <c r="DB107" s="1"/>
      <c r="DC107" s="1"/>
      <c r="DD107" s="1"/>
      <c r="DE107" s="1"/>
      <c r="DF107" s="1"/>
      <c r="DG107" s="1"/>
      <c r="DH107" s="1"/>
      <c r="DI107" s="1"/>
      <c r="DJ107" s="1"/>
      <c r="DK107" s="21"/>
      <c r="DL107" s="18"/>
      <c r="DM107" s="18"/>
      <c r="DN107" s="21"/>
      <c r="DO107" s="21"/>
      <c r="DP107" s="21"/>
      <c r="DQ107" s="130"/>
      <c r="DR107" s="21"/>
      <c r="DS107" s="21"/>
    </row>
    <row r="108" spans="106:123" x14ac:dyDescent="0.2">
      <c r="DB108" s="1"/>
      <c r="DC108" s="1"/>
      <c r="DD108" s="1"/>
      <c r="DE108" s="1"/>
      <c r="DF108" s="1"/>
      <c r="DG108" s="1"/>
      <c r="DH108" s="1"/>
      <c r="DI108" s="1"/>
      <c r="DJ108" s="1"/>
      <c r="DK108" s="21"/>
      <c r="DL108" s="18"/>
      <c r="DM108" s="18"/>
      <c r="DN108" s="21"/>
      <c r="DO108" s="21"/>
      <c r="DP108" s="21"/>
      <c r="DQ108" s="130"/>
      <c r="DR108" s="21"/>
      <c r="DS108" s="21"/>
    </row>
    <row r="109" spans="106:123" x14ac:dyDescent="0.2">
      <c r="DB109" s="1"/>
      <c r="DC109" s="1"/>
      <c r="DD109" s="1"/>
      <c r="DE109" s="1"/>
      <c r="DF109" s="1"/>
      <c r="DG109" s="1"/>
      <c r="DH109" s="1"/>
      <c r="DI109" s="1"/>
      <c r="DJ109" s="1"/>
      <c r="DK109" s="21"/>
      <c r="DL109" s="18"/>
      <c r="DM109" s="18"/>
      <c r="DN109" s="21"/>
      <c r="DO109" s="21"/>
      <c r="DP109" s="21"/>
      <c r="DQ109" s="130"/>
      <c r="DR109" s="21"/>
      <c r="DS109" s="21"/>
    </row>
    <row r="110" spans="106:123" x14ac:dyDescent="0.2">
      <c r="DB110" s="1"/>
      <c r="DC110" s="1"/>
      <c r="DD110" s="1"/>
      <c r="DE110" s="1"/>
      <c r="DF110" s="1"/>
      <c r="DG110" s="1"/>
      <c r="DH110" s="1"/>
      <c r="DI110" s="1"/>
      <c r="DJ110" s="1"/>
      <c r="DK110" s="21"/>
      <c r="DL110" s="18"/>
      <c r="DM110" s="18"/>
      <c r="DN110" s="21"/>
      <c r="DO110" s="21"/>
      <c r="DP110" s="21"/>
      <c r="DQ110" s="130"/>
      <c r="DR110" s="21"/>
      <c r="DS110" s="21"/>
    </row>
    <row r="111" spans="106:123" x14ac:dyDescent="0.2">
      <c r="DB111" s="1"/>
      <c r="DC111" s="1"/>
      <c r="DD111" s="1"/>
      <c r="DE111" s="1"/>
      <c r="DF111" s="1"/>
      <c r="DG111" s="1"/>
      <c r="DH111" s="1"/>
      <c r="DI111" s="1"/>
      <c r="DJ111" s="1"/>
      <c r="DK111" s="21"/>
      <c r="DL111" s="18"/>
      <c r="DM111" s="18"/>
      <c r="DN111" s="21"/>
      <c r="DO111" s="21"/>
      <c r="DP111" s="21"/>
      <c r="DQ111" s="130"/>
      <c r="DR111" s="21"/>
      <c r="DS111" s="21"/>
    </row>
    <row r="112" spans="106:123" x14ac:dyDescent="0.2">
      <c r="DB112" s="1"/>
      <c r="DC112" s="1"/>
      <c r="DD112" s="1"/>
      <c r="DE112" s="1"/>
      <c r="DF112" s="1"/>
      <c r="DG112" s="1"/>
      <c r="DH112" s="1"/>
      <c r="DI112" s="1"/>
      <c r="DJ112" s="1"/>
      <c r="DK112" s="21"/>
      <c r="DL112" s="18"/>
      <c r="DM112" s="18"/>
      <c r="DN112" s="21"/>
      <c r="DO112" s="21"/>
      <c r="DP112" s="21"/>
      <c r="DQ112" s="130"/>
      <c r="DR112" s="21"/>
      <c r="DS112" s="21" t="s">
        <v>38</v>
      </c>
    </row>
    <row r="113" spans="106:123" x14ac:dyDescent="0.2">
      <c r="DB113" s="1"/>
      <c r="DC113" s="1"/>
      <c r="DD113" s="1"/>
      <c r="DE113" s="1"/>
      <c r="DF113" s="1"/>
      <c r="DG113" s="1"/>
      <c r="DH113" s="1"/>
      <c r="DI113" s="1"/>
      <c r="DJ113" s="1"/>
      <c r="DK113" s="21"/>
      <c r="DL113" s="18"/>
      <c r="DM113" s="18"/>
      <c r="DN113" s="21"/>
      <c r="DO113" s="21"/>
      <c r="DP113" s="21"/>
      <c r="DQ113" s="130"/>
      <c r="DR113" s="21"/>
      <c r="DS113" s="21" t="s">
        <v>38</v>
      </c>
    </row>
    <row r="114" spans="106:123" x14ac:dyDescent="0.2">
      <c r="DB114" s="1"/>
      <c r="DC114" s="1"/>
      <c r="DD114" s="1"/>
      <c r="DE114" s="1"/>
      <c r="DF114" s="1"/>
      <c r="DG114" s="1"/>
      <c r="DH114" s="1"/>
      <c r="DI114" s="1"/>
      <c r="DJ114" s="1"/>
      <c r="DK114" s="21"/>
      <c r="DL114" s="18"/>
      <c r="DM114" s="18"/>
      <c r="DN114" s="21"/>
      <c r="DO114" s="21"/>
      <c r="DP114" s="21"/>
      <c r="DQ114" s="130"/>
      <c r="DR114" s="21"/>
      <c r="DS114" s="21"/>
    </row>
    <row r="115" spans="106:123" x14ac:dyDescent="0.2">
      <c r="DB115" s="1"/>
      <c r="DC115" s="1"/>
      <c r="DD115" s="1"/>
      <c r="DE115" s="1"/>
      <c r="DF115" s="1"/>
      <c r="DG115" s="1"/>
      <c r="DH115" s="1"/>
      <c r="DI115" s="1"/>
      <c r="DJ115" s="1"/>
      <c r="DK115" s="21"/>
      <c r="DL115" s="18"/>
      <c r="DM115" s="18"/>
      <c r="DN115" s="21"/>
      <c r="DO115" s="21"/>
      <c r="DP115" s="21"/>
      <c r="DQ115" s="130"/>
      <c r="DR115" s="21"/>
      <c r="DS115" s="21"/>
    </row>
    <row r="116" spans="106:123" x14ac:dyDescent="0.2">
      <c r="DB116" s="1"/>
      <c r="DC116" s="1"/>
      <c r="DD116" s="1"/>
      <c r="DE116" s="1"/>
      <c r="DF116" s="1"/>
      <c r="DG116" s="1"/>
      <c r="DH116" s="1"/>
      <c r="DI116" s="1"/>
      <c r="DJ116" s="1"/>
      <c r="DK116" s="21"/>
      <c r="DL116" s="18"/>
      <c r="DM116" s="18"/>
      <c r="DN116" s="21"/>
      <c r="DO116" s="21"/>
      <c r="DP116" s="21"/>
      <c r="DQ116" s="130"/>
      <c r="DR116" s="21"/>
      <c r="DS116" s="21"/>
    </row>
    <row r="117" spans="106:123" x14ac:dyDescent="0.2">
      <c r="DB117" s="1"/>
      <c r="DC117" s="1"/>
      <c r="DD117" s="1"/>
      <c r="DE117" s="1"/>
      <c r="DF117" s="1"/>
      <c r="DG117" s="1"/>
      <c r="DH117" s="1"/>
      <c r="DI117" s="1"/>
      <c r="DJ117" s="1"/>
      <c r="DK117" s="21"/>
      <c r="DL117" s="18"/>
      <c r="DM117" s="18"/>
      <c r="DN117" s="21"/>
      <c r="DO117" s="21"/>
      <c r="DP117" s="21"/>
      <c r="DQ117" s="130"/>
      <c r="DR117" s="21"/>
      <c r="DS117" s="21"/>
    </row>
    <row r="118" spans="106:123" x14ac:dyDescent="0.2">
      <c r="DB118" s="1"/>
      <c r="DC118" s="1"/>
      <c r="DD118" s="1"/>
      <c r="DE118" s="1"/>
      <c r="DF118" s="1"/>
      <c r="DG118" s="1"/>
      <c r="DH118" s="1"/>
      <c r="DI118" s="1"/>
      <c r="DJ118" s="1"/>
      <c r="DK118" s="21"/>
      <c r="DL118" s="18"/>
      <c r="DM118" s="18"/>
      <c r="DN118" s="21"/>
      <c r="DO118" s="21"/>
      <c r="DP118" s="21"/>
      <c r="DQ118" s="130"/>
      <c r="DR118" s="21"/>
    </row>
    <row r="119" spans="106:123" x14ac:dyDescent="0.2">
      <c r="DB119" s="1"/>
      <c r="DC119" s="1"/>
      <c r="DD119" s="1"/>
      <c r="DE119" s="1"/>
      <c r="DF119" s="1"/>
      <c r="DG119" s="1"/>
      <c r="DH119" s="1"/>
      <c r="DI119" s="1"/>
      <c r="DJ119" s="1"/>
      <c r="DK119" s="21"/>
      <c r="DL119" s="18"/>
      <c r="DM119" s="18"/>
      <c r="DN119" s="21"/>
      <c r="DO119" s="21"/>
      <c r="DP119" s="21"/>
      <c r="DQ119" s="130"/>
      <c r="DR119" s="21"/>
    </row>
    <row r="120" spans="106:123" x14ac:dyDescent="0.2">
      <c r="DB120" s="1"/>
      <c r="DC120" s="1"/>
      <c r="DD120" s="1"/>
      <c r="DE120" s="1"/>
      <c r="DF120" s="1"/>
      <c r="DG120" s="1"/>
      <c r="DH120" s="1"/>
      <c r="DI120" s="1"/>
      <c r="DJ120" s="1"/>
      <c r="DK120" s="21"/>
      <c r="DL120" s="18"/>
      <c r="DM120" s="18"/>
      <c r="DN120" s="21"/>
      <c r="DO120" s="21"/>
      <c r="DP120" s="21"/>
      <c r="DQ120" s="130"/>
      <c r="DR120" s="21"/>
    </row>
    <row r="121" spans="106:123" x14ac:dyDescent="0.2">
      <c r="DB121" s="1"/>
      <c r="DC121" s="1"/>
      <c r="DD121" s="1"/>
      <c r="DE121" s="1"/>
      <c r="DF121" s="1"/>
      <c r="DG121" s="1"/>
      <c r="DH121" s="1"/>
      <c r="DI121" s="1"/>
      <c r="DJ121" s="1"/>
      <c r="DK121" s="21"/>
      <c r="DL121" s="18"/>
      <c r="DM121" s="18"/>
      <c r="DN121" s="21"/>
      <c r="DO121" s="21"/>
      <c r="DP121" s="21"/>
      <c r="DQ121" s="130"/>
      <c r="DR121" s="21"/>
    </row>
    <row r="122" spans="106:123" x14ac:dyDescent="0.2">
      <c r="DB122" s="1"/>
      <c r="DC122" s="1"/>
      <c r="DD122" s="1"/>
      <c r="DE122" s="1"/>
      <c r="DF122" s="1"/>
      <c r="DG122" s="1"/>
      <c r="DH122" s="1"/>
      <c r="DI122" s="1"/>
      <c r="DJ122" s="1"/>
      <c r="DK122" s="21"/>
      <c r="DL122" s="18"/>
      <c r="DM122" s="18"/>
      <c r="DN122" s="21"/>
      <c r="DO122" s="21"/>
      <c r="DP122" s="21"/>
      <c r="DQ122" s="130"/>
      <c r="DR122" s="21"/>
    </row>
    <row r="123" spans="106:123" x14ac:dyDescent="0.2">
      <c r="DB123" s="1"/>
      <c r="DC123" s="1"/>
      <c r="DD123" s="1"/>
      <c r="DE123" s="1"/>
      <c r="DF123" s="1"/>
      <c r="DG123" s="1"/>
      <c r="DH123" s="1"/>
      <c r="DI123" s="1"/>
      <c r="DJ123" s="1"/>
      <c r="DK123" s="21"/>
      <c r="DL123" s="18"/>
      <c r="DM123" s="18"/>
      <c r="DN123" s="21"/>
      <c r="DO123" s="21"/>
      <c r="DP123" s="21"/>
      <c r="DQ123" s="130"/>
      <c r="DR123" s="21"/>
    </row>
    <row r="124" spans="106:123" x14ac:dyDescent="0.2">
      <c r="DB124" s="1"/>
      <c r="DC124" s="1"/>
      <c r="DD124" s="1"/>
      <c r="DE124" s="1"/>
      <c r="DF124" s="1"/>
      <c r="DG124" s="1"/>
      <c r="DH124" s="1"/>
      <c r="DI124" s="1"/>
      <c r="DJ124" s="1"/>
      <c r="DK124" s="21"/>
      <c r="DL124" s="18"/>
      <c r="DM124" s="18"/>
      <c r="DN124" s="21"/>
      <c r="DO124" s="21"/>
      <c r="DP124" s="21"/>
      <c r="DQ124" s="130"/>
      <c r="DR124" s="21"/>
    </row>
    <row r="125" spans="106:123" x14ac:dyDescent="0.2">
      <c r="DB125" s="1"/>
      <c r="DC125" s="1"/>
      <c r="DD125" s="1"/>
      <c r="DE125" s="1"/>
      <c r="DF125" s="1"/>
      <c r="DG125" s="1"/>
      <c r="DH125" s="1"/>
      <c r="DI125" s="1"/>
      <c r="DJ125" s="1"/>
      <c r="DK125" s="18"/>
      <c r="DL125" s="18"/>
      <c r="DM125" s="18"/>
      <c r="DN125" s="21"/>
      <c r="DO125" s="21"/>
      <c r="DP125" s="21"/>
      <c r="DQ125" s="130"/>
      <c r="DR125" s="21"/>
    </row>
    <row r="126" spans="106:123" x14ac:dyDescent="0.2">
      <c r="DB126" s="1"/>
      <c r="DC126" s="1"/>
      <c r="DD126" s="1"/>
      <c r="DE126" s="1"/>
      <c r="DF126" s="1"/>
      <c r="DG126" s="1"/>
      <c r="DH126" s="1"/>
      <c r="DI126" s="1"/>
      <c r="DJ126" s="1"/>
      <c r="DK126" s="18"/>
      <c r="DL126" s="18"/>
      <c r="DM126" s="18"/>
      <c r="DN126" s="21"/>
      <c r="DO126" s="21"/>
      <c r="DP126" s="21"/>
      <c r="DQ126" s="130"/>
      <c r="DR126" s="21"/>
    </row>
    <row r="127" spans="106:123" x14ac:dyDescent="0.2">
      <c r="DK127" s="18"/>
      <c r="DL127" s="18"/>
      <c r="DM127" s="18"/>
      <c r="DN127" s="21"/>
      <c r="DO127" s="21"/>
      <c r="DP127" s="21"/>
      <c r="DQ127" s="130"/>
      <c r="DR127" s="21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35" priority="73" stopIfTrue="1">
      <formula>$S$3&lt;&gt;""</formula>
    </cfRule>
  </conditionalFormatting>
  <conditionalFormatting sqref="M8:M38">
    <cfRule type="expression" dxfId="34" priority="2" stopIfTrue="1">
      <formula>M8&lt;-8</formula>
    </cfRule>
    <cfRule type="expression" dxfId="33" priority="3">
      <formula>M8&lt;0</formula>
    </cfRule>
  </conditionalFormatting>
  <conditionalFormatting sqref="K8:L38">
    <cfRule type="expression" dxfId="32" priority="4" stopIfTrue="1">
      <formula>$CX8&lt;-0.33334</formula>
    </cfRule>
    <cfRule type="expression" dxfId="31" priority="5">
      <formula>$CX8&lt;0</formula>
    </cfRule>
  </conditionalFormatting>
  <conditionalFormatting sqref="A34:R38">
    <cfRule type="expression" dxfId="30" priority="1" stopIfTrue="1">
      <formula>$AB$8&lt;&gt;$AB34</formula>
    </cfRule>
  </conditionalFormatting>
  <conditionalFormatting sqref="N8:R38 A8:I38">
    <cfRule type="expression" dxfId="29" priority="6" stopIfTrue="1">
      <formula>OR($AC8=0,$AC8=1)</formula>
    </cfRule>
    <cfRule type="expression" dxfId="28" priority="7" stopIfTrue="1">
      <formula>COUNTIFS($DG$5:$DG$19,$AA8)&gt;0</formula>
    </cfRule>
    <cfRule type="expression" dxfId="27" priority="8" stopIfTrue="1">
      <formula>VLOOKUP($AC8,$B$42:$D$46,3) = 1</formula>
    </cfRule>
  </conditionalFormatting>
  <dataValidations count="1">
    <dataValidation type="whole" allowBlank="1" showInputMessage="1" showErrorMessage="1" sqref="D42:D46" xr:uid="{521D4B88-E46C-4F8E-8664-7E89A70549F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7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44470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september!K38</f>
        <v>+</v>
      </c>
      <c r="E3" s="385">
        <f>ABS(september!M38)</f>
        <v>2.000000011200632</v>
      </c>
      <c r="F3" s="386"/>
      <c r="G3" s="228">
        <f>E3/24</f>
        <v>8.3333333800026332E-2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8.3333333800026332E-2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44470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8.3333333800026332E-2</v>
      </c>
      <c r="M8" s="311">
        <f>800/0.333333333*CX8/100</f>
        <v>2.0000000132006321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44470</v>
      </c>
      <c r="AA8" s="160">
        <f t="shared" ref="AA8:AA35" si="4">Z8</f>
        <v>44470</v>
      </c>
      <c r="AB8" s="160">
        <f t="shared" ref="AB8:AB38" si="5">MONTH(Z8)</f>
        <v>10</v>
      </c>
      <c r="AC8" s="81">
        <f t="shared" ref="AC8:AC38" si="6">MOD(Z8,7)</f>
        <v>6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8.3333333800026332E-2</v>
      </c>
      <c r="CY8" s="94" t="str">
        <f>IF((CX8)&gt;0,"+","-")</f>
        <v>+</v>
      </c>
      <c r="CZ8" s="95">
        <f>ABS(CX8)</f>
        <v>8.3333333800026332E-2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44471</v>
      </c>
      <c r="C9" s="239"/>
      <c r="D9" s="240"/>
      <c r="E9" s="240"/>
      <c r="F9" s="240"/>
      <c r="G9" s="278"/>
      <c r="H9" s="305">
        <f t="shared" ref="H9:H38" si="29">IF(AC9=0,21,IF(AC9=1,1,IF(AD9=2,2,IF(VLOOKUP($AC9,$B$42:$D$46,3)=1,$E$40,""))))</f>
        <v>21</v>
      </c>
      <c r="I9" s="273" t="str">
        <f t="shared" ref="I9:I38" si="30">IF(H9="",IF(VLOOKUP($AC9,$B$42:$D$46,3)=2,$E$40,""),"")</f>
        <v/>
      </c>
      <c r="J9" s="312">
        <f t="shared" si="2"/>
        <v>0.31666666666666698</v>
      </c>
      <c r="K9" s="313" t="str">
        <f t="shared" si="3"/>
        <v>+</v>
      </c>
      <c r="L9" s="314">
        <f t="shared" si="3"/>
        <v>8.3333333800026665E-2</v>
      </c>
      <c r="M9" s="315">
        <f t="shared" ref="M9:M38" si="31">800/0.333333333*CX9/100</f>
        <v>2.0000000132006401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44471</v>
      </c>
      <c r="AA9" s="160">
        <f t="shared" si="4"/>
        <v>44471</v>
      </c>
      <c r="AB9" s="160">
        <f t="shared" si="5"/>
        <v>10</v>
      </c>
      <c r="AC9" s="81">
        <f t="shared" si="6"/>
        <v>0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>
        <f t="shared" si="18"/>
        <v>0.31666666666666698</v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0.31666666666666698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0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0.31666666666666698</v>
      </c>
      <c r="CU9" s="92">
        <f t="shared" si="24"/>
        <v>0.31666666666666698</v>
      </c>
      <c r="CV9" s="326">
        <f t="shared" ref="CV9:CV38" si="49">CU9</f>
        <v>0.31666666666666698</v>
      </c>
      <c r="CW9" s="328">
        <f t="shared" si="25"/>
        <v>3.3306690738754696E-16</v>
      </c>
      <c r="CX9" s="330">
        <f t="shared" ref="CX9:CX38" si="50">IF(OR($CM9=1,$CN9=1,$CO9=1,$CP9=1),$CX8-IF(Arbeidsstelsel=4,$BX$29,$BX$26),$CX8+$CW9)</f>
        <v>8.3333333800026665E-2</v>
      </c>
      <c r="CY9" s="94" t="str">
        <f t="shared" ref="CY9:CY38" si="51">IF((CX9)&gt;0,"+","-")</f>
        <v>+</v>
      </c>
      <c r="CZ9" s="95">
        <f t="shared" ref="CZ9:CZ38" si="52">ABS(CX9)</f>
        <v>8.3333333800026665E-2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44472</v>
      </c>
      <c r="C10" s="239"/>
      <c r="D10" s="240"/>
      <c r="E10" s="240"/>
      <c r="F10" s="240"/>
      <c r="G10" s="278"/>
      <c r="H10" s="305">
        <f t="shared" si="29"/>
        <v>1</v>
      </c>
      <c r="I10" s="273" t="str">
        <f t="shared" si="30"/>
        <v/>
      </c>
      <c r="J10" s="312">
        <f t="shared" si="2"/>
        <v>0.31666666666666698</v>
      </c>
      <c r="K10" s="313" t="str">
        <f t="shared" si="3"/>
        <v>+</v>
      </c>
      <c r="L10" s="314">
        <f t="shared" si="3"/>
        <v>8.3333333800026999E-2</v>
      </c>
      <c r="M10" s="315">
        <f t="shared" si="31"/>
        <v>2.0000000132006481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44472</v>
      </c>
      <c r="AA10" s="160">
        <f t="shared" si="4"/>
        <v>44472</v>
      </c>
      <c r="AB10" s="160">
        <f t="shared" si="5"/>
        <v>10</v>
      </c>
      <c r="AC10" s="81">
        <f t="shared" si="6"/>
        <v>1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>
        <f t="shared" si="18"/>
        <v>0.31666666666666698</v>
      </c>
      <c r="CD10" s="88" t="str">
        <f t="shared" si="19"/>
        <v/>
      </c>
      <c r="CE10" s="89">
        <f t="shared" si="20"/>
        <v>0</v>
      </c>
      <c r="CF10" s="90">
        <f t="shared" si="37"/>
        <v>0.31666666666666698</v>
      </c>
      <c r="CG10" s="91">
        <f t="shared" si="38"/>
        <v>0</v>
      </c>
      <c r="CH10" s="87">
        <f t="shared" si="39"/>
        <v>0</v>
      </c>
      <c r="CI10" s="92">
        <f t="shared" si="40"/>
        <v>0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0.31666666666666698</v>
      </c>
      <c r="CU10" s="92">
        <f t="shared" si="24"/>
        <v>0.31666666666666698</v>
      </c>
      <c r="CV10" s="326">
        <f t="shared" si="49"/>
        <v>0.31666666666666698</v>
      </c>
      <c r="CW10" s="328">
        <f t="shared" si="25"/>
        <v>3.3306690738754696E-16</v>
      </c>
      <c r="CX10" s="330">
        <f t="shared" si="50"/>
        <v>8.3333333800026999E-2</v>
      </c>
      <c r="CY10" s="94" t="str">
        <f t="shared" si="51"/>
        <v>+</v>
      </c>
      <c r="CZ10" s="95">
        <f t="shared" si="52"/>
        <v>8.3333333800026999E-2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44473</v>
      </c>
      <c r="C11" s="239"/>
      <c r="D11" s="240"/>
      <c r="E11" s="240"/>
      <c r="F11" s="240"/>
      <c r="G11" s="278"/>
      <c r="H11" s="305" t="str">
        <f t="shared" ref="H11" si="54">IF(AC11=0,21,IF(AC11=1,1,IF(AD11=2,2,IF(VLOOKUP($AC11,$B$42:$D$46,3)=1,$E$40,""))))</f>
        <v/>
      </c>
      <c r="I11" s="273" t="str">
        <f t="shared" ref="I11" si="55">IF(H11="",IF(VLOOKUP($AC11,$B$42:$D$46,3)=2,$E$40,""),"")</f>
        <v/>
      </c>
      <c r="J11" s="312">
        <f t="shared" si="2"/>
        <v>0</v>
      </c>
      <c r="K11" s="313" t="str">
        <f t="shared" si="3"/>
        <v>+</v>
      </c>
      <c r="L11" s="314">
        <f t="shared" si="3"/>
        <v>8.3333333800026999E-2</v>
      </c>
      <c r="M11" s="315">
        <f t="shared" si="31"/>
        <v>2.0000000132006481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44473</v>
      </c>
      <c r="AA11" s="160">
        <f t="shared" si="4"/>
        <v>44473</v>
      </c>
      <c r="AB11" s="160">
        <f t="shared" si="5"/>
        <v>10</v>
      </c>
      <c r="AC11" s="81">
        <f t="shared" si="6"/>
        <v>2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8.3333333800026999E-2</v>
      </c>
      <c r="CY11" s="94" t="str">
        <f t="shared" si="51"/>
        <v>+</v>
      </c>
      <c r="CZ11" s="95">
        <f t="shared" si="52"/>
        <v>8.3333333800026999E-2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44474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8.3333333800026999E-2</v>
      </c>
      <c r="M12" s="315">
        <f t="shared" si="31"/>
        <v>2.0000000132006481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44474</v>
      </c>
      <c r="AA12" s="160">
        <f t="shared" si="4"/>
        <v>44474</v>
      </c>
      <c r="AB12" s="160">
        <f t="shared" si="5"/>
        <v>10</v>
      </c>
      <c r="AC12" s="81">
        <f t="shared" si="6"/>
        <v>3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8.3333333800026999E-2</v>
      </c>
      <c r="CY12" s="94" t="str">
        <f t="shared" si="51"/>
        <v>+</v>
      </c>
      <c r="CZ12" s="95">
        <f t="shared" si="52"/>
        <v>8.3333333800026999E-2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44475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8.3333333800026999E-2</v>
      </c>
      <c r="M13" s="315">
        <f t="shared" si="31"/>
        <v>2.0000000132006481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44475</v>
      </c>
      <c r="AA13" s="160">
        <f t="shared" si="4"/>
        <v>44475</v>
      </c>
      <c r="AB13" s="160">
        <f t="shared" si="5"/>
        <v>10</v>
      </c>
      <c r="AC13" s="81">
        <f t="shared" si="6"/>
        <v>4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8.3333333800026999E-2</v>
      </c>
      <c r="CY13" s="94" t="str">
        <f t="shared" si="51"/>
        <v>+</v>
      </c>
      <c r="CZ13" s="95">
        <f t="shared" si="52"/>
        <v>8.3333333800026999E-2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44476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8.3333333800026999E-2</v>
      </c>
      <c r="M14" s="315">
        <f t="shared" si="31"/>
        <v>2.0000000132006481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44476</v>
      </c>
      <c r="AA14" s="160">
        <f t="shared" si="4"/>
        <v>44476</v>
      </c>
      <c r="AB14" s="160">
        <f t="shared" si="5"/>
        <v>10</v>
      </c>
      <c r="AC14" s="81">
        <f t="shared" si="6"/>
        <v>5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8.3333333800026999E-2</v>
      </c>
      <c r="CY14" s="94" t="str">
        <f t="shared" si="51"/>
        <v>+</v>
      </c>
      <c r="CZ14" s="95">
        <f t="shared" si="52"/>
        <v>8.3333333800026999E-2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44477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8.3333333800026999E-2</v>
      </c>
      <c r="M15" s="315">
        <f t="shared" si="31"/>
        <v>2.0000000132006481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44477</v>
      </c>
      <c r="AA15" s="160">
        <f t="shared" si="4"/>
        <v>44477</v>
      </c>
      <c r="AB15" s="160">
        <f t="shared" si="5"/>
        <v>10</v>
      </c>
      <c r="AC15" s="81">
        <f t="shared" si="6"/>
        <v>6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8.3333333800026999E-2</v>
      </c>
      <c r="CY15" s="94" t="str">
        <f t="shared" si="51"/>
        <v>+</v>
      </c>
      <c r="CZ15" s="95">
        <f t="shared" si="52"/>
        <v>8.3333333800026999E-2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44478</v>
      </c>
      <c r="C16" s="239"/>
      <c r="D16" s="240"/>
      <c r="E16" s="240"/>
      <c r="F16" s="240"/>
      <c r="G16" s="278"/>
      <c r="H16" s="305">
        <f t="shared" si="29"/>
        <v>21</v>
      </c>
      <c r="I16" s="273" t="str">
        <f t="shared" si="30"/>
        <v/>
      </c>
      <c r="J16" s="312">
        <f t="shared" si="2"/>
        <v>0.31666666666666698</v>
      </c>
      <c r="K16" s="313" t="str">
        <f t="shared" si="3"/>
        <v>+</v>
      </c>
      <c r="L16" s="314">
        <f t="shared" si="3"/>
        <v>8.3333333800027332E-2</v>
      </c>
      <c r="M16" s="315">
        <f t="shared" si="31"/>
        <v>2.0000000132006561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44478</v>
      </c>
      <c r="AA16" s="160">
        <f t="shared" si="4"/>
        <v>44478</v>
      </c>
      <c r="AB16" s="160">
        <f t="shared" si="5"/>
        <v>10</v>
      </c>
      <c r="AC16" s="81">
        <f t="shared" si="6"/>
        <v>0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>
        <f t="shared" si="18"/>
        <v>0.31666666666666698</v>
      </c>
      <c r="CD16" s="88" t="str">
        <f t="shared" si="19"/>
        <v/>
      </c>
      <c r="CE16" s="89">
        <f t="shared" si="20"/>
        <v>0</v>
      </c>
      <c r="CF16" s="90">
        <f t="shared" si="37"/>
        <v>0.31666666666666698</v>
      </c>
      <c r="CG16" s="91">
        <f t="shared" si="38"/>
        <v>0</v>
      </c>
      <c r="CH16" s="87">
        <f t="shared" si="39"/>
        <v>0</v>
      </c>
      <c r="CI16" s="92">
        <f t="shared" si="40"/>
        <v>0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0.31666666666666698</v>
      </c>
      <c r="CU16" s="92">
        <f t="shared" si="24"/>
        <v>0.31666666666666698</v>
      </c>
      <c r="CV16" s="326">
        <f t="shared" si="49"/>
        <v>0.31666666666666698</v>
      </c>
      <c r="CW16" s="328">
        <f t="shared" si="25"/>
        <v>3.3306690738754696E-16</v>
      </c>
      <c r="CX16" s="330">
        <f t="shared" si="50"/>
        <v>8.3333333800027332E-2</v>
      </c>
      <c r="CY16" s="94" t="str">
        <f t="shared" si="51"/>
        <v>+</v>
      </c>
      <c r="CZ16" s="95">
        <f t="shared" si="52"/>
        <v>8.3333333800027332E-2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44479</v>
      </c>
      <c r="C17" s="239"/>
      <c r="D17" s="240"/>
      <c r="E17" s="240"/>
      <c r="F17" s="240"/>
      <c r="G17" s="278"/>
      <c r="H17" s="305">
        <f t="shared" si="29"/>
        <v>1</v>
      </c>
      <c r="I17" s="273" t="str">
        <f t="shared" si="30"/>
        <v/>
      </c>
      <c r="J17" s="312">
        <f t="shared" si="2"/>
        <v>0.31666666666666698</v>
      </c>
      <c r="K17" s="313" t="str">
        <f t="shared" si="3"/>
        <v>+</v>
      </c>
      <c r="L17" s="314">
        <f t="shared" si="3"/>
        <v>8.3333333800027665E-2</v>
      </c>
      <c r="M17" s="315">
        <f t="shared" si="31"/>
        <v>2.0000000132006641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44479</v>
      </c>
      <c r="AA17" s="160">
        <f t="shared" si="4"/>
        <v>44479</v>
      </c>
      <c r="AB17" s="160">
        <f t="shared" si="5"/>
        <v>10</v>
      </c>
      <c r="AC17" s="81">
        <f t="shared" si="6"/>
        <v>1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>
        <f t="shared" si="18"/>
        <v>0.31666666666666698</v>
      </c>
      <c r="CD17" s="88" t="str">
        <f t="shared" si="19"/>
        <v/>
      </c>
      <c r="CE17" s="89">
        <f t="shared" si="20"/>
        <v>0</v>
      </c>
      <c r="CF17" s="90">
        <f t="shared" si="37"/>
        <v>0.31666666666666698</v>
      </c>
      <c r="CG17" s="91">
        <f t="shared" si="38"/>
        <v>0</v>
      </c>
      <c r="CH17" s="87">
        <f t="shared" si="39"/>
        <v>0</v>
      </c>
      <c r="CI17" s="92">
        <f t="shared" si="40"/>
        <v>0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0.31666666666666698</v>
      </c>
      <c r="CU17" s="92">
        <f t="shared" si="24"/>
        <v>0.31666666666666698</v>
      </c>
      <c r="CV17" s="326">
        <f t="shared" si="49"/>
        <v>0.31666666666666698</v>
      </c>
      <c r="CW17" s="328">
        <f t="shared" si="25"/>
        <v>3.3306690738754696E-16</v>
      </c>
      <c r="CX17" s="330">
        <f t="shared" si="50"/>
        <v>8.3333333800027665E-2</v>
      </c>
      <c r="CY17" s="94" t="str">
        <f t="shared" si="51"/>
        <v>+</v>
      </c>
      <c r="CZ17" s="95">
        <f t="shared" si="52"/>
        <v>8.3333333800027665E-2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44480</v>
      </c>
      <c r="C18" s="239"/>
      <c r="D18" s="240"/>
      <c r="E18" s="240"/>
      <c r="F18" s="240"/>
      <c r="G18" s="278"/>
      <c r="H18" s="305" t="str">
        <f t="shared" si="29"/>
        <v/>
      </c>
      <c r="I18" s="273" t="str">
        <f t="shared" si="30"/>
        <v/>
      </c>
      <c r="J18" s="312">
        <f t="shared" si="2"/>
        <v>0</v>
      </c>
      <c r="K18" s="313" t="str">
        <f t="shared" si="3"/>
        <v>+</v>
      </c>
      <c r="L18" s="314">
        <f t="shared" si="3"/>
        <v>8.3333333800027665E-2</v>
      </c>
      <c r="M18" s="315">
        <f t="shared" si="31"/>
        <v>2.0000000132006641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44480</v>
      </c>
      <c r="AA18" s="160">
        <f t="shared" si="4"/>
        <v>44480</v>
      </c>
      <c r="AB18" s="160">
        <f t="shared" si="5"/>
        <v>10</v>
      </c>
      <c r="AC18" s="81">
        <f t="shared" si="6"/>
        <v>2</v>
      </c>
      <c r="AD18" s="160">
        <f t="shared" si="7"/>
        <v>0</v>
      </c>
      <c r="AF18" s="27" t="s">
        <v>119</v>
      </c>
      <c r="AG18" s="100"/>
      <c r="AH18" s="82">
        <f t="shared" ref="AH18:AQ27" si="56">IF($N18=AH$7,$DB18,IF($O18=AH$7,$P18,IF($Q18=AH$7,$R18,0)))</f>
        <v>0</v>
      </c>
      <c r="AI18" s="82">
        <f t="shared" si="56"/>
        <v>0</v>
      </c>
      <c r="AJ18" s="82">
        <f t="shared" si="56"/>
        <v>0</v>
      </c>
      <c r="AK18" s="82">
        <f t="shared" si="56"/>
        <v>0</v>
      </c>
      <c r="AL18" s="82">
        <f t="shared" si="56"/>
        <v>0</v>
      </c>
      <c r="AM18" s="82">
        <f t="shared" si="56"/>
        <v>0</v>
      </c>
      <c r="AN18" s="82">
        <f t="shared" si="56"/>
        <v>0</v>
      </c>
      <c r="AO18" s="82">
        <f t="shared" si="56"/>
        <v>0</v>
      </c>
      <c r="AP18" s="82">
        <f t="shared" si="56"/>
        <v>0</v>
      </c>
      <c r="AQ18" s="82">
        <f t="shared" si="56"/>
        <v>0</v>
      </c>
      <c r="AR18" s="82">
        <f t="shared" ref="AR18:BA27" si="57">IF($N18=AR$7,$DB18,IF($O18=AR$7,$P18,IF($Q18=AR$7,$R18,0)))</f>
        <v>0</v>
      </c>
      <c r="AS18" s="82">
        <f t="shared" si="57"/>
        <v>0</v>
      </c>
      <c r="AT18" s="82">
        <f t="shared" si="57"/>
        <v>0</v>
      </c>
      <c r="AU18" s="82">
        <f t="shared" si="57"/>
        <v>0</v>
      </c>
      <c r="AV18" s="82">
        <f t="shared" si="57"/>
        <v>0</v>
      </c>
      <c r="AW18" s="82">
        <f t="shared" si="57"/>
        <v>0</v>
      </c>
      <c r="AX18" s="82">
        <f t="shared" si="57"/>
        <v>0</v>
      </c>
      <c r="AY18" s="82">
        <f t="shared" si="57"/>
        <v>0</v>
      </c>
      <c r="AZ18" s="82">
        <f t="shared" si="57"/>
        <v>0</v>
      </c>
      <c r="BA18" s="82">
        <f t="shared" si="57"/>
        <v>0</v>
      </c>
      <c r="BB18" s="82">
        <f t="shared" ref="BB18:BK27" si="58">IF($N18=BB$7,$DB18,IF($O18=BB$7,$P18,IF($Q18=BB$7,$R18,0)))</f>
        <v>0</v>
      </c>
      <c r="BC18" s="82">
        <f t="shared" si="58"/>
        <v>0</v>
      </c>
      <c r="BD18" s="82">
        <f t="shared" si="58"/>
        <v>0</v>
      </c>
      <c r="BE18" s="82">
        <f t="shared" si="58"/>
        <v>0</v>
      </c>
      <c r="BF18" s="82">
        <f t="shared" si="58"/>
        <v>0</v>
      </c>
      <c r="BG18" s="82">
        <f t="shared" si="58"/>
        <v>0</v>
      </c>
      <c r="BH18" s="82">
        <f t="shared" si="58"/>
        <v>0</v>
      </c>
      <c r="BI18" s="82">
        <f t="shared" si="58"/>
        <v>0</v>
      </c>
      <c r="BJ18" s="82">
        <f t="shared" si="58"/>
        <v>0</v>
      </c>
      <c r="BK18" s="83">
        <f t="shared" si="58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 t="str">
        <f t="shared" si="18"/>
        <v/>
      </c>
      <c r="CD18" s="88" t="str">
        <f t="shared" si="19"/>
        <v/>
      </c>
      <c r="CE18" s="89">
        <f t="shared" si="20"/>
        <v>0</v>
      </c>
      <c r="CF18" s="90">
        <f t="shared" si="37"/>
        <v>0</v>
      </c>
      <c r="CG18" s="91">
        <f t="shared" si="38"/>
        <v>0</v>
      </c>
      <c r="CH18" s="87">
        <f t="shared" si="39"/>
        <v>0</v>
      </c>
      <c r="CI18" s="92">
        <f t="shared" si="40"/>
        <v>2.0833333333333332E-2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</v>
      </c>
      <c r="CU18" s="92">
        <f t="shared" si="24"/>
        <v>0</v>
      </c>
      <c r="CV18" s="326">
        <f t="shared" si="49"/>
        <v>0</v>
      </c>
      <c r="CW18" s="328">
        <f t="shared" si="25"/>
        <v>0</v>
      </c>
      <c r="CX18" s="330">
        <f t="shared" si="50"/>
        <v>8.3333333800027665E-2</v>
      </c>
      <c r="CY18" s="94" t="str">
        <f t="shared" si="51"/>
        <v>+</v>
      </c>
      <c r="CZ18" s="95">
        <f t="shared" si="52"/>
        <v>8.3333333800027665E-2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44481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8.3333333800027665E-2</v>
      </c>
      <c r="M19" s="315">
        <f t="shared" si="31"/>
        <v>2.0000000132006641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44481</v>
      </c>
      <c r="AA19" s="160">
        <f t="shared" si="4"/>
        <v>44481</v>
      </c>
      <c r="AB19" s="160">
        <f t="shared" si="5"/>
        <v>10</v>
      </c>
      <c r="AC19" s="81">
        <f t="shared" si="6"/>
        <v>3</v>
      </c>
      <c r="AD19" s="160">
        <f t="shared" si="7"/>
        <v>0</v>
      </c>
      <c r="AF19" s="27" t="s">
        <v>119</v>
      </c>
      <c r="AG19" s="100"/>
      <c r="AH19" s="82">
        <f t="shared" si="56"/>
        <v>0</v>
      </c>
      <c r="AI19" s="82">
        <f t="shared" si="56"/>
        <v>0</v>
      </c>
      <c r="AJ19" s="82">
        <f t="shared" si="56"/>
        <v>0</v>
      </c>
      <c r="AK19" s="82">
        <f t="shared" si="56"/>
        <v>0</v>
      </c>
      <c r="AL19" s="82">
        <f t="shared" si="56"/>
        <v>0</v>
      </c>
      <c r="AM19" s="82">
        <f t="shared" si="56"/>
        <v>0</v>
      </c>
      <c r="AN19" s="82">
        <f t="shared" si="56"/>
        <v>0</v>
      </c>
      <c r="AO19" s="82">
        <f t="shared" si="56"/>
        <v>0</v>
      </c>
      <c r="AP19" s="82">
        <f t="shared" si="56"/>
        <v>0</v>
      </c>
      <c r="AQ19" s="82">
        <f t="shared" si="56"/>
        <v>0</v>
      </c>
      <c r="AR19" s="82">
        <f t="shared" si="57"/>
        <v>0</v>
      </c>
      <c r="AS19" s="82">
        <f t="shared" si="57"/>
        <v>0</v>
      </c>
      <c r="AT19" s="82">
        <f t="shared" si="57"/>
        <v>0</v>
      </c>
      <c r="AU19" s="82">
        <f t="shared" si="57"/>
        <v>0</v>
      </c>
      <c r="AV19" s="82">
        <f t="shared" si="57"/>
        <v>0</v>
      </c>
      <c r="AW19" s="82">
        <f t="shared" si="57"/>
        <v>0</v>
      </c>
      <c r="AX19" s="82">
        <f t="shared" si="57"/>
        <v>0</v>
      </c>
      <c r="AY19" s="82">
        <f t="shared" si="57"/>
        <v>0</v>
      </c>
      <c r="AZ19" s="82">
        <f t="shared" si="57"/>
        <v>0</v>
      </c>
      <c r="BA19" s="82">
        <f t="shared" si="57"/>
        <v>0</v>
      </c>
      <c r="BB19" s="82">
        <f t="shared" si="58"/>
        <v>0</v>
      </c>
      <c r="BC19" s="82">
        <f t="shared" si="58"/>
        <v>0</v>
      </c>
      <c r="BD19" s="82">
        <f t="shared" si="58"/>
        <v>0</v>
      </c>
      <c r="BE19" s="82">
        <f t="shared" si="58"/>
        <v>0</v>
      </c>
      <c r="BF19" s="82">
        <f t="shared" si="58"/>
        <v>0</v>
      </c>
      <c r="BG19" s="82">
        <f t="shared" si="58"/>
        <v>0</v>
      </c>
      <c r="BH19" s="82">
        <f t="shared" si="58"/>
        <v>0</v>
      </c>
      <c r="BI19" s="82">
        <f t="shared" si="58"/>
        <v>0</v>
      </c>
      <c r="BJ19" s="82">
        <f t="shared" si="58"/>
        <v>0</v>
      </c>
      <c r="BK19" s="83">
        <f t="shared" si="58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8.3333333800027665E-2</v>
      </c>
      <c r="CY19" s="94" t="str">
        <f t="shared" si="51"/>
        <v>+</v>
      </c>
      <c r="CZ19" s="95">
        <f t="shared" si="52"/>
        <v>8.3333333800027665E-2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44482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8.3333333800027665E-2</v>
      </c>
      <c r="M20" s="315">
        <f t="shared" si="31"/>
        <v>2.0000000132006641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44482</v>
      </c>
      <c r="AA20" s="160">
        <f t="shared" si="4"/>
        <v>44482</v>
      </c>
      <c r="AB20" s="160">
        <f t="shared" si="5"/>
        <v>10</v>
      </c>
      <c r="AC20" s="81">
        <f t="shared" si="6"/>
        <v>4</v>
      </c>
      <c r="AD20" s="160">
        <f t="shared" si="7"/>
        <v>0</v>
      </c>
      <c r="AF20" s="27" t="s">
        <v>119</v>
      </c>
      <c r="AG20" s="100"/>
      <c r="AH20" s="82">
        <f t="shared" si="56"/>
        <v>0</v>
      </c>
      <c r="AI20" s="82">
        <f t="shared" si="56"/>
        <v>0</v>
      </c>
      <c r="AJ20" s="82">
        <f t="shared" si="56"/>
        <v>0</v>
      </c>
      <c r="AK20" s="82">
        <f t="shared" si="56"/>
        <v>0</v>
      </c>
      <c r="AL20" s="82">
        <f t="shared" si="56"/>
        <v>0</v>
      </c>
      <c r="AM20" s="82">
        <f t="shared" si="56"/>
        <v>0</v>
      </c>
      <c r="AN20" s="82">
        <f t="shared" si="56"/>
        <v>0</v>
      </c>
      <c r="AO20" s="82">
        <f t="shared" si="56"/>
        <v>0</v>
      </c>
      <c r="AP20" s="82">
        <f t="shared" si="56"/>
        <v>0</v>
      </c>
      <c r="AQ20" s="82">
        <f t="shared" si="56"/>
        <v>0</v>
      </c>
      <c r="AR20" s="82">
        <f t="shared" si="57"/>
        <v>0</v>
      </c>
      <c r="AS20" s="82">
        <f t="shared" si="57"/>
        <v>0</v>
      </c>
      <c r="AT20" s="82">
        <f t="shared" si="57"/>
        <v>0</v>
      </c>
      <c r="AU20" s="82">
        <f t="shared" si="57"/>
        <v>0</v>
      </c>
      <c r="AV20" s="82">
        <f t="shared" si="57"/>
        <v>0</v>
      </c>
      <c r="AW20" s="82">
        <f t="shared" si="57"/>
        <v>0</v>
      </c>
      <c r="AX20" s="82">
        <f t="shared" si="57"/>
        <v>0</v>
      </c>
      <c r="AY20" s="82">
        <f t="shared" si="57"/>
        <v>0</v>
      </c>
      <c r="AZ20" s="82">
        <f t="shared" si="57"/>
        <v>0</v>
      </c>
      <c r="BA20" s="82">
        <f t="shared" si="57"/>
        <v>0</v>
      </c>
      <c r="BB20" s="82">
        <f t="shared" si="58"/>
        <v>0</v>
      </c>
      <c r="BC20" s="82">
        <f t="shared" si="58"/>
        <v>0</v>
      </c>
      <c r="BD20" s="82">
        <f t="shared" si="58"/>
        <v>0</v>
      </c>
      <c r="BE20" s="82">
        <f t="shared" si="58"/>
        <v>0</v>
      </c>
      <c r="BF20" s="82">
        <f t="shared" si="58"/>
        <v>0</v>
      </c>
      <c r="BG20" s="82">
        <f t="shared" si="58"/>
        <v>0</v>
      </c>
      <c r="BH20" s="82">
        <f t="shared" si="58"/>
        <v>0</v>
      </c>
      <c r="BI20" s="82">
        <f t="shared" si="58"/>
        <v>0</v>
      </c>
      <c r="BJ20" s="82">
        <f t="shared" si="58"/>
        <v>0</v>
      </c>
      <c r="BK20" s="83">
        <f t="shared" si="58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8.3333333800027665E-2</v>
      </c>
      <c r="CY20" s="94" t="str">
        <f t="shared" si="51"/>
        <v>+</v>
      </c>
      <c r="CZ20" s="95">
        <f t="shared" si="52"/>
        <v>8.3333333800027665E-2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44483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8.3333333800027665E-2</v>
      </c>
      <c r="M21" s="315">
        <f t="shared" si="31"/>
        <v>2.0000000132006641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44483</v>
      </c>
      <c r="AA21" s="160">
        <f t="shared" si="4"/>
        <v>44483</v>
      </c>
      <c r="AB21" s="160">
        <f t="shared" si="5"/>
        <v>10</v>
      </c>
      <c r="AC21" s="81">
        <f t="shared" si="6"/>
        <v>5</v>
      </c>
      <c r="AD21" s="160">
        <f t="shared" si="7"/>
        <v>0</v>
      </c>
      <c r="AF21" s="27" t="s">
        <v>119</v>
      </c>
      <c r="AG21" s="100"/>
      <c r="AH21" s="82">
        <f t="shared" si="56"/>
        <v>0</v>
      </c>
      <c r="AI21" s="82">
        <f t="shared" si="56"/>
        <v>0</v>
      </c>
      <c r="AJ21" s="82">
        <f t="shared" si="56"/>
        <v>0</v>
      </c>
      <c r="AK21" s="82">
        <f t="shared" si="56"/>
        <v>0</v>
      </c>
      <c r="AL21" s="82">
        <f t="shared" si="56"/>
        <v>0</v>
      </c>
      <c r="AM21" s="82">
        <f t="shared" si="56"/>
        <v>0</v>
      </c>
      <c r="AN21" s="82">
        <f t="shared" si="56"/>
        <v>0</v>
      </c>
      <c r="AO21" s="82">
        <f t="shared" si="56"/>
        <v>0</v>
      </c>
      <c r="AP21" s="82">
        <f t="shared" si="56"/>
        <v>0</v>
      </c>
      <c r="AQ21" s="82">
        <f t="shared" si="56"/>
        <v>0</v>
      </c>
      <c r="AR21" s="82">
        <f t="shared" si="57"/>
        <v>0</v>
      </c>
      <c r="AS21" s="82">
        <f t="shared" si="57"/>
        <v>0</v>
      </c>
      <c r="AT21" s="82">
        <f t="shared" si="57"/>
        <v>0</v>
      </c>
      <c r="AU21" s="82">
        <f t="shared" si="57"/>
        <v>0</v>
      </c>
      <c r="AV21" s="82">
        <f t="shared" si="57"/>
        <v>0</v>
      </c>
      <c r="AW21" s="82">
        <f t="shared" si="57"/>
        <v>0</v>
      </c>
      <c r="AX21" s="82">
        <f t="shared" si="57"/>
        <v>0</v>
      </c>
      <c r="AY21" s="82">
        <f t="shared" si="57"/>
        <v>0</v>
      </c>
      <c r="AZ21" s="82">
        <f t="shared" si="57"/>
        <v>0</v>
      </c>
      <c r="BA21" s="82">
        <f t="shared" si="57"/>
        <v>0</v>
      </c>
      <c r="BB21" s="82">
        <f t="shared" si="58"/>
        <v>0</v>
      </c>
      <c r="BC21" s="82">
        <f t="shared" si="58"/>
        <v>0</v>
      </c>
      <c r="BD21" s="82">
        <f t="shared" si="58"/>
        <v>0</v>
      </c>
      <c r="BE21" s="82">
        <f t="shared" si="58"/>
        <v>0</v>
      </c>
      <c r="BF21" s="82">
        <f t="shared" si="58"/>
        <v>0</v>
      </c>
      <c r="BG21" s="82">
        <f t="shared" si="58"/>
        <v>0</v>
      </c>
      <c r="BH21" s="82">
        <f t="shared" si="58"/>
        <v>0</v>
      </c>
      <c r="BI21" s="82">
        <f t="shared" si="58"/>
        <v>0</v>
      </c>
      <c r="BJ21" s="82">
        <f t="shared" si="58"/>
        <v>0</v>
      </c>
      <c r="BK21" s="83">
        <f t="shared" si="58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8.3333333800027665E-2</v>
      </c>
      <c r="CY21" s="94" t="str">
        <f t="shared" si="51"/>
        <v>+</v>
      </c>
      <c r="CZ21" s="95">
        <f t="shared" si="52"/>
        <v>8.3333333800027665E-2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44484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8.3333333800027665E-2</v>
      </c>
      <c r="M22" s="315">
        <f t="shared" si="31"/>
        <v>2.0000000132006641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44484</v>
      </c>
      <c r="AA22" s="160">
        <f t="shared" si="4"/>
        <v>44484</v>
      </c>
      <c r="AB22" s="160">
        <f t="shared" si="5"/>
        <v>10</v>
      </c>
      <c r="AC22" s="81">
        <f t="shared" si="6"/>
        <v>6</v>
      </c>
      <c r="AD22" s="160">
        <f t="shared" si="7"/>
        <v>0</v>
      </c>
      <c r="AF22" s="27" t="s">
        <v>119</v>
      </c>
      <c r="AG22" s="100"/>
      <c r="AH22" s="82">
        <f t="shared" si="56"/>
        <v>0</v>
      </c>
      <c r="AI22" s="82">
        <f t="shared" si="56"/>
        <v>0</v>
      </c>
      <c r="AJ22" s="82">
        <f t="shared" si="56"/>
        <v>0</v>
      </c>
      <c r="AK22" s="82">
        <f t="shared" si="56"/>
        <v>0</v>
      </c>
      <c r="AL22" s="82">
        <f t="shared" si="56"/>
        <v>0</v>
      </c>
      <c r="AM22" s="82">
        <f t="shared" si="56"/>
        <v>0</v>
      </c>
      <c r="AN22" s="82">
        <f t="shared" si="56"/>
        <v>0</v>
      </c>
      <c r="AO22" s="82">
        <f t="shared" si="56"/>
        <v>0</v>
      </c>
      <c r="AP22" s="82">
        <f t="shared" si="56"/>
        <v>0</v>
      </c>
      <c r="AQ22" s="82">
        <f t="shared" si="56"/>
        <v>0</v>
      </c>
      <c r="AR22" s="82">
        <f t="shared" si="57"/>
        <v>0</v>
      </c>
      <c r="AS22" s="82">
        <f t="shared" si="57"/>
        <v>0</v>
      </c>
      <c r="AT22" s="82">
        <f t="shared" si="57"/>
        <v>0</v>
      </c>
      <c r="AU22" s="82">
        <f t="shared" si="57"/>
        <v>0</v>
      </c>
      <c r="AV22" s="82">
        <f t="shared" si="57"/>
        <v>0</v>
      </c>
      <c r="AW22" s="82">
        <f t="shared" si="57"/>
        <v>0</v>
      </c>
      <c r="AX22" s="82">
        <f t="shared" si="57"/>
        <v>0</v>
      </c>
      <c r="AY22" s="82">
        <f t="shared" si="57"/>
        <v>0</v>
      </c>
      <c r="AZ22" s="82">
        <f t="shared" si="57"/>
        <v>0</v>
      </c>
      <c r="BA22" s="82">
        <f t="shared" si="57"/>
        <v>0</v>
      </c>
      <c r="BB22" s="82">
        <f t="shared" si="58"/>
        <v>0</v>
      </c>
      <c r="BC22" s="82">
        <f t="shared" si="58"/>
        <v>0</v>
      </c>
      <c r="BD22" s="82">
        <f t="shared" si="58"/>
        <v>0</v>
      </c>
      <c r="BE22" s="82">
        <f t="shared" si="58"/>
        <v>0</v>
      </c>
      <c r="BF22" s="82">
        <f t="shared" si="58"/>
        <v>0</v>
      </c>
      <c r="BG22" s="82">
        <f t="shared" si="58"/>
        <v>0</v>
      </c>
      <c r="BH22" s="82">
        <f t="shared" si="58"/>
        <v>0</v>
      </c>
      <c r="BI22" s="82">
        <f t="shared" si="58"/>
        <v>0</v>
      </c>
      <c r="BJ22" s="82">
        <f t="shared" si="58"/>
        <v>0</v>
      </c>
      <c r="BK22" s="83">
        <f t="shared" si="58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8.3333333800027665E-2</v>
      </c>
      <c r="CY22" s="94" t="str">
        <f t="shared" si="51"/>
        <v>+</v>
      </c>
      <c r="CZ22" s="95">
        <f t="shared" si="52"/>
        <v>8.3333333800027665E-2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44485</v>
      </c>
      <c r="C23" s="239"/>
      <c r="D23" s="240"/>
      <c r="E23" s="240"/>
      <c r="F23" s="240"/>
      <c r="G23" s="278"/>
      <c r="H23" s="305">
        <f t="shared" si="29"/>
        <v>21</v>
      </c>
      <c r="I23" s="273" t="str">
        <f t="shared" si="30"/>
        <v/>
      </c>
      <c r="J23" s="312">
        <f t="shared" si="2"/>
        <v>0.31666666666666698</v>
      </c>
      <c r="K23" s="313" t="str">
        <f t="shared" si="3"/>
        <v>+</v>
      </c>
      <c r="L23" s="314">
        <f t="shared" si="3"/>
        <v>8.3333333800027998E-2</v>
      </c>
      <c r="M23" s="315">
        <f t="shared" si="31"/>
        <v>2.0000000132006721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44485</v>
      </c>
      <c r="AA23" s="160">
        <f t="shared" si="4"/>
        <v>44485</v>
      </c>
      <c r="AB23" s="160">
        <f t="shared" si="5"/>
        <v>10</v>
      </c>
      <c r="AC23" s="81">
        <f t="shared" si="6"/>
        <v>0</v>
      </c>
      <c r="AD23" s="160">
        <f t="shared" si="7"/>
        <v>0</v>
      </c>
      <c r="AF23" s="27" t="s">
        <v>119</v>
      </c>
      <c r="AG23" s="100"/>
      <c r="AH23" s="82">
        <f t="shared" si="56"/>
        <v>0</v>
      </c>
      <c r="AI23" s="82">
        <f t="shared" si="56"/>
        <v>0</v>
      </c>
      <c r="AJ23" s="82">
        <f t="shared" si="56"/>
        <v>0</v>
      </c>
      <c r="AK23" s="82">
        <f t="shared" si="56"/>
        <v>0</v>
      </c>
      <c r="AL23" s="82">
        <f t="shared" si="56"/>
        <v>0</v>
      </c>
      <c r="AM23" s="82">
        <f t="shared" si="56"/>
        <v>0</v>
      </c>
      <c r="AN23" s="82">
        <f t="shared" si="56"/>
        <v>0</v>
      </c>
      <c r="AO23" s="82">
        <f t="shared" si="56"/>
        <v>0</v>
      </c>
      <c r="AP23" s="82">
        <f t="shared" si="56"/>
        <v>0</v>
      </c>
      <c r="AQ23" s="82">
        <f t="shared" si="56"/>
        <v>0</v>
      </c>
      <c r="AR23" s="82">
        <f t="shared" si="57"/>
        <v>0</v>
      </c>
      <c r="AS23" s="82">
        <f t="shared" si="57"/>
        <v>0</v>
      </c>
      <c r="AT23" s="82">
        <f t="shared" si="57"/>
        <v>0</v>
      </c>
      <c r="AU23" s="82">
        <f t="shared" si="57"/>
        <v>0</v>
      </c>
      <c r="AV23" s="82">
        <f t="shared" si="57"/>
        <v>0</v>
      </c>
      <c r="AW23" s="82">
        <f t="shared" si="57"/>
        <v>0</v>
      </c>
      <c r="AX23" s="82">
        <f t="shared" si="57"/>
        <v>0</v>
      </c>
      <c r="AY23" s="82">
        <f t="shared" si="57"/>
        <v>0</v>
      </c>
      <c r="AZ23" s="82">
        <f t="shared" si="57"/>
        <v>0</v>
      </c>
      <c r="BA23" s="82">
        <f t="shared" si="57"/>
        <v>0</v>
      </c>
      <c r="BB23" s="82">
        <f t="shared" si="58"/>
        <v>0</v>
      </c>
      <c r="BC23" s="82">
        <f t="shared" si="58"/>
        <v>0</v>
      </c>
      <c r="BD23" s="82">
        <f t="shared" si="58"/>
        <v>0</v>
      </c>
      <c r="BE23" s="82">
        <f t="shared" si="58"/>
        <v>0</v>
      </c>
      <c r="BF23" s="82">
        <f t="shared" si="58"/>
        <v>0</v>
      </c>
      <c r="BG23" s="82">
        <f t="shared" si="58"/>
        <v>0</v>
      </c>
      <c r="BH23" s="82">
        <f t="shared" si="58"/>
        <v>0</v>
      </c>
      <c r="BI23" s="82">
        <f t="shared" si="58"/>
        <v>0</v>
      </c>
      <c r="BJ23" s="82">
        <f t="shared" si="58"/>
        <v>0</v>
      </c>
      <c r="BK23" s="83">
        <f t="shared" si="58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>
        <f t="shared" si="18"/>
        <v>0.31666666666666698</v>
      </c>
      <c r="CD23" s="88" t="str">
        <f t="shared" si="19"/>
        <v/>
      </c>
      <c r="CE23" s="89">
        <f t="shared" si="20"/>
        <v>0</v>
      </c>
      <c r="CF23" s="90">
        <f t="shared" si="37"/>
        <v>0.31666666666666698</v>
      </c>
      <c r="CG23" s="91">
        <f t="shared" si="38"/>
        <v>0</v>
      </c>
      <c r="CH23" s="87">
        <f t="shared" si="39"/>
        <v>0</v>
      </c>
      <c r="CI23" s="92">
        <f t="shared" si="40"/>
        <v>0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0.31666666666666698</v>
      </c>
      <c r="CU23" s="92">
        <f t="shared" si="24"/>
        <v>0.31666666666666698</v>
      </c>
      <c r="CV23" s="326">
        <f t="shared" si="49"/>
        <v>0.31666666666666698</v>
      </c>
      <c r="CW23" s="328">
        <f t="shared" si="25"/>
        <v>3.3306690738754696E-16</v>
      </c>
      <c r="CX23" s="330">
        <f t="shared" si="50"/>
        <v>8.3333333800027998E-2</v>
      </c>
      <c r="CY23" s="94" t="str">
        <f t="shared" si="51"/>
        <v>+</v>
      </c>
      <c r="CZ23" s="95">
        <f t="shared" si="52"/>
        <v>8.3333333800027998E-2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44486</v>
      </c>
      <c r="C24" s="239"/>
      <c r="D24" s="240"/>
      <c r="E24" s="240"/>
      <c r="F24" s="240"/>
      <c r="G24" s="278"/>
      <c r="H24" s="305">
        <f t="shared" si="29"/>
        <v>1</v>
      </c>
      <c r="I24" s="273" t="str">
        <f t="shared" si="30"/>
        <v/>
      </c>
      <c r="J24" s="312">
        <f t="shared" si="2"/>
        <v>0.31666666666666698</v>
      </c>
      <c r="K24" s="313" t="str">
        <f t="shared" si="3"/>
        <v>+</v>
      </c>
      <c r="L24" s="314">
        <f t="shared" si="3"/>
        <v>8.3333333800028331E-2</v>
      </c>
      <c r="M24" s="315">
        <f t="shared" si="31"/>
        <v>2.0000000132006801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44486</v>
      </c>
      <c r="AA24" s="160">
        <f t="shared" si="4"/>
        <v>44486</v>
      </c>
      <c r="AB24" s="160">
        <f t="shared" si="5"/>
        <v>10</v>
      </c>
      <c r="AC24" s="81">
        <f t="shared" si="6"/>
        <v>1</v>
      </c>
      <c r="AD24" s="160">
        <f t="shared" si="7"/>
        <v>0</v>
      </c>
      <c r="AF24" s="27" t="s">
        <v>119</v>
      </c>
      <c r="AG24" s="100"/>
      <c r="AH24" s="82">
        <f t="shared" si="56"/>
        <v>0</v>
      </c>
      <c r="AI24" s="82">
        <f t="shared" si="56"/>
        <v>0</v>
      </c>
      <c r="AJ24" s="82">
        <f t="shared" si="56"/>
        <v>0</v>
      </c>
      <c r="AK24" s="82">
        <f t="shared" si="56"/>
        <v>0</v>
      </c>
      <c r="AL24" s="82">
        <f t="shared" si="56"/>
        <v>0</v>
      </c>
      <c r="AM24" s="82">
        <f t="shared" si="56"/>
        <v>0</v>
      </c>
      <c r="AN24" s="82">
        <f t="shared" si="56"/>
        <v>0</v>
      </c>
      <c r="AO24" s="82">
        <f t="shared" si="56"/>
        <v>0</v>
      </c>
      <c r="AP24" s="82">
        <f t="shared" si="56"/>
        <v>0</v>
      </c>
      <c r="AQ24" s="82">
        <f t="shared" si="56"/>
        <v>0</v>
      </c>
      <c r="AR24" s="82">
        <f t="shared" si="57"/>
        <v>0</v>
      </c>
      <c r="AS24" s="82">
        <f t="shared" si="57"/>
        <v>0</v>
      </c>
      <c r="AT24" s="82">
        <f t="shared" si="57"/>
        <v>0</v>
      </c>
      <c r="AU24" s="82">
        <f t="shared" si="57"/>
        <v>0</v>
      </c>
      <c r="AV24" s="82">
        <f t="shared" si="57"/>
        <v>0</v>
      </c>
      <c r="AW24" s="82">
        <f t="shared" si="57"/>
        <v>0</v>
      </c>
      <c r="AX24" s="82">
        <f t="shared" si="57"/>
        <v>0</v>
      </c>
      <c r="AY24" s="82">
        <f t="shared" si="57"/>
        <v>0</v>
      </c>
      <c r="AZ24" s="82">
        <f t="shared" si="57"/>
        <v>0</v>
      </c>
      <c r="BA24" s="82">
        <f t="shared" si="57"/>
        <v>0</v>
      </c>
      <c r="BB24" s="82">
        <f t="shared" si="58"/>
        <v>0</v>
      </c>
      <c r="BC24" s="82">
        <f t="shared" si="58"/>
        <v>0</v>
      </c>
      <c r="BD24" s="82">
        <f t="shared" si="58"/>
        <v>0</v>
      </c>
      <c r="BE24" s="82">
        <f t="shared" si="58"/>
        <v>0</v>
      </c>
      <c r="BF24" s="82">
        <f t="shared" si="58"/>
        <v>0</v>
      </c>
      <c r="BG24" s="82">
        <f t="shared" si="58"/>
        <v>0</v>
      </c>
      <c r="BH24" s="82">
        <f t="shared" si="58"/>
        <v>0</v>
      </c>
      <c r="BI24" s="82">
        <f t="shared" si="58"/>
        <v>0</v>
      </c>
      <c r="BJ24" s="82">
        <f t="shared" si="58"/>
        <v>0</v>
      </c>
      <c r="BK24" s="83">
        <f t="shared" si="58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>
        <f t="shared" si="18"/>
        <v>0.31666666666666698</v>
      </c>
      <c r="CD24" s="88" t="str">
        <f t="shared" si="19"/>
        <v/>
      </c>
      <c r="CE24" s="89">
        <f t="shared" si="20"/>
        <v>0</v>
      </c>
      <c r="CF24" s="90">
        <f t="shared" si="37"/>
        <v>0.31666666666666698</v>
      </c>
      <c r="CG24" s="91">
        <f t="shared" si="38"/>
        <v>0</v>
      </c>
      <c r="CH24" s="87">
        <f t="shared" si="39"/>
        <v>0</v>
      </c>
      <c r="CI24" s="92">
        <f t="shared" si="40"/>
        <v>0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0.31666666666666698</v>
      </c>
      <c r="CU24" s="92">
        <f t="shared" si="24"/>
        <v>0.31666666666666698</v>
      </c>
      <c r="CV24" s="326">
        <f t="shared" si="49"/>
        <v>0.31666666666666698</v>
      </c>
      <c r="CW24" s="328">
        <f t="shared" si="25"/>
        <v>3.3306690738754696E-16</v>
      </c>
      <c r="CX24" s="330">
        <f t="shared" si="50"/>
        <v>8.3333333800028331E-2</v>
      </c>
      <c r="CY24" s="94" t="str">
        <f t="shared" si="51"/>
        <v>+</v>
      </c>
      <c r="CZ24" s="95">
        <f t="shared" si="52"/>
        <v>8.3333333800028331E-2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44487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8.3333333800028331E-2</v>
      </c>
      <c r="M25" s="315">
        <f t="shared" si="31"/>
        <v>2.0000000132006801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44487</v>
      </c>
      <c r="AA25" s="160">
        <f t="shared" si="4"/>
        <v>44487</v>
      </c>
      <c r="AB25" s="160">
        <f t="shared" si="5"/>
        <v>10</v>
      </c>
      <c r="AC25" s="81">
        <f t="shared" si="6"/>
        <v>2</v>
      </c>
      <c r="AD25" s="160">
        <f t="shared" si="7"/>
        <v>0</v>
      </c>
      <c r="AF25" s="27" t="s">
        <v>119</v>
      </c>
      <c r="AG25" s="100"/>
      <c r="AH25" s="82">
        <f t="shared" si="56"/>
        <v>0</v>
      </c>
      <c r="AI25" s="82">
        <f t="shared" si="56"/>
        <v>0</v>
      </c>
      <c r="AJ25" s="82">
        <f t="shared" si="56"/>
        <v>0</v>
      </c>
      <c r="AK25" s="82">
        <f t="shared" si="56"/>
        <v>0</v>
      </c>
      <c r="AL25" s="82">
        <f t="shared" si="56"/>
        <v>0</v>
      </c>
      <c r="AM25" s="82">
        <f t="shared" si="56"/>
        <v>0</v>
      </c>
      <c r="AN25" s="82">
        <f t="shared" si="56"/>
        <v>0</v>
      </c>
      <c r="AO25" s="82">
        <f t="shared" si="56"/>
        <v>0</v>
      </c>
      <c r="AP25" s="82">
        <f t="shared" si="56"/>
        <v>0</v>
      </c>
      <c r="AQ25" s="82">
        <f t="shared" si="56"/>
        <v>0</v>
      </c>
      <c r="AR25" s="82">
        <f t="shared" si="57"/>
        <v>0</v>
      </c>
      <c r="AS25" s="82">
        <f t="shared" si="57"/>
        <v>0</v>
      </c>
      <c r="AT25" s="82">
        <f t="shared" si="57"/>
        <v>0</v>
      </c>
      <c r="AU25" s="82">
        <f t="shared" si="57"/>
        <v>0</v>
      </c>
      <c r="AV25" s="82">
        <f t="shared" si="57"/>
        <v>0</v>
      </c>
      <c r="AW25" s="82">
        <f t="shared" si="57"/>
        <v>0</v>
      </c>
      <c r="AX25" s="82">
        <f t="shared" si="57"/>
        <v>0</v>
      </c>
      <c r="AY25" s="82">
        <f t="shared" si="57"/>
        <v>0</v>
      </c>
      <c r="AZ25" s="82">
        <f t="shared" si="57"/>
        <v>0</v>
      </c>
      <c r="BA25" s="82">
        <f t="shared" si="57"/>
        <v>0</v>
      </c>
      <c r="BB25" s="82">
        <f t="shared" si="58"/>
        <v>0</v>
      </c>
      <c r="BC25" s="82">
        <f t="shared" si="58"/>
        <v>0</v>
      </c>
      <c r="BD25" s="82">
        <f t="shared" si="58"/>
        <v>0</v>
      </c>
      <c r="BE25" s="82">
        <f t="shared" si="58"/>
        <v>0</v>
      </c>
      <c r="BF25" s="82">
        <f t="shared" si="58"/>
        <v>0</v>
      </c>
      <c r="BG25" s="82">
        <f t="shared" si="58"/>
        <v>0</v>
      </c>
      <c r="BH25" s="82">
        <f t="shared" si="58"/>
        <v>0</v>
      </c>
      <c r="BI25" s="82">
        <f t="shared" si="58"/>
        <v>0</v>
      </c>
      <c r="BJ25" s="82">
        <f t="shared" si="58"/>
        <v>0</v>
      </c>
      <c r="BK25" s="83">
        <f t="shared" si="58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8.3333333800028331E-2</v>
      </c>
      <c r="CY25" s="94" t="str">
        <f t="shared" si="51"/>
        <v>+</v>
      </c>
      <c r="CZ25" s="95">
        <f t="shared" si="52"/>
        <v>8.3333333800028331E-2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44488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8.3333333800028331E-2</v>
      </c>
      <c r="M26" s="315">
        <f t="shared" si="31"/>
        <v>2.0000000132006801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44488</v>
      </c>
      <c r="AA26" s="160">
        <f t="shared" si="4"/>
        <v>44488</v>
      </c>
      <c r="AB26" s="160">
        <f t="shared" si="5"/>
        <v>10</v>
      </c>
      <c r="AC26" s="81">
        <f t="shared" si="6"/>
        <v>3</v>
      </c>
      <c r="AD26" s="160">
        <f t="shared" si="7"/>
        <v>0</v>
      </c>
      <c r="AF26" s="27" t="s">
        <v>119</v>
      </c>
      <c r="AG26" s="100"/>
      <c r="AH26" s="82">
        <f t="shared" si="56"/>
        <v>0</v>
      </c>
      <c r="AI26" s="82">
        <f t="shared" si="56"/>
        <v>0</v>
      </c>
      <c r="AJ26" s="82">
        <f t="shared" si="56"/>
        <v>0</v>
      </c>
      <c r="AK26" s="82">
        <f t="shared" si="56"/>
        <v>0</v>
      </c>
      <c r="AL26" s="82">
        <f t="shared" si="56"/>
        <v>0</v>
      </c>
      <c r="AM26" s="82">
        <f t="shared" si="56"/>
        <v>0</v>
      </c>
      <c r="AN26" s="82">
        <f t="shared" si="56"/>
        <v>0</v>
      </c>
      <c r="AO26" s="82">
        <f t="shared" si="56"/>
        <v>0</v>
      </c>
      <c r="AP26" s="82">
        <f t="shared" si="56"/>
        <v>0</v>
      </c>
      <c r="AQ26" s="82">
        <f t="shared" si="56"/>
        <v>0</v>
      </c>
      <c r="AR26" s="82">
        <f t="shared" si="57"/>
        <v>0</v>
      </c>
      <c r="AS26" s="82">
        <f t="shared" si="57"/>
        <v>0</v>
      </c>
      <c r="AT26" s="82">
        <f t="shared" si="57"/>
        <v>0</v>
      </c>
      <c r="AU26" s="82">
        <f t="shared" si="57"/>
        <v>0</v>
      </c>
      <c r="AV26" s="82">
        <f t="shared" si="57"/>
        <v>0</v>
      </c>
      <c r="AW26" s="82">
        <f t="shared" si="57"/>
        <v>0</v>
      </c>
      <c r="AX26" s="82">
        <f t="shared" si="57"/>
        <v>0</v>
      </c>
      <c r="AY26" s="82">
        <f t="shared" si="57"/>
        <v>0</v>
      </c>
      <c r="AZ26" s="82">
        <f t="shared" si="57"/>
        <v>0</v>
      </c>
      <c r="BA26" s="82">
        <f t="shared" si="57"/>
        <v>0</v>
      </c>
      <c r="BB26" s="82">
        <f t="shared" si="58"/>
        <v>0</v>
      </c>
      <c r="BC26" s="82">
        <f t="shared" si="58"/>
        <v>0</v>
      </c>
      <c r="BD26" s="82">
        <f t="shared" si="58"/>
        <v>0</v>
      </c>
      <c r="BE26" s="82">
        <f t="shared" si="58"/>
        <v>0</v>
      </c>
      <c r="BF26" s="82">
        <f t="shared" si="58"/>
        <v>0</v>
      </c>
      <c r="BG26" s="82">
        <f t="shared" si="58"/>
        <v>0</v>
      </c>
      <c r="BH26" s="82">
        <f t="shared" si="58"/>
        <v>0</v>
      </c>
      <c r="BI26" s="82">
        <f t="shared" si="58"/>
        <v>0</v>
      </c>
      <c r="BJ26" s="82">
        <f t="shared" si="58"/>
        <v>0</v>
      </c>
      <c r="BK26" s="83">
        <f t="shared" si="58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8.3333333800028331E-2</v>
      </c>
      <c r="CY26" s="94" t="str">
        <f t="shared" si="51"/>
        <v>+</v>
      </c>
      <c r="CZ26" s="95">
        <f t="shared" si="52"/>
        <v>8.3333333800028331E-2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44489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8.3333333800028331E-2</v>
      </c>
      <c r="M27" s="315">
        <f t="shared" si="31"/>
        <v>2.0000000132006801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44489</v>
      </c>
      <c r="AA27" s="160">
        <f t="shared" si="4"/>
        <v>44489</v>
      </c>
      <c r="AB27" s="160">
        <f t="shared" si="5"/>
        <v>10</v>
      </c>
      <c r="AC27" s="81">
        <f t="shared" si="6"/>
        <v>4</v>
      </c>
      <c r="AD27" s="160">
        <f t="shared" si="7"/>
        <v>0</v>
      </c>
      <c r="AF27" s="27" t="s">
        <v>119</v>
      </c>
      <c r="AG27" s="100"/>
      <c r="AH27" s="82">
        <f t="shared" si="56"/>
        <v>0</v>
      </c>
      <c r="AI27" s="82">
        <f t="shared" si="56"/>
        <v>0</v>
      </c>
      <c r="AJ27" s="82">
        <f t="shared" si="56"/>
        <v>0</v>
      </c>
      <c r="AK27" s="82">
        <f t="shared" si="56"/>
        <v>0</v>
      </c>
      <c r="AL27" s="82">
        <f t="shared" si="56"/>
        <v>0</v>
      </c>
      <c r="AM27" s="82">
        <f t="shared" si="56"/>
        <v>0</v>
      </c>
      <c r="AN27" s="82">
        <f t="shared" si="56"/>
        <v>0</v>
      </c>
      <c r="AO27" s="82">
        <f t="shared" si="56"/>
        <v>0</v>
      </c>
      <c r="AP27" s="82">
        <f t="shared" si="56"/>
        <v>0</v>
      </c>
      <c r="AQ27" s="82">
        <f t="shared" si="56"/>
        <v>0</v>
      </c>
      <c r="AR27" s="82">
        <f t="shared" si="57"/>
        <v>0</v>
      </c>
      <c r="AS27" s="82">
        <f t="shared" si="57"/>
        <v>0</v>
      </c>
      <c r="AT27" s="82">
        <f t="shared" si="57"/>
        <v>0</v>
      </c>
      <c r="AU27" s="82">
        <f t="shared" si="57"/>
        <v>0</v>
      </c>
      <c r="AV27" s="82">
        <f t="shared" si="57"/>
        <v>0</v>
      </c>
      <c r="AW27" s="82">
        <f t="shared" si="57"/>
        <v>0</v>
      </c>
      <c r="AX27" s="82">
        <f t="shared" si="57"/>
        <v>0</v>
      </c>
      <c r="AY27" s="82">
        <f t="shared" si="57"/>
        <v>0</v>
      </c>
      <c r="AZ27" s="82">
        <f t="shared" si="57"/>
        <v>0</v>
      </c>
      <c r="BA27" s="82">
        <f t="shared" si="57"/>
        <v>0</v>
      </c>
      <c r="BB27" s="82">
        <f t="shared" si="58"/>
        <v>0</v>
      </c>
      <c r="BC27" s="82">
        <f t="shared" si="58"/>
        <v>0</v>
      </c>
      <c r="BD27" s="82">
        <f t="shared" si="58"/>
        <v>0</v>
      </c>
      <c r="BE27" s="82">
        <f t="shared" si="58"/>
        <v>0</v>
      </c>
      <c r="BF27" s="82">
        <f t="shared" si="58"/>
        <v>0</v>
      </c>
      <c r="BG27" s="82">
        <f t="shared" si="58"/>
        <v>0</v>
      </c>
      <c r="BH27" s="82">
        <f t="shared" si="58"/>
        <v>0</v>
      </c>
      <c r="BI27" s="82">
        <f t="shared" si="58"/>
        <v>0</v>
      </c>
      <c r="BJ27" s="82">
        <f t="shared" si="58"/>
        <v>0</v>
      </c>
      <c r="BK27" s="83">
        <f t="shared" si="58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8.3333333800028331E-2</v>
      </c>
      <c r="CY27" s="94" t="str">
        <f t="shared" si="51"/>
        <v>+</v>
      </c>
      <c r="CZ27" s="95">
        <f t="shared" si="52"/>
        <v>8.3333333800028331E-2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44490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8.3333333800028331E-2</v>
      </c>
      <c r="M28" s="315">
        <f t="shared" si="31"/>
        <v>2.0000000132006801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44490</v>
      </c>
      <c r="AA28" s="160">
        <f t="shared" si="4"/>
        <v>44490</v>
      </c>
      <c r="AB28" s="160">
        <f t="shared" si="5"/>
        <v>10</v>
      </c>
      <c r="AC28" s="81">
        <f t="shared" si="6"/>
        <v>5</v>
      </c>
      <c r="AD28" s="160">
        <f t="shared" si="7"/>
        <v>0</v>
      </c>
      <c r="AF28" s="27" t="s">
        <v>119</v>
      </c>
      <c r="AG28" s="100"/>
      <c r="AH28" s="82">
        <f t="shared" ref="AH28:AQ38" si="59">IF($N28=AH$7,$DB28,IF($O28=AH$7,$P28,IF($Q28=AH$7,$R28,0)))</f>
        <v>0</v>
      </c>
      <c r="AI28" s="82">
        <f t="shared" si="59"/>
        <v>0</v>
      </c>
      <c r="AJ28" s="82">
        <f t="shared" si="59"/>
        <v>0</v>
      </c>
      <c r="AK28" s="82">
        <f t="shared" si="59"/>
        <v>0</v>
      </c>
      <c r="AL28" s="82">
        <f t="shared" si="59"/>
        <v>0</v>
      </c>
      <c r="AM28" s="82">
        <f t="shared" si="59"/>
        <v>0</v>
      </c>
      <c r="AN28" s="82">
        <f t="shared" si="59"/>
        <v>0</v>
      </c>
      <c r="AO28" s="82">
        <f t="shared" si="59"/>
        <v>0</v>
      </c>
      <c r="AP28" s="82">
        <f t="shared" si="59"/>
        <v>0</v>
      </c>
      <c r="AQ28" s="82">
        <f t="shared" si="59"/>
        <v>0</v>
      </c>
      <c r="AR28" s="82">
        <f t="shared" ref="AR28:BA38" si="60">IF($N28=AR$7,$DB28,IF($O28=AR$7,$P28,IF($Q28=AR$7,$R28,0)))</f>
        <v>0</v>
      </c>
      <c r="AS28" s="82">
        <f t="shared" si="60"/>
        <v>0</v>
      </c>
      <c r="AT28" s="82">
        <f t="shared" si="60"/>
        <v>0</v>
      </c>
      <c r="AU28" s="82">
        <f t="shared" si="60"/>
        <v>0</v>
      </c>
      <c r="AV28" s="82">
        <f t="shared" si="60"/>
        <v>0</v>
      </c>
      <c r="AW28" s="82">
        <f t="shared" si="60"/>
        <v>0</v>
      </c>
      <c r="AX28" s="82">
        <f t="shared" si="60"/>
        <v>0</v>
      </c>
      <c r="AY28" s="82">
        <f t="shared" si="60"/>
        <v>0</v>
      </c>
      <c r="AZ28" s="82">
        <f t="shared" si="60"/>
        <v>0</v>
      </c>
      <c r="BA28" s="82">
        <f t="shared" si="60"/>
        <v>0</v>
      </c>
      <c r="BB28" s="82">
        <f t="shared" ref="BB28:BK38" si="61">IF($N28=BB$7,$DB28,IF($O28=BB$7,$P28,IF($Q28=BB$7,$R28,0)))</f>
        <v>0</v>
      </c>
      <c r="BC28" s="82">
        <f t="shared" si="61"/>
        <v>0</v>
      </c>
      <c r="BD28" s="82">
        <f t="shared" si="61"/>
        <v>0</v>
      </c>
      <c r="BE28" s="82">
        <f t="shared" si="61"/>
        <v>0</v>
      </c>
      <c r="BF28" s="82">
        <f t="shared" si="61"/>
        <v>0</v>
      </c>
      <c r="BG28" s="82">
        <f t="shared" si="61"/>
        <v>0</v>
      </c>
      <c r="BH28" s="82">
        <f t="shared" si="61"/>
        <v>0</v>
      </c>
      <c r="BI28" s="82">
        <f t="shared" si="61"/>
        <v>0</v>
      </c>
      <c r="BJ28" s="82">
        <f t="shared" si="61"/>
        <v>0</v>
      </c>
      <c r="BK28" s="83">
        <f t="shared" si="61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8.3333333800028331E-2</v>
      </c>
      <c r="CY28" s="94" t="str">
        <f t="shared" si="51"/>
        <v>+</v>
      </c>
      <c r="CZ28" s="95">
        <f t="shared" si="52"/>
        <v>8.3333333800028331E-2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44491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8.3333333800028331E-2</v>
      </c>
      <c r="M29" s="315">
        <f t="shared" si="31"/>
        <v>2.0000000132006801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44491</v>
      </c>
      <c r="AA29" s="160">
        <f t="shared" si="4"/>
        <v>44491</v>
      </c>
      <c r="AB29" s="160">
        <f t="shared" si="5"/>
        <v>10</v>
      </c>
      <c r="AC29" s="81">
        <f t="shared" si="6"/>
        <v>6</v>
      </c>
      <c r="AD29" s="160">
        <f t="shared" si="7"/>
        <v>0</v>
      </c>
      <c r="AF29" s="27" t="s">
        <v>119</v>
      </c>
      <c r="AG29" s="100"/>
      <c r="AH29" s="82">
        <f t="shared" si="59"/>
        <v>0</v>
      </c>
      <c r="AI29" s="82">
        <f t="shared" si="59"/>
        <v>0</v>
      </c>
      <c r="AJ29" s="82">
        <f t="shared" si="59"/>
        <v>0</v>
      </c>
      <c r="AK29" s="82">
        <f t="shared" si="59"/>
        <v>0</v>
      </c>
      <c r="AL29" s="82">
        <f t="shared" si="59"/>
        <v>0</v>
      </c>
      <c r="AM29" s="82">
        <f t="shared" si="59"/>
        <v>0</v>
      </c>
      <c r="AN29" s="82">
        <f t="shared" si="59"/>
        <v>0</v>
      </c>
      <c r="AO29" s="82">
        <f t="shared" si="59"/>
        <v>0</v>
      </c>
      <c r="AP29" s="82">
        <f t="shared" si="59"/>
        <v>0</v>
      </c>
      <c r="AQ29" s="82">
        <f t="shared" si="59"/>
        <v>0</v>
      </c>
      <c r="AR29" s="82">
        <f t="shared" si="60"/>
        <v>0</v>
      </c>
      <c r="AS29" s="82">
        <f t="shared" si="60"/>
        <v>0</v>
      </c>
      <c r="AT29" s="82">
        <f t="shared" si="60"/>
        <v>0</v>
      </c>
      <c r="AU29" s="82">
        <f t="shared" si="60"/>
        <v>0</v>
      </c>
      <c r="AV29" s="82">
        <f t="shared" si="60"/>
        <v>0</v>
      </c>
      <c r="AW29" s="82">
        <f t="shared" si="60"/>
        <v>0</v>
      </c>
      <c r="AX29" s="82">
        <f t="shared" si="60"/>
        <v>0</v>
      </c>
      <c r="AY29" s="82">
        <f t="shared" si="60"/>
        <v>0</v>
      </c>
      <c r="AZ29" s="82">
        <f t="shared" si="60"/>
        <v>0</v>
      </c>
      <c r="BA29" s="82">
        <f t="shared" si="60"/>
        <v>0</v>
      </c>
      <c r="BB29" s="82">
        <f t="shared" si="61"/>
        <v>0</v>
      </c>
      <c r="BC29" s="82">
        <f t="shared" si="61"/>
        <v>0</v>
      </c>
      <c r="BD29" s="82">
        <f t="shared" si="61"/>
        <v>0</v>
      </c>
      <c r="BE29" s="82">
        <f t="shared" si="61"/>
        <v>0</v>
      </c>
      <c r="BF29" s="82">
        <f t="shared" si="61"/>
        <v>0</v>
      </c>
      <c r="BG29" s="82">
        <f t="shared" si="61"/>
        <v>0</v>
      </c>
      <c r="BH29" s="82">
        <f t="shared" si="61"/>
        <v>0</v>
      </c>
      <c r="BI29" s="82">
        <f t="shared" si="61"/>
        <v>0</v>
      </c>
      <c r="BJ29" s="82">
        <f t="shared" si="61"/>
        <v>0</v>
      </c>
      <c r="BK29" s="83">
        <f t="shared" si="61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8.3333333800028331E-2</v>
      </c>
      <c r="CY29" s="94" t="str">
        <f t="shared" si="51"/>
        <v>+</v>
      </c>
      <c r="CZ29" s="95">
        <f t="shared" si="52"/>
        <v>8.3333333800028331E-2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44492</v>
      </c>
      <c r="C30" s="239"/>
      <c r="D30" s="240"/>
      <c r="E30" s="240"/>
      <c r="F30" s="240"/>
      <c r="G30" s="278"/>
      <c r="H30" s="305">
        <f t="shared" si="29"/>
        <v>21</v>
      </c>
      <c r="I30" s="273" t="str">
        <f t="shared" si="30"/>
        <v/>
      </c>
      <c r="J30" s="312">
        <f t="shared" si="2"/>
        <v>0.31666666666666698</v>
      </c>
      <c r="K30" s="313" t="str">
        <f t="shared" si="3"/>
        <v>+</v>
      </c>
      <c r="L30" s="314">
        <f t="shared" si="3"/>
        <v>8.3333333800028664E-2</v>
      </c>
      <c r="M30" s="315">
        <f t="shared" si="31"/>
        <v>2.0000000132006881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44492</v>
      </c>
      <c r="AA30" s="160">
        <f t="shared" si="4"/>
        <v>44492</v>
      </c>
      <c r="AB30" s="160">
        <f t="shared" si="5"/>
        <v>10</v>
      </c>
      <c r="AC30" s="81">
        <f t="shared" si="6"/>
        <v>0</v>
      </c>
      <c r="AD30" s="160">
        <f t="shared" si="7"/>
        <v>0</v>
      </c>
      <c r="AF30" s="27" t="s">
        <v>119</v>
      </c>
      <c r="AG30" s="100"/>
      <c r="AH30" s="82">
        <f t="shared" si="59"/>
        <v>0</v>
      </c>
      <c r="AI30" s="82">
        <f t="shared" si="59"/>
        <v>0</v>
      </c>
      <c r="AJ30" s="82">
        <f t="shared" si="59"/>
        <v>0</v>
      </c>
      <c r="AK30" s="82">
        <f t="shared" si="59"/>
        <v>0</v>
      </c>
      <c r="AL30" s="82">
        <f t="shared" si="59"/>
        <v>0</v>
      </c>
      <c r="AM30" s="82">
        <f t="shared" si="59"/>
        <v>0</v>
      </c>
      <c r="AN30" s="82">
        <f t="shared" si="59"/>
        <v>0</v>
      </c>
      <c r="AO30" s="82">
        <f t="shared" si="59"/>
        <v>0</v>
      </c>
      <c r="AP30" s="82">
        <f t="shared" si="59"/>
        <v>0</v>
      </c>
      <c r="AQ30" s="82">
        <f t="shared" si="59"/>
        <v>0</v>
      </c>
      <c r="AR30" s="82">
        <f t="shared" si="60"/>
        <v>0</v>
      </c>
      <c r="AS30" s="82">
        <f t="shared" si="60"/>
        <v>0</v>
      </c>
      <c r="AT30" s="82">
        <f t="shared" si="60"/>
        <v>0</v>
      </c>
      <c r="AU30" s="82">
        <f t="shared" si="60"/>
        <v>0</v>
      </c>
      <c r="AV30" s="82">
        <f t="shared" si="60"/>
        <v>0</v>
      </c>
      <c r="AW30" s="82">
        <f t="shared" si="60"/>
        <v>0</v>
      </c>
      <c r="AX30" s="82">
        <f t="shared" si="60"/>
        <v>0</v>
      </c>
      <c r="AY30" s="82">
        <f t="shared" si="60"/>
        <v>0</v>
      </c>
      <c r="AZ30" s="82">
        <f t="shared" si="60"/>
        <v>0</v>
      </c>
      <c r="BA30" s="82">
        <f t="shared" si="60"/>
        <v>0</v>
      </c>
      <c r="BB30" s="82">
        <f t="shared" si="61"/>
        <v>0</v>
      </c>
      <c r="BC30" s="82">
        <f t="shared" si="61"/>
        <v>0</v>
      </c>
      <c r="BD30" s="82">
        <f t="shared" si="61"/>
        <v>0</v>
      </c>
      <c r="BE30" s="82">
        <f t="shared" si="61"/>
        <v>0</v>
      </c>
      <c r="BF30" s="82">
        <f t="shared" si="61"/>
        <v>0</v>
      </c>
      <c r="BG30" s="82">
        <f t="shared" si="61"/>
        <v>0</v>
      </c>
      <c r="BH30" s="82">
        <f t="shared" si="61"/>
        <v>0</v>
      </c>
      <c r="BI30" s="82">
        <f t="shared" si="61"/>
        <v>0</v>
      </c>
      <c r="BJ30" s="82">
        <f t="shared" si="61"/>
        <v>0</v>
      </c>
      <c r="BK30" s="83">
        <f t="shared" si="61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>
        <f t="shared" si="18"/>
        <v>0.31666666666666698</v>
      </c>
      <c r="CD30" s="88" t="str">
        <f t="shared" si="19"/>
        <v/>
      </c>
      <c r="CE30" s="89">
        <f t="shared" si="20"/>
        <v>0</v>
      </c>
      <c r="CF30" s="90">
        <f t="shared" si="37"/>
        <v>0.31666666666666698</v>
      </c>
      <c r="CG30" s="91">
        <f t="shared" si="38"/>
        <v>0</v>
      </c>
      <c r="CH30" s="87">
        <f t="shared" si="39"/>
        <v>0</v>
      </c>
      <c r="CI30" s="92">
        <f t="shared" si="40"/>
        <v>0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0.31666666666666698</v>
      </c>
      <c r="CU30" s="92">
        <f t="shared" si="24"/>
        <v>0.31666666666666698</v>
      </c>
      <c r="CV30" s="326">
        <f t="shared" si="49"/>
        <v>0.31666666666666698</v>
      </c>
      <c r="CW30" s="328">
        <f t="shared" si="25"/>
        <v>3.3306690738754696E-16</v>
      </c>
      <c r="CX30" s="330">
        <f t="shared" si="50"/>
        <v>8.3333333800028664E-2</v>
      </c>
      <c r="CY30" s="94" t="str">
        <f t="shared" si="51"/>
        <v>+</v>
      </c>
      <c r="CZ30" s="95">
        <f t="shared" si="52"/>
        <v>8.3333333800028664E-2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44493</v>
      </c>
      <c r="C31" s="239"/>
      <c r="D31" s="240"/>
      <c r="E31" s="240"/>
      <c r="F31" s="240"/>
      <c r="G31" s="278"/>
      <c r="H31" s="305">
        <f t="shared" si="29"/>
        <v>1</v>
      </c>
      <c r="I31" s="273" t="str">
        <f t="shared" si="30"/>
        <v/>
      </c>
      <c r="J31" s="312">
        <f t="shared" si="2"/>
        <v>0.31666666666666698</v>
      </c>
      <c r="K31" s="313" t="str">
        <f t="shared" si="3"/>
        <v>+</v>
      </c>
      <c r="L31" s="314">
        <f t="shared" si="3"/>
        <v>8.3333333800028997E-2</v>
      </c>
      <c r="M31" s="315">
        <f t="shared" si="31"/>
        <v>2.0000000132006961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44493</v>
      </c>
      <c r="AA31" s="160">
        <f t="shared" si="4"/>
        <v>44493</v>
      </c>
      <c r="AB31" s="160">
        <f t="shared" si="5"/>
        <v>10</v>
      </c>
      <c r="AC31" s="81">
        <f t="shared" si="6"/>
        <v>1</v>
      </c>
      <c r="AD31" s="160">
        <f t="shared" si="7"/>
        <v>0</v>
      </c>
      <c r="AF31" s="27" t="s">
        <v>119</v>
      </c>
      <c r="AG31" s="100"/>
      <c r="AH31" s="82">
        <f t="shared" si="59"/>
        <v>0</v>
      </c>
      <c r="AI31" s="82">
        <f t="shared" si="59"/>
        <v>0</v>
      </c>
      <c r="AJ31" s="82">
        <f t="shared" si="59"/>
        <v>0</v>
      </c>
      <c r="AK31" s="82">
        <f t="shared" si="59"/>
        <v>0</v>
      </c>
      <c r="AL31" s="82">
        <f t="shared" si="59"/>
        <v>0</v>
      </c>
      <c r="AM31" s="82">
        <f t="shared" si="59"/>
        <v>0</v>
      </c>
      <c r="AN31" s="82">
        <f t="shared" si="59"/>
        <v>0</v>
      </c>
      <c r="AO31" s="82">
        <f t="shared" si="59"/>
        <v>0</v>
      </c>
      <c r="AP31" s="82">
        <f t="shared" si="59"/>
        <v>0</v>
      </c>
      <c r="AQ31" s="82">
        <f t="shared" si="59"/>
        <v>0</v>
      </c>
      <c r="AR31" s="82">
        <f t="shared" si="60"/>
        <v>0</v>
      </c>
      <c r="AS31" s="82">
        <f t="shared" si="60"/>
        <v>0</v>
      </c>
      <c r="AT31" s="82">
        <f t="shared" si="60"/>
        <v>0</v>
      </c>
      <c r="AU31" s="82">
        <f t="shared" si="60"/>
        <v>0</v>
      </c>
      <c r="AV31" s="82">
        <f t="shared" si="60"/>
        <v>0</v>
      </c>
      <c r="AW31" s="82">
        <f t="shared" si="60"/>
        <v>0</v>
      </c>
      <c r="AX31" s="82">
        <f t="shared" si="60"/>
        <v>0</v>
      </c>
      <c r="AY31" s="82">
        <f t="shared" si="60"/>
        <v>0</v>
      </c>
      <c r="AZ31" s="82">
        <f t="shared" si="60"/>
        <v>0</v>
      </c>
      <c r="BA31" s="82">
        <f t="shared" si="60"/>
        <v>0</v>
      </c>
      <c r="BB31" s="82">
        <f t="shared" si="61"/>
        <v>0</v>
      </c>
      <c r="BC31" s="82">
        <f t="shared" si="61"/>
        <v>0</v>
      </c>
      <c r="BD31" s="82">
        <f t="shared" si="61"/>
        <v>0</v>
      </c>
      <c r="BE31" s="82">
        <f t="shared" si="61"/>
        <v>0</v>
      </c>
      <c r="BF31" s="82">
        <f t="shared" si="61"/>
        <v>0</v>
      </c>
      <c r="BG31" s="82">
        <f t="shared" si="61"/>
        <v>0</v>
      </c>
      <c r="BH31" s="82">
        <f t="shared" si="61"/>
        <v>0</v>
      </c>
      <c r="BI31" s="82">
        <f t="shared" si="61"/>
        <v>0</v>
      </c>
      <c r="BJ31" s="82">
        <f t="shared" si="61"/>
        <v>0</v>
      </c>
      <c r="BK31" s="83">
        <f t="shared" si="61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>
        <f t="shared" si="18"/>
        <v>0.31666666666666698</v>
      </c>
      <c r="CD31" s="88" t="str">
        <f t="shared" si="19"/>
        <v/>
      </c>
      <c r="CE31" s="89">
        <f t="shared" si="20"/>
        <v>0</v>
      </c>
      <c r="CF31" s="90">
        <f t="shared" si="37"/>
        <v>0.31666666666666698</v>
      </c>
      <c r="CG31" s="91">
        <f t="shared" si="38"/>
        <v>0</v>
      </c>
      <c r="CH31" s="87">
        <f t="shared" si="39"/>
        <v>0</v>
      </c>
      <c r="CI31" s="92">
        <f t="shared" si="40"/>
        <v>0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0.31666666666666698</v>
      </c>
      <c r="CU31" s="92">
        <f t="shared" si="24"/>
        <v>0.31666666666666698</v>
      </c>
      <c r="CV31" s="326">
        <f t="shared" si="49"/>
        <v>0.31666666666666698</v>
      </c>
      <c r="CW31" s="328">
        <f t="shared" si="25"/>
        <v>3.3306690738754696E-16</v>
      </c>
      <c r="CX31" s="330">
        <f t="shared" si="50"/>
        <v>8.3333333800028997E-2</v>
      </c>
      <c r="CY31" s="94" t="str">
        <f t="shared" si="51"/>
        <v>+</v>
      </c>
      <c r="CZ31" s="95">
        <f t="shared" si="52"/>
        <v>8.3333333800028997E-2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44494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8.3333333800028997E-2</v>
      </c>
      <c r="M32" s="315">
        <f t="shared" si="31"/>
        <v>2.0000000132006961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44494</v>
      </c>
      <c r="AA32" s="160">
        <f t="shared" si="4"/>
        <v>44494</v>
      </c>
      <c r="AB32" s="160">
        <f t="shared" si="5"/>
        <v>10</v>
      </c>
      <c r="AC32" s="81">
        <f t="shared" si="6"/>
        <v>2</v>
      </c>
      <c r="AD32" s="160">
        <f t="shared" si="7"/>
        <v>0</v>
      </c>
      <c r="AF32" s="27" t="s">
        <v>119</v>
      </c>
      <c r="AG32" s="100"/>
      <c r="AH32" s="82">
        <f t="shared" si="59"/>
        <v>0</v>
      </c>
      <c r="AI32" s="82">
        <f t="shared" si="59"/>
        <v>0</v>
      </c>
      <c r="AJ32" s="82">
        <f t="shared" si="59"/>
        <v>0</v>
      </c>
      <c r="AK32" s="82">
        <f t="shared" si="59"/>
        <v>0</v>
      </c>
      <c r="AL32" s="82">
        <f t="shared" si="59"/>
        <v>0</v>
      </c>
      <c r="AM32" s="82">
        <f t="shared" si="59"/>
        <v>0</v>
      </c>
      <c r="AN32" s="82">
        <f t="shared" si="59"/>
        <v>0</v>
      </c>
      <c r="AO32" s="82">
        <f t="shared" si="59"/>
        <v>0</v>
      </c>
      <c r="AP32" s="82">
        <f t="shared" si="59"/>
        <v>0</v>
      </c>
      <c r="AQ32" s="82">
        <f t="shared" si="59"/>
        <v>0</v>
      </c>
      <c r="AR32" s="82">
        <f t="shared" si="60"/>
        <v>0</v>
      </c>
      <c r="AS32" s="82">
        <f t="shared" si="60"/>
        <v>0</v>
      </c>
      <c r="AT32" s="82">
        <f t="shared" si="60"/>
        <v>0</v>
      </c>
      <c r="AU32" s="82">
        <f t="shared" si="60"/>
        <v>0</v>
      </c>
      <c r="AV32" s="82">
        <f t="shared" si="60"/>
        <v>0</v>
      </c>
      <c r="AW32" s="82">
        <f t="shared" si="60"/>
        <v>0</v>
      </c>
      <c r="AX32" s="82">
        <f t="shared" si="60"/>
        <v>0</v>
      </c>
      <c r="AY32" s="82">
        <f t="shared" si="60"/>
        <v>0</v>
      </c>
      <c r="AZ32" s="82">
        <f t="shared" si="60"/>
        <v>0</v>
      </c>
      <c r="BA32" s="82">
        <f t="shared" si="60"/>
        <v>0</v>
      </c>
      <c r="BB32" s="82">
        <f t="shared" si="61"/>
        <v>0</v>
      </c>
      <c r="BC32" s="82">
        <f t="shared" si="61"/>
        <v>0</v>
      </c>
      <c r="BD32" s="82">
        <f t="shared" si="61"/>
        <v>0</v>
      </c>
      <c r="BE32" s="82">
        <f t="shared" si="61"/>
        <v>0</v>
      </c>
      <c r="BF32" s="82">
        <f t="shared" si="61"/>
        <v>0</v>
      </c>
      <c r="BG32" s="82">
        <f t="shared" si="61"/>
        <v>0</v>
      </c>
      <c r="BH32" s="82">
        <f t="shared" si="61"/>
        <v>0</v>
      </c>
      <c r="BI32" s="82">
        <f t="shared" si="61"/>
        <v>0</v>
      </c>
      <c r="BJ32" s="82">
        <f t="shared" si="61"/>
        <v>0</v>
      </c>
      <c r="BK32" s="83">
        <f t="shared" si="61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8.3333333800028997E-2</v>
      </c>
      <c r="CY32" s="94" t="str">
        <f t="shared" si="51"/>
        <v>+</v>
      </c>
      <c r="CZ32" s="95">
        <f t="shared" si="52"/>
        <v>8.3333333800028997E-2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44495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8.3333333800028997E-2</v>
      </c>
      <c r="M33" s="315">
        <f t="shared" si="31"/>
        <v>2.0000000132006961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44495</v>
      </c>
      <c r="AA33" s="160">
        <f t="shared" si="4"/>
        <v>44495</v>
      </c>
      <c r="AB33" s="160">
        <f t="shared" si="5"/>
        <v>10</v>
      </c>
      <c r="AC33" s="81">
        <f t="shared" si="6"/>
        <v>3</v>
      </c>
      <c r="AD33" s="160">
        <f t="shared" si="7"/>
        <v>0</v>
      </c>
      <c r="AF33" s="27" t="s">
        <v>119</v>
      </c>
      <c r="AG33" s="100"/>
      <c r="AH33" s="82">
        <f t="shared" si="59"/>
        <v>0</v>
      </c>
      <c r="AI33" s="82">
        <f t="shared" si="59"/>
        <v>0</v>
      </c>
      <c r="AJ33" s="82">
        <f t="shared" si="59"/>
        <v>0</v>
      </c>
      <c r="AK33" s="82">
        <f t="shared" si="59"/>
        <v>0</v>
      </c>
      <c r="AL33" s="82">
        <f t="shared" si="59"/>
        <v>0</v>
      </c>
      <c r="AM33" s="82">
        <f t="shared" si="59"/>
        <v>0</v>
      </c>
      <c r="AN33" s="82">
        <f t="shared" si="59"/>
        <v>0</v>
      </c>
      <c r="AO33" s="82">
        <f t="shared" si="59"/>
        <v>0</v>
      </c>
      <c r="AP33" s="82">
        <f t="shared" si="59"/>
        <v>0</v>
      </c>
      <c r="AQ33" s="82">
        <f t="shared" si="59"/>
        <v>0</v>
      </c>
      <c r="AR33" s="82">
        <f t="shared" si="60"/>
        <v>0</v>
      </c>
      <c r="AS33" s="82">
        <f t="shared" si="60"/>
        <v>0</v>
      </c>
      <c r="AT33" s="82">
        <f t="shared" si="60"/>
        <v>0</v>
      </c>
      <c r="AU33" s="82">
        <f t="shared" si="60"/>
        <v>0</v>
      </c>
      <c r="AV33" s="82">
        <f t="shared" si="60"/>
        <v>0</v>
      </c>
      <c r="AW33" s="82">
        <f t="shared" si="60"/>
        <v>0</v>
      </c>
      <c r="AX33" s="82">
        <f t="shared" si="60"/>
        <v>0</v>
      </c>
      <c r="AY33" s="82">
        <f t="shared" si="60"/>
        <v>0</v>
      </c>
      <c r="AZ33" s="82">
        <f t="shared" si="60"/>
        <v>0</v>
      </c>
      <c r="BA33" s="82">
        <f t="shared" si="60"/>
        <v>0</v>
      </c>
      <c r="BB33" s="82">
        <f t="shared" si="61"/>
        <v>0</v>
      </c>
      <c r="BC33" s="82">
        <f t="shared" si="61"/>
        <v>0</v>
      </c>
      <c r="BD33" s="82">
        <f t="shared" si="61"/>
        <v>0</v>
      </c>
      <c r="BE33" s="82">
        <f t="shared" si="61"/>
        <v>0</v>
      </c>
      <c r="BF33" s="82">
        <f t="shared" si="61"/>
        <v>0</v>
      </c>
      <c r="BG33" s="82">
        <f t="shared" si="61"/>
        <v>0</v>
      </c>
      <c r="BH33" s="82">
        <f t="shared" si="61"/>
        <v>0</v>
      </c>
      <c r="BI33" s="82">
        <f t="shared" si="61"/>
        <v>0</v>
      </c>
      <c r="BJ33" s="82">
        <f t="shared" si="61"/>
        <v>0</v>
      </c>
      <c r="BK33" s="83">
        <f t="shared" si="61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8.3333333800028997E-2</v>
      </c>
      <c r="CY33" s="94" t="str">
        <f t="shared" si="51"/>
        <v>+</v>
      </c>
      <c r="CZ33" s="95">
        <f t="shared" si="52"/>
        <v>8.3333333800028997E-2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44496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8.3333333800028997E-2</v>
      </c>
      <c r="M34" s="315">
        <f t="shared" si="31"/>
        <v>2.0000000132006961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44496</v>
      </c>
      <c r="AA34" s="160">
        <f t="shared" si="4"/>
        <v>44496</v>
      </c>
      <c r="AB34" s="160">
        <f t="shared" si="5"/>
        <v>10</v>
      </c>
      <c r="AC34" s="81">
        <f t="shared" si="6"/>
        <v>4</v>
      </c>
      <c r="AD34" s="160">
        <f t="shared" si="7"/>
        <v>0</v>
      </c>
      <c r="AF34" s="27" t="s">
        <v>119</v>
      </c>
      <c r="AG34" s="100"/>
      <c r="AH34" s="82">
        <f t="shared" si="59"/>
        <v>0</v>
      </c>
      <c r="AI34" s="82">
        <f t="shared" si="59"/>
        <v>0</v>
      </c>
      <c r="AJ34" s="82">
        <f t="shared" si="59"/>
        <v>0</v>
      </c>
      <c r="AK34" s="82">
        <f t="shared" si="59"/>
        <v>0</v>
      </c>
      <c r="AL34" s="82">
        <f t="shared" si="59"/>
        <v>0</v>
      </c>
      <c r="AM34" s="82">
        <f t="shared" si="59"/>
        <v>0</v>
      </c>
      <c r="AN34" s="82">
        <f t="shared" si="59"/>
        <v>0</v>
      </c>
      <c r="AO34" s="82">
        <f t="shared" si="59"/>
        <v>0</v>
      </c>
      <c r="AP34" s="82">
        <f t="shared" si="59"/>
        <v>0</v>
      </c>
      <c r="AQ34" s="82">
        <f t="shared" si="59"/>
        <v>0</v>
      </c>
      <c r="AR34" s="82">
        <f t="shared" si="60"/>
        <v>0</v>
      </c>
      <c r="AS34" s="82">
        <f t="shared" si="60"/>
        <v>0</v>
      </c>
      <c r="AT34" s="82">
        <f t="shared" si="60"/>
        <v>0</v>
      </c>
      <c r="AU34" s="82">
        <f t="shared" si="60"/>
        <v>0</v>
      </c>
      <c r="AV34" s="82">
        <f t="shared" si="60"/>
        <v>0</v>
      </c>
      <c r="AW34" s="82">
        <f t="shared" si="60"/>
        <v>0</v>
      </c>
      <c r="AX34" s="82">
        <f t="shared" si="60"/>
        <v>0</v>
      </c>
      <c r="AY34" s="82">
        <f t="shared" si="60"/>
        <v>0</v>
      </c>
      <c r="AZ34" s="82">
        <f t="shared" si="60"/>
        <v>0</v>
      </c>
      <c r="BA34" s="82">
        <f t="shared" si="60"/>
        <v>0</v>
      </c>
      <c r="BB34" s="82">
        <f t="shared" si="61"/>
        <v>0</v>
      </c>
      <c r="BC34" s="82">
        <f t="shared" si="61"/>
        <v>0</v>
      </c>
      <c r="BD34" s="82">
        <f t="shared" si="61"/>
        <v>0</v>
      </c>
      <c r="BE34" s="82">
        <f t="shared" si="61"/>
        <v>0</v>
      </c>
      <c r="BF34" s="82">
        <f t="shared" si="61"/>
        <v>0</v>
      </c>
      <c r="BG34" s="82">
        <f t="shared" si="61"/>
        <v>0</v>
      </c>
      <c r="BH34" s="82">
        <f t="shared" si="61"/>
        <v>0</v>
      </c>
      <c r="BI34" s="82">
        <f t="shared" si="61"/>
        <v>0</v>
      </c>
      <c r="BJ34" s="82">
        <f t="shared" si="61"/>
        <v>0</v>
      </c>
      <c r="BK34" s="83">
        <f t="shared" si="61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8.3333333800028997E-2</v>
      </c>
      <c r="CY34" s="94" t="str">
        <f t="shared" si="51"/>
        <v>+</v>
      </c>
      <c r="CZ34" s="95">
        <f t="shared" si="52"/>
        <v>8.3333333800028997E-2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44497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8.3333333800028997E-2</v>
      </c>
      <c r="M35" s="315">
        <f t="shared" si="31"/>
        <v>2.0000000132006961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44497</v>
      </c>
      <c r="AA35" s="160">
        <f t="shared" si="4"/>
        <v>44497</v>
      </c>
      <c r="AB35" s="160">
        <f t="shared" si="5"/>
        <v>10</v>
      </c>
      <c r="AC35" s="81">
        <f t="shared" si="6"/>
        <v>5</v>
      </c>
      <c r="AD35" s="160">
        <f t="shared" si="7"/>
        <v>0</v>
      </c>
      <c r="AF35" s="27" t="s">
        <v>119</v>
      </c>
      <c r="AG35" s="100"/>
      <c r="AH35" s="82">
        <f t="shared" si="59"/>
        <v>0</v>
      </c>
      <c r="AI35" s="82">
        <f t="shared" si="59"/>
        <v>0</v>
      </c>
      <c r="AJ35" s="82">
        <f t="shared" si="59"/>
        <v>0</v>
      </c>
      <c r="AK35" s="82">
        <f t="shared" si="59"/>
        <v>0</v>
      </c>
      <c r="AL35" s="82">
        <f t="shared" si="59"/>
        <v>0</v>
      </c>
      <c r="AM35" s="82">
        <f t="shared" si="59"/>
        <v>0</v>
      </c>
      <c r="AN35" s="82">
        <f t="shared" si="59"/>
        <v>0</v>
      </c>
      <c r="AO35" s="82">
        <f t="shared" si="59"/>
        <v>0</v>
      </c>
      <c r="AP35" s="82">
        <f t="shared" si="59"/>
        <v>0</v>
      </c>
      <c r="AQ35" s="82">
        <f t="shared" si="59"/>
        <v>0</v>
      </c>
      <c r="AR35" s="82">
        <f t="shared" si="60"/>
        <v>0</v>
      </c>
      <c r="AS35" s="82">
        <f t="shared" si="60"/>
        <v>0</v>
      </c>
      <c r="AT35" s="82">
        <f t="shared" si="60"/>
        <v>0</v>
      </c>
      <c r="AU35" s="82">
        <f t="shared" si="60"/>
        <v>0</v>
      </c>
      <c r="AV35" s="82">
        <f t="shared" si="60"/>
        <v>0</v>
      </c>
      <c r="AW35" s="82">
        <f t="shared" si="60"/>
        <v>0</v>
      </c>
      <c r="AX35" s="82">
        <f t="shared" si="60"/>
        <v>0</v>
      </c>
      <c r="AY35" s="82">
        <f t="shared" si="60"/>
        <v>0</v>
      </c>
      <c r="AZ35" s="82">
        <f t="shared" si="60"/>
        <v>0</v>
      </c>
      <c r="BA35" s="82">
        <f t="shared" si="60"/>
        <v>0</v>
      </c>
      <c r="BB35" s="82">
        <f t="shared" si="61"/>
        <v>0</v>
      </c>
      <c r="BC35" s="82">
        <f t="shared" si="61"/>
        <v>0</v>
      </c>
      <c r="BD35" s="82">
        <f t="shared" si="61"/>
        <v>0</v>
      </c>
      <c r="BE35" s="82">
        <f t="shared" si="61"/>
        <v>0</v>
      </c>
      <c r="BF35" s="82">
        <f t="shared" si="61"/>
        <v>0</v>
      </c>
      <c r="BG35" s="82">
        <f t="shared" si="61"/>
        <v>0</v>
      </c>
      <c r="BH35" s="82">
        <f t="shared" si="61"/>
        <v>0</v>
      </c>
      <c r="BI35" s="82">
        <f t="shared" si="61"/>
        <v>0</v>
      </c>
      <c r="BJ35" s="82">
        <f t="shared" si="61"/>
        <v>0</v>
      </c>
      <c r="BK35" s="83">
        <f t="shared" si="61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8.3333333800028997E-2</v>
      </c>
      <c r="CY35" s="94" t="str">
        <f t="shared" si="51"/>
        <v>+</v>
      </c>
      <c r="CZ35" s="95">
        <f t="shared" si="52"/>
        <v>8.3333333800028997E-2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44498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8.3333333800028997E-2</v>
      </c>
      <c r="M36" s="315">
        <f t="shared" si="31"/>
        <v>2.0000000132006961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44498</v>
      </c>
      <c r="AA36" s="160">
        <f>IF(AB36&lt;&gt;$AB$8,"",Z36)</f>
        <v>44498</v>
      </c>
      <c r="AB36" s="160">
        <f t="shared" si="5"/>
        <v>10</v>
      </c>
      <c r="AC36" s="81">
        <f t="shared" si="6"/>
        <v>6</v>
      </c>
      <c r="AD36" s="160">
        <f t="shared" si="7"/>
        <v>0</v>
      </c>
      <c r="AF36" s="27" t="s">
        <v>119</v>
      </c>
      <c r="AG36" s="100"/>
      <c r="AH36" s="82">
        <f t="shared" si="59"/>
        <v>0</v>
      </c>
      <c r="AI36" s="82">
        <f t="shared" si="59"/>
        <v>0</v>
      </c>
      <c r="AJ36" s="82">
        <f t="shared" si="59"/>
        <v>0</v>
      </c>
      <c r="AK36" s="82">
        <f t="shared" si="59"/>
        <v>0</v>
      </c>
      <c r="AL36" s="82">
        <f t="shared" si="59"/>
        <v>0</v>
      </c>
      <c r="AM36" s="82">
        <f t="shared" si="59"/>
        <v>0</v>
      </c>
      <c r="AN36" s="82">
        <f t="shared" si="59"/>
        <v>0</v>
      </c>
      <c r="AO36" s="82">
        <f t="shared" si="59"/>
        <v>0</v>
      </c>
      <c r="AP36" s="82">
        <f t="shared" si="59"/>
        <v>0</v>
      </c>
      <c r="AQ36" s="82">
        <f t="shared" si="59"/>
        <v>0</v>
      </c>
      <c r="AR36" s="82">
        <f t="shared" si="60"/>
        <v>0</v>
      </c>
      <c r="AS36" s="82">
        <f t="shared" si="60"/>
        <v>0</v>
      </c>
      <c r="AT36" s="82">
        <f t="shared" si="60"/>
        <v>0</v>
      </c>
      <c r="AU36" s="82">
        <f t="shared" si="60"/>
        <v>0</v>
      </c>
      <c r="AV36" s="82">
        <f t="shared" si="60"/>
        <v>0</v>
      </c>
      <c r="AW36" s="82">
        <f t="shared" si="60"/>
        <v>0</v>
      </c>
      <c r="AX36" s="82">
        <f t="shared" si="60"/>
        <v>0</v>
      </c>
      <c r="AY36" s="82">
        <f t="shared" si="60"/>
        <v>0</v>
      </c>
      <c r="AZ36" s="82">
        <f t="shared" si="60"/>
        <v>0</v>
      </c>
      <c r="BA36" s="82">
        <f t="shared" si="60"/>
        <v>0</v>
      </c>
      <c r="BB36" s="82">
        <f t="shared" si="61"/>
        <v>0</v>
      </c>
      <c r="BC36" s="82">
        <f t="shared" si="61"/>
        <v>0</v>
      </c>
      <c r="BD36" s="82">
        <f t="shared" si="61"/>
        <v>0</v>
      </c>
      <c r="BE36" s="82">
        <f t="shared" si="61"/>
        <v>0</v>
      </c>
      <c r="BF36" s="82">
        <f t="shared" si="61"/>
        <v>0</v>
      </c>
      <c r="BG36" s="82">
        <f t="shared" si="61"/>
        <v>0</v>
      </c>
      <c r="BH36" s="82">
        <f t="shared" si="61"/>
        <v>0</v>
      </c>
      <c r="BI36" s="82">
        <f t="shared" si="61"/>
        <v>0</v>
      </c>
      <c r="BJ36" s="82">
        <f t="shared" si="61"/>
        <v>0</v>
      </c>
      <c r="BK36" s="83">
        <f t="shared" si="61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8.3333333800028997E-2</v>
      </c>
      <c r="CY36" s="94" t="str">
        <f t="shared" si="51"/>
        <v>+</v>
      </c>
      <c r="CZ36" s="95">
        <f t="shared" si="52"/>
        <v>8.3333333800028997E-2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44499</v>
      </c>
      <c r="C37" s="239"/>
      <c r="D37" s="240"/>
      <c r="E37" s="240"/>
      <c r="F37" s="240"/>
      <c r="G37" s="278"/>
      <c r="H37" s="305">
        <f t="shared" si="29"/>
        <v>21</v>
      </c>
      <c r="I37" s="273" t="str">
        <f t="shared" si="30"/>
        <v/>
      </c>
      <c r="J37" s="312">
        <f t="shared" si="2"/>
        <v>0.31666666666666698</v>
      </c>
      <c r="K37" s="313" t="str">
        <f t="shared" si="3"/>
        <v>+</v>
      </c>
      <c r="L37" s="314">
        <f t="shared" si="3"/>
        <v>8.333333380002933E-2</v>
      </c>
      <c r="M37" s="315">
        <f t="shared" si="31"/>
        <v>2.0000000132007041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44499</v>
      </c>
      <c r="AA37" s="160">
        <f>IF(AB37&lt;&gt;$AB$8,"",Z37)</f>
        <v>44499</v>
      </c>
      <c r="AB37" s="160">
        <f t="shared" si="5"/>
        <v>10</v>
      </c>
      <c r="AC37" s="81">
        <f t="shared" si="6"/>
        <v>0</v>
      </c>
      <c r="AD37" s="160">
        <f t="shared" si="7"/>
        <v>0</v>
      </c>
      <c r="AF37" s="27" t="s">
        <v>119</v>
      </c>
      <c r="AG37" s="100"/>
      <c r="AH37" s="82">
        <f t="shared" si="59"/>
        <v>0</v>
      </c>
      <c r="AI37" s="82">
        <f t="shared" si="59"/>
        <v>0</v>
      </c>
      <c r="AJ37" s="82">
        <f t="shared" si="59"/>
        <v>0</v>
      </c>
      <c r="AK37" s="82">
        <f t="shared" si="59"/>
        <v>0</v>
      </c>
      <c r="AL37" s="82">
        <f t="shared" si="59"/>
        <v>0</v>
      </c>
      <c r="AM37" s="82">
        <f t="shared" si="59"/>
        <v>0</v>
      </c>
      <c r="AN37" s="82">
        <f t="shared" si="59"/>
        <v>0</v>
      </c>
      <c r="AO37" s="82">
        <f t="shared" si="59"/>
        <v>0</v>
      </c>
      <c r="AP37" s="82">
        <f t="shared" si="59"/>
        <v>0</v>
      </c>
      <c r="AQ37" s="82">
        <f t="shared" si="59"/>
        <v>0</v>
      </c>
      <c r="AR37" s="82">
        <f t="shared" si="60"/>
        <v>0</v>
      </c>
      <c r="AS37" s="82">
        <f t="shared" si="60"/>
        <v>0</v>
      </c>
      <c r="AT37" s="82">
        <f t="shared" si="60"/>
        <v>0</v>
      </c>
      <c r="AU37" s="82">
        <f t="shared" si="60"/>
        <v>0</v>
      </c>
      <c r="AV37" s="82">
        <f t="shared" si="60"/>
        <v>0</v>
      </c>
      <c r="AW37" s="82">
        <f t="shared" si="60"/>
        <v>0</v>
      </c>
      <c r="AX37" s="82">
        <f t="shared" si="60"/>
        <v>0</v>
      </c>
      <c r="AY37" s="82">
        <f t="shared" si="60"/>
        <v>0</v>
      </c>
      <c r="AZ37" s="82">
        <f t="shared" si="60"/>
        <v>0</v>
      </c>
      <c r="BA37" s="82">
        <f t="shared" si="60"/>
        <v>0</v>
      </c>
      <c r="BB37" s="82">
        <f t="shared" si="61"/>
        <v>0</v>
      </c>
      <c r="BC37" s="82">
        <f t="shared" si="61"/>
        <v>0</v>
      </c>
      <c r="BD37" s="82">
        <f t="shared" si="61"/>
        <v>0</v>
      </c>
      <c r="BE37" s="82">
        <f t="shared" si="61"/>
        <v>0</v>
      </c>
      <c r="BF37" s="82">
        <f t="shared" si="61"/>
        <v>0</v>
      </c>
      <c r="BG37" s="82">
        <f t="shared" si="61"/>
        <v>0</v>
      </c>
      <c r="BH37" s="82">
        <f t="shared" si="61"/>
        <v>0</v>
      </c>
      <c r="BI37" s="82">
        <f t="shared" si="61"/>
        <v>0</v>
      </c>
      <c r="BJ37" s="82">
        <f t="shared" si="61"/>
        <v>0</v>
      </c>
      <c r="BK37" s="83">
        <f t="shared" si="61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>
        <f t="shared" si="18"/>
        <v>0.31666666666666698</v>
      </c>
      <c r="CD37" s="88" t="str">
        <f t="shared" si="19"/>
        <v/>
      </c>
      <c r="CE37" s="89">
        <f t="shared" si="20"/>
        <v>0</v>
      </c>
      <c r="CF37" s="90">
        <f t="shared" si="37"/>
        <v>0.31666666666666698</v>
      </c>
      <c r="CG37" s="91">
        <f t="shared" si="38"/>
        <v>0</v>
      </c>
      <c r="CH37" s="87">
        <f t="shared" si="39"/>
        <v>0</v>
      </c>
      <c r="CI37" s="92">
        <f t="shared" si="40"/>
        <v>0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0.31666666666666698</v>
      </c>
      <c r="CU37" s="92">
        <f t="shared" si="24"/>
        <v>0.31666666666666698</v>
      </c>
      <c r="CV37" s="326">
        <f t="shared" si="49"/>
        <v>0.31666666666666698</v>
      </c>
      <c r="CW37" s="328">
        <f t="shared" si="25"/>
        <v>3.3306690738754696E-16</v>
      </c>
      <c r="CX37" s="330">
        <f t="shared" si="50"/>
        <v>8.333333380002933E-2</v>
      </c>
      <c r="CY37" s="94" t="str">
        <f t="shared" si="51"/>
        <v>+</v>
      </c>
      <c r="CZ37" s="95">
        <f t="shared" si="52"/>
        <v>8.333333380002933E-2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44500</v>
      </c>
      <c r="C38" s="246"/>
      <c r="D38" s="247"/>
      <c r="E38" s="247"/>
      <c r="F38" s="247"/>
      <c r="G38" s="267"/>
      <c r="H38" s="306">
        <f t="shared" si="29"/>
        <v>1</v>
      </c>
      <c r="I38" s="276" t="str">
        <f t="shared" si="30"/>
        <v/>
      </c>
      <c r="J38" s="316">
        <f t="shared" si="2"/>
        <v>0.31666666666666698</v>
      </c>
      <c r="K38" s="317" t="str">
        <f t="shared" si="3"/>
        <v>+</v>
      </c>
      <c r="L38" s="318">
        <f t="shared" si="3"/>
        <v>8.3333333800029663E-2</v>
      </c>
      <c r="M38" s="319">
        <f t="shared" si="31"/>
        <v>2.0000000132007121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44500</v>
      </c>
      <c r="AA38" s="161">
        <f>IF(AB38&lt;&gt;$AB$8,"",Z38)</f>
        <v>44500</v>
      </c>
      <c r="AB38" s="161">
        <f t="shared" si="5"/>
        <v>10</v>
      </c>
      <c r="AC38" s="106">
        <f t="shared" si="6"/>
        <v>1</v>
      </c>
      <c r="AD38" s="160">
        <f t="shared" si="7"/>
        <v>0</v>
      </c>
      <c r="AF38" s="27" t="s">
        <v>119</v>
      </c>
      <c r="AG38" s="100"/>
      <c r="AH38" s="82">
        <f t="shared" si="59"/>
        <v>0</v>
      </c>
      <c r="AI38" s="82">
        <f t="shared" si="59"/>
        <v>0</v>
      </c>
      <c r="AJ38" s="82">
        <f t="shared" si="59"/>
        <v>0</v>
      </c>
      <c r="AK38" s="82">
        <f t="shared" si="59"/>
        <v>0</v>
      </c>
      <c r="AL38" s="82">
        <f t="shared" si="59"/>
        <v>0</v>
      </c>
      <c r="AM38" s="82">
        <f t="shared" si="59"/>
        <v>0</v>
      </c>
      <c r="AN38" s="82">
        <f t="shared" si="59"/>
        <v>0</v>
      </c>
      <c r="AO38" s="82">
        <f t="shared" si="59"/>
        <v>0</v>
      </c>
      <c r="AP38" s="82">
        <f t="shared" si="59"/>
        <v>0</v>
      </c>
      <c r="AQ38" s="82">
        <f t="shared" si="59"/>
        <v>0</v>
      </c>
      <c r="AR38" s="82">
        <f t="shared" si="60"/>
        <v>0</v>
      </c>
      <c r="AS38" s="82">
        <f t="shared" si="60"/>
        <v>0</v>
      </c>
      <c r="AT38" s="82">
        <f t="shared" si="60"/>
        <v>0</v>
      </c>
      <c r="AU38" s="82">
        <f t="shared" si="60"/>
        <v>0</v>
      </c>
      <c r="AV38" s="82">
        <f t="shared" si="60"/>
        <v>0</v>
      </c>
      <c r="AW38" s="82">
        <f t="shared" si="60"/>
        <v>0</v>
      </c>
      <c r="AX38" s="82">
        <f t="shared" si="60"/>
        <v>0</v>
      </c>
      <c r="AY38" s="82">
        <f t="shared" si="60"/>
        <v>0</v>
      </c>
      <c r="AZ38" s="82">
        <f t="shared" si="60"/>
        <v>0</v>
      </c>
      <c r="BA38" s="82">
        <f t="shared" si="60"/>
        <v>0</v>
      </c>
      <c r="BB38" s="82">
        <f t="shared" si="61"/>
        <v>0</v>
      </c>
      <c r="BC38" s="82">
        <f t="shared" si="61"/>
        <v>0</v>
      </c>
      <c r="BD38" s="82">
        <f t="shared" si="61"/>
        <v>0</v>
      </c>
      <c r="BE38" s="82">
        <f t="shared" si="61"/>
        <v>0</v>
      </c>
      <c r="BF38" s="82">
        <f t="shared" si="61"/>
        <v>0</v>
      </c>
      <c r="BG38" s="82">
        <f t="shared" si="61"/>
        <v>0</v>
      </c>
      <c r="BH38" s="82">
        <f t="shared" si="61"/>
        <v>0</v>
      </c>
      <c r="BI38" s="82">
        <f t="shared" si="61"/>
        <v>0</v>
      </c>
      <c r="BJ38" s="82">
        <f t="shared" si="61"/>
        <v>0</v>
      </c>
      <c r="BK38" s="83">
        <f t="shared" si="61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>
        <f t="shared" si="18"/>
        <v>0.31666666666666698</v>
      </c>
      <c r="CD38" s="88" t="str">
        <f t="shared" si="19"/>
        <v/>
      </c>
      <c r="CE38" s="89">
        <f t="shared" si="20"/>
        <v>0</v>
      </c>
      <c r="CF38" s="110">
        <f t="shared" si="37"/>
        <v>0.31666666666666698</v>
      </c>
      <c r="CG38" s="111">
        <f t="shared" si="38"/>
        <v>0</v>
      </c>
      <c r="CH38" s="112">
        <f t="shared" si="39"/>
        <v>0</v>
      </c>
      <c r="CI38" s="113">
        <f t="shared" si="40"/>
        <v>0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0.31666666666666698</v>
      </c>
      <c r="CU38" s="92">
        <f t="shared" si="24"/>
        <v>0.31666666666666698</v>
      </c>
      <c r="CV38" s="326">
        <f t="shared" si="49"/>
        <v>0.31666666666666698</v>
      </c>
      <c r="CW38" s="328">
        <f t="shared" si="25"/>
        <v>3.3306690738754696E-16</v>
      </c>
      <c r="CX38" s="330">
        <f t="shared" si="50"/>
        <v>8.3333333800029663E-2</v>
      </c>
      <c r="CY38" s="115" t="str">
        <f t="shared" si="51"/>
        <v>+</v>
      </c>
      <c r="CZ38" s="116">
        <f t="shared" si="52"/>
        <v>8.3333333800029663E-2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september!Z38</f>
        <v>44470</v>
      </c>
      <c r="AA39" s="1" t="s">
        <v>160</v>
      </c>
      <c r="AF39" s="27" t="s">
        <v>120</v>
      </c>
      <c r="AG39" s="120">
        <f t="shared" ref="AG39:BJ39" si="62">ROUND((AG40-INT(AG40))*24+(INT(AG40)*24),0)</f>
        <v>0</v>
      </c>
      <c r="AH39" s="120">
        <f t="shared" si="62"/>
        <v>0</v>
      </c>
      <c r="AI39" s="120">
        <f t="shared" si="62"/>
        <v>0</v>
      </c>
      <c r="AJ39" s="120">
        <f t="shared" si="62"/>
        <v>0</v>
      </c>
      <c r="AK39" s="120">
        <f t="shared" si="62"/>
        <v>0</v>
      </c>
      <c r="AL39" s="120">
        <f t="shared" si="62"/>
        <v>0</v>
      </c>
      <c r="AM39" s="120">
        <f t="shared" si="62"/>
        <v>0</v>
      </c>
      <c r="AN39" s="120">
        <f t="shared" si="62"/>
        <v>0</v>
      </c>
      <c r="AO39" s="120">
        <f t="shared" si="62"/>
        <v>0</v>
      </c>
      <c r="AP39" s="120">
        <f t="shared" si="62"/>
        <v>0</v>
      </c>
      <c r="AQ39" s="120">
        <f t="shared" si="62"/>
        <v>0</v>
      </c>
      <c r="AR39" s="120">
        <f t="shared" si="62"/>
        <v>0</v>
      </c>
      <c r="AS39" s="120">
        <f t="shared" si="62"/>
        <v>0</v>
      </c>
      <c r="AT39" s="120">
        <f t="shared" si="62"/>
        <v>0</v>
      </c>
      <c r="AU39" s="120">
        <f t="shared" si="62"/>
        <v>0</v>
      </c>
      <c r="AV39" s="120">
        <f t="shared" si="62"/>
        <v>0</v>
      </c>
      <c r="AW39" s="120">
        <f t="shared" si="62"/>
        <v>0</v>
      </c>
      <c r="AX39" s="120">
        <f t="shared" si="62"/>
        <v>0</v>
      </c>
      <c r="AY39" s="120">
        <f t="shared" si="62"/>
        <v>0</v>
      </c>
      <c r="AZ39" s="120">
        <f t="shared" si="62"/>
        <v>0</v>
      </c>
      <c r="BA39" s="120">
        <f t="shared" si="62"/>
        <v>0</v>
      </c>
      <c r="BB39" s="120">
        <f t="shared" si="62"/>
        <v>0</v>
      </c>
      <c r="BC39" s="120">
        <f t="shared" si="62"/>
        <v>0</v>
      </c>
      <c r="BD39" s="120">
        <f t="shared" si="62"/>
        <v>0</v>
      </c>
      <c r="BE39" s="120">
        <f t="shared" si="62"/>
        <v>0</v>
      </c>
      <c r="BF39" s="120">
        <f t="shared" si="62"/>
        <v>0</v>
      </c>
      <c r="BG39" s="120">
        <f t="shared" si="62"/>
        <v>0</v>
      </c>
      <c r="BH39" s="120">
        <f t="shared" si="62"/>
        <v>0</v>
      </c>
      <c r="BI39" s="120">
        <f t="shared" si="62"/>
        <v>0</v>
      </c>
      <c r="BJ39" s="120">
        <f t="shared" si="62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3">SUM(AH8:AH38)</f>
        <v>0</v>
      </c>
      <c r="AH40" s="127">
        <f t="shared" si="63"/>
        <v>0</v>
      </c>
      <c r="AI40" s="127">
        <f t="shared" si="63"/>
        <v>0</v>
      </c>
      <c r="AJ40" s="127">
        <f t="shared" si="63"/>
        <v>0</v>
      </c>
      <c r="AK40" s="127">
        <f t="shared" si="63"/>
        <v>0</v>
      </c>
      <c r="AL40" s="127">
        <f t="shared" si="63"/>
        <v>0</v>
      </c>
      <c r="AM40" s="127">
        <f t="shared" si="63"/>
        <v>0</v>
      </c>
      <c r="AN40" s="127">
        <f t="shared" si="63"/>
        <v>0</v>
      </c>
      <c r="AO40" s="127">
        <f t="shared" si="63"/>
        <v>0</v>
      </c>
      <c r="AP40" s="127">
        <f t="shared" si="63"/>
        <v>0</v>
      </c>
      <c r="AQ40" s="127">
        <f t="shared" si="63"/>
        <v>0</v>
      </c>
      <c r="AR40" s="127">
        <f t="shared" si="63"/>
        <v>0</v>
      </c>
      <c r="AS40" s="127">
        <f t="shared" si="63"/>
        <v>0</v>
      </c>
      <c r="AT40" s="127">
        <f t="shared" si="63"/>
        <v>0</v>
      </c>
      <c r="AU40" s="127">
        <f t="shared" si="63"/>
        <v>0</v>
      </c>
      <c r="AV40" s="127">
        <f t="shared" si="63"/>
        <v>0</v>
      </c>
      <c r="AW40" s="127">
        <f t="shared" si="63"/>
        <v>0</v>
      </c>
      <c r="AX40" s="127">
        <f t="shared" si="63"/>
        <v>0</v>
      </c>
      <c r="AY40" s="127">
        <f t="shared" si="63"/>
        <v>0</v>
      </c>
      <c r="AZ40" s="127">
        <f t="shared" si="63"/>
        <v>0</v>
      </c>
      <c r="BA40" s="127">
        <f t="shared" si="63"/>
        <v>0</v>
      </c>
      <c r="BB40" s="127">
        <f t="shared" si="63"/>
        <v>0</v>
      </c>
      <c r="BC40" s="127">
        <f t="shared" si="63"/>
        <v>0</v>
      </c>
      <c r="BD40" s="127">
        <f t="shared" si="63"/>
        <v>0</v>
      </c>
      <c r="BE40" s="127">
        <f t="shared" si="63"/>
        <v>0</v>
      </c>
      <c r="BF40" s="127">
        <f t="shared" si="63"/>
        <v>0</v>
      </c>
      <c r="BG40" s="127">
        <f t="shared" si="63"/>
        <v>0</v>
      </c>
      <c r="BH40" s="127">
        <f t="shared" si="63"/>
        <v>0</v>
      </c>
      <c r="BI40" s="127">
        <f t="shared" si="63"/>
        <v>0</v>
      </c>
      <c r="BJ40" s="127">
        <f t="shared" si="63"/>
        <v>0</v>
      </c>
      <c r="BK40" s="22"/>
      <c r="BM40" s="128">
        <f t="shared" ref="BM40:BT40" si="64">SUM(BM8:BM38)</f>
        <v>0</v>
      </c>
      <c r="BN40" s="129">
        <f t="shared" si="64"/>
        <v>0</v>
      </c>
      <c r="BO40" s="128">
        <f t="shared" si="64"/>
        <v>0</v>
      </c>
      <c r="BP40" s="129">
        <f t="shared" si="64"/>
        <v>0</v>
      </c>
      <c r="BQ40" s="128">
        <f t="shared" si="64"/>
        <v>0</v>
      </c>
      <c r="BR40" s="129">
        <f t="shared" si="64"/>
        <v>0</v>
      </c>
      <c r="BS40" s="128">
        <f t="shared" si="64"/>
        <v>0</v>
      </c>
      <c r="BT40" s="129">
        <f t="shared" si="64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N41+januari!N42+februari!N41+maart!N41+april!N41+mei!N41+juni!N41+juli!N41+augustus!N41+september!N41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september!Z40</f>
        <v>1</v>
      </c>
      <c r="AA41" s="21" t="s">
        <v>162</v>
      </c>
      <c r="AF41" s="27" t="s">
        <v>122</v>
      </c>
      <c r="AG41" s="131" t="e">
        <f t="shared" ref="AG41:BJ41" si="65">AG40/$AG$44</f>
        <v>#DIV/0!</v>
      </c>
      <c r="AH41" s="131" t="e">
        <f t="shared" si="65"/>
        <v>#DIV/0!</v>
      </c>
      <c r="AI41" s="131" t="e">
        <f t="shared" si="65"/>
        <v>#DIV/0!</v>
      </c>
      <c r="AJ41" s="131" t="e">
        <f t="shared" si="65"/>
        <v>#DIV/0!</v>
      </c>
      <c r="AK41" s="131" t="e">
        <f t="shared" si="65"/>
        <v>#DIV/0!</v>
      </c>
      <c r="AL41" s="131" t="e">
        <f t="shared" si="65"/>
        <v>#DIV/0!</v>
      </c>
      <c r="AM41" s="131" t="e">
        <f t="shared" si="65"/>
        <v>#DIV/0!</v>
      </c>
      <c r="AN41" s="131" t="e">
        <f t="shared" si="65"/>
        <v>#DIV/0!</v>
      </c>
      <c r="AO41" s="131" t="e">
        <f t="shared" si="65"/>
        <v>#DIV/0!</v>
      </c>
      <c r="AP41" s="131" t="e">
        <f t="shared" si="65"/>
        <v>#DIV/0!</v>
      </c>
      <c r="AQ41" s="131" t="e">
        <f t="shared" si="65"/>
        <v>#DIV/0!</v>
      </c>
      <c r="AR41" s="131" t="e">
        <f t="shared" si="65"/>
        <v>#DIV/0!</v>
      </c>
      <c r="AS41" s="131" t="e">
        <f t="shared" si="65"/>
        <v>#DIV/0!</v>
      </c>
      <c r="AT41" s="131" t="e">
        <f t="shared" si="65"/>
        <v>#DIV/0!</v>
      </c>
      <c r="AU41" s="131" t="e">
        <f t="shared" si="65"/>
        <v>#DIV/0!</v>
      </c>
      <c r="AV41" s="131" t="e">
        <f t="shared" si="65"/>
        <v>#DIV/0!</v>
      </c>
      <c r="AW41" s="131" t="e">
        <f t="shared" si="65"/>
        <v>#DIV/0!</v>
      </c>
      <c r="AX41" s="131" t="e">
        <f t="shared" si="65"/>
        <v>#DIV/0!</v>
      </c>
      <c r="AY41" s="131" t="e">
        <f t="shared" si="65"/>
        <v>#DIV/0!</v>
      </c>
      <c r="AZ41" s="131" t="e">
        <f t="shared" si="65"/>
        <v>#DIV/0!</v>
      </c>
      <c r="BA41" s="131" t="e">
        <f t="shared" si="65"/>
        <v>#DIV/0!</v>
      </c>
      <c r="BB41" s="131" t="e">
        <f t="shared" si="65"/>
        <v>#DIV/0!</v>
      </c>
      <c r="BC41" s="131" t="e">
        <f t="shared" si="65"/>
        <v>#DIV/0!</v>
      </c>
      <c r="BD41" s="131" t="e">
        <f t="shared" si="65"/>
        <v>#DIV/0!</v>
      </c>
      <c r="BE41" s="131" t="e">
        <f t="shared" si="65"/>
        <v>#DIV/0!</v>
      </c>
      <c r="BF41" s="131" t="e">
        <f t="shared" si="65"/>
        <v>#DIV/0!</v>
      </c>
      <c r="BG41" s="131" t="e">
        <f t="shared" si="65"/>
        <v>#DIV/0!</v>
      </c>
      <c r="BH41" s="131" t="e">
        <f t="shared" si="65"/>
        <v>#DIV/0!</v>
      </c>
      <c r="BI41" s="131" t="e">
        <f t="shared" si="65"/>
        <v>#DIV/0!</v>
      </c>
      <c r="BJ41" s="131" t="e">
        <f t="shared" si="65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N42+januari!N43+februari!N42+maart!N42+april!N42+mei!N42+juni!N42+juli!N42+augustus!N42+september!N42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6">INT((AG40/$AG$44)*100)</f>
        <v>#DIV/0!</v>
      </c>
      <c r="AH42" s="127" t="e">
        <f t="shared" si="66"/>
        <v>#DIV/0!</v>
      </c>
      <c r="AI42" s="127" t="e">
        <f t="shared" si="66"/>
        <v>#DIV/0!</v>
      </c>
      <c r="AJ42" s="127" t="e">
        <f t="shared" si="66"/>
        <v>#DIV/0!</v>
      </c>
      <c r="AK42" s="127" t="e">
        <f t="shared" si="66"/>
        <v>#DIV/0!</v>
      </c>
      <c r="AL42" s="127" t="e">
        <f t="shared" si="66"/>
        <v>#DIV/0!</v>
      </c>
      <c r="AM42" s="127" t="e">
        <f t="shared" si="66"/>
        <v>#DIV/0!</v>
      </c>
      <c r="AN42" s="127" t="e">
        <f t="shared" si="66"/>
        <v>#DIV/0!</v>
      </c>
      <c r="AO42" s="127" t="e">
        <f t="shared" si="66"/>
        <v>#DIV/0!</v>
      </c>
      <c r="AP42" s="127" t="e">
        <f t="shared" si="66"/>
        <v>#DIV/0!</v>
      </c>
      <c r="AQ42" s="127" t="e">
        <f t="shared" si="66"/>
        <v>#DIV/0!</v>
      </c>
      <c r="AR42" s="127" t="e">
        <f t="shared" si="66"/>
        <v>#DIV/0!</v>
      </c>
      <c r="AS42" s="127" t="e">
        <f t="shared" si="66"/>
        <v>#DIV/0!</v>
      </c>
      <c r="AT42" s="127" t="e">
        <f t="shared" si="66"/>
        <v>#DIV/0!</v>
      </c>
      <c r="AU42" s="127" t="e">
        <f t="shared" si="66"/>
        <v>#DIV/0!</v>
      </c>
      <c r="AV42" s="127" t="e">
        <f t="shared" si="66"/>
        <v>#DIV/0!</v>
      </c>
      <c r="AW42" s="127" t="e">
        <f t="shared" si="66"/>
        <v>#DIV/0!</v>
      </c>
      <c r="AX42" s="127" t="e">
        <f t="shared" si="66"/>
        <v>#DIV/0!</v>
      </c>
      <c r="AY42" s="127" t="e">
        <f t="shared" si="66"/>
        <v>#DIV/0!</v>
      </c>
      <c r="AZ42" s="127" t="e">
        <f t="shared" si="66"/>
        <v>#DIV/0!</v>
      </c>
      <c r="BA42" s="127" t="e">
        <f t="shared" si="66"/>
        <v>#DIV/0!</v>
      </c>
      <c r="BB42" s="127" t="e">
        <f t="shared" si="66"/>
        <v>#DIV/0!</v>
      </c>
      <c r="BC42" s="127" t="e">
        <f t="shared" si="66"/>
        <v>#DIV/0!</v>
      </c>
      <c r="BD42" s="127" t="e">
        <f t="shared" si="66"/>
        <v>#DIV/0!</v>
      </c>
      <c r="BE42" s="127" t="e">
        <f t="shared" si="66"/>
        <v>#DIV/0!</v>
      </c>
      <c r="BF42" s="127" t="e">
        <f t="shared" si="66"/>
        <v>#DIV/0!</v>
      </c>
      <c r="BG42" s="127" t="e">
        <f t="shared" si="66"/>
        <v>#DIV/0!</v>
      </c>
      <c r="BH42" s="127" t="e">
        <f t="shared" si="66"/>
        <v>#DIV/0!</v>
      </c>
      <c r="BI42" s="127" t="e">
        <f t="shared" si="66"/>
        <v>#DIV/0!</v>
      </c>
      <c r="BJ42" s="127" t="e">
        <f t="shared" si="66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N43+januari!N44+februari!N43+maart!N43+april!N43+mei!N43+juni!N43+juli!N43+augustus!N43+september!N43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7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N44+januari!N45+februari!N44+maart!N44+april!N44+mei!N44+juni!N44+juli!N44+augustus!N44+september!N44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7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7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7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8">AG40*24</f>
        <v>0</v>
      </c>
      <c r="AH47" s="142">
        <f t="shared" si="68"/>
        <v>0</v>
      </c>
      <c r="AI47" s="142">
        <f t="shared" si="68"/>
        <v>0</v>
      </c>
      <c r="AJ47" s="142">
        <f t="shared" si="68"/>
        <v>0</v>
      </c>
      <c r="AK47" s="142">
        <f t="shared" si="68"/>
        <v>0</v>
      </c>
      <c r="AL47" s="142">
        <f t="shared" si="68"/>
        <v>0</v>
      </c>
      <c r="AM47" s="142">
        <f t="shared" si="68"/>
        <v>0</v>
      </c>
      <c r="AN47" s="142">
        <f t="shared" si="68"/>
        <v>0</v>
      </c>
      <c r="AO47" s="142">
        <f t="shared" si="68"/>
        <v>0</v>
      </c>
      <c r="AP47" s="142">
        <f t="shared" si="68"/>
        <v>0</v>
      </c>
      <c r="AQ47" s="142">
        <f t="shared" si="68"/>
        <v>0</v>
      </c>
      <c r="AR47" s="142">
        <f t="shared" si="68"/>
        <v>0</v>
      </c>
      <c r="AS47" s="142">
        <f t="shared" si="68"/>
        <v>0</v>
      </c>
      <c r="AT47" s="142">
        <f t="shared" si="68"/>
        <v>0</v>
      </c>
      <c r="AU47" s="142">
        <f t="shared" si="68"/>
        <v>0</v>
      </c>
      <c r="AV47" s="142">
        <f t="shared" si="68"/>
        <v>0</v>
      </c>
      <c r="AW47" s="142">
        <f t="shared" si="68"/>
        <v>0</v>
      </c>
      <c r="AX47" s="142">
        <f t="shared" si="68"/>
        <v>0</v>
      </c>
      <c r="AY47" s="142">
        <f t="shared" si="68"/>
        <v>0</v>
      </c>
      <c r="AZ47" s="142">
        <f t="shared" si="68"/>
        <v>0</v>
      </c>
      <c r="BA47" s="142">
        <f t="shared" si="68"/>
        <v>0</v>
      </c>
      <c r="BB47" s="142">
        <f t="shared" si="68"/>
        <v>0</v>
      </c>
      <c r="BC47" s="142">
        <f t="shared" si="68"/>
        <v>0</v>
      </c>
      <c r="BD47" s="142">
        <f t="shared" si="68"/>
        <v>0</v>
      </c>
      <c r="BE47" s="142">
        <f t="shared" si="68"/>
        <v>0</v>
      </c>
      <c r="BF47" s="142">
        <f t="shared" si="68"/>
        <v>0</v>
      </c>
      <c r="BG47" s="142">
        <f t="shared" si="68"/>
        <v>0</v>
      </c>
      <c r="BH47" s="142">
        <f t="shared" si="68"/>
        <v>0</v>
      </c>
      <c r="BI47" s="142">
        <f t="shared" si="68"/>
        <v>0</v>
      </c>
      <c r="BJ47" s="142">
        <f t="shared" si="68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7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7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9">AG47/$AG$48</f>
        <v>#DIV/0!</v>
      </c>
      <c r="AH49" s="144" t="e">
        <f t="shared" si="69"/>
        <v>#DIV/0!</v>
      </c>
      <c r="AI49" s="144" t="e">
        <f t="shared" si="69"/>
        <v>#DIV/0!</v>
      </c>
      <c r="AJ49" s="144" t="e">
        <f t="shared" si="69"/>
        <v>#DIV/0!</v>
      </c>
      <c r="AK49" s="144" t="e">
        <f t="shared" si="69"/>
        <v>#DIV/0!</v>
      </c>
      <c r="AL49" s="144" t="e">
        <f t="shared" si="69"/>
        <v>#DIV/0!</v>
      </c>
      <c r="AM49" s="144" t="e">
        <f t="shared" si="69"/>
        <v>#DIV/0!</v>
      </c>
      <c r="AN49" s="144" t="e">
        <f t="shared" si="69"/>
        <v>#DIV/0!</v>
      </c>
      <c r="AO49" s="144" t="e">
        <f t="shared" si="69"/>
        <v>#DIV/0!</v>
      </c>
      <c r="AP49" s="144" t="e">
        <f t="shared" si="69"/>
        <v>#DIV/0!</v>
      </c>
      <c r="AQ49" s="144" t="e">
        <f t="shared" si="69"/>
        <v>#DIV/0!</v>
      </c>
      <c r="AR49" s="144" t="e">
        <f t="shared" si="69"/>
        <v>#DIV/0!</v>
      </c>
      <c r="AS49" s="144" t="e">
        <f t="shared" si="69"/>
        <v>#DIV/0!</v>
      </c>
      <c r="AT49" s="144" t="e">
        <f t="shared" si="69"/>
        <v>#DIV/0!</v>
      </c>
      <c r="AU49" s="144" t="e">
        <f t="shared" si="69"/>
        <v>#DIV/0!</v>
      </c>
      <c r="AV49" s="144" t="e">
        <f t="shared" si="69"/>
        <v>#DIV/0!</v>
      </c>
      <c r="AW49" s="144" t="e">
        <f t="shared" si="69"/>
        <v>#DIV/0!</v>
      </c>
      <c r="AX49" s="144" t="e">
        <f t="shared" si="69"/>
        <v>#DIV/0!</v>
      </c>
      <c r="AY49" s="144" t="e">
        <f t="shared" si="69"/>
        <v>#DIV/0!</v>
      </c>
      <c r="AZ49" s="144" t="e">
        <f t="shared" si="69"/>
        <v>#DIV/0!</v>
      </c>
      <c r="BA49" s="144" t="e">
        <f t="shared" si="69"/>
        <v>#DIV/0!</v>
      </c>
      <c r="BB49" s="144" t="e">
        <f t="shared" si="69"/>
        <v>#DIV/0!</v>
      </c>
      <c r="BC49" s="144" t="e">
        <f t="shared" si="69"/>
        <v>#DIV/0!</v>
      </c>
      <c r="BD49" s="144" t="e">
        <f t="shared" si="69"/>
        <v>#DIV/0!</v>
      </c>
      <c r="BE49" s="144" t="e">
        <f t="shared" si="69"/>
        <v>#DIV/0!</v>
      </c>
      <c r="BF49" s="144" t="e">
        <f t="shared" si="69"/>
        <v>#DIV/0!</v>
      </c>
      <c r="BG49" s="144" t="e">
        <f t="shared" si="69"/>
        <v>#DIV/0!</v>
      </c>
      <c r="BH49" s="144" t="e">
        <f t="shared" si="69"/>
        <v>#DIV/0!</v>
      </c>
      <c r="BI49" s="144" t="e">
        <f t="shared" si="69"/>
        <v>#DIV/0!</v>
      </c>
      <c r="BJ49" s="144" t="e">
        <f t="shared" si="69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7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7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7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70">AG40</f>
        <v>0</v>
      </c>
      <c r="AH52" s="146">
        <f t="shared" si="70"/>
        <v>0</v>
      </c>
      <c r="AI52" s="146">
        <f t="shared" si="70"/>
        <v>0</v>
      </c>
      <c r="AJ52" s="146">
        <f t="shared" si="70"/>
        <v>0</v>
      </c>
      <c r="AK52" s="146">
        <f t="shared" si="70"/>
        <v>0</v>
      </c>
      <c r="AL52" s="146">
        <f t="shared" si="70"/>
        <v>0</v>
      </c>
      <c r="AM52" s="146">
        <f t="shared" si="70"/>
        <v>0</v>
      </c>
      <c r="AN52" s="146">
        <f t="shared" si="70"/>
        <v>0</v>
      </c>
      <c r="AO52" s="146">
        <f t="shared" si="70"/>
        <v>0</v>
      </c>
      <c r="AP52" s="146">
        <f t="shared" si="70"/>
        <v>0</v>
      </c>
      <c r="AQ52" s="146">
        <f t="shared" si="70"/>
        <v>0</v>
      </c>
      <c r="AR52" s="146">
        <f t="shared" si="70"/>
        <v>0</v>
      </c>
      <c r="AS52" s="146">
        <f t="shared" si="70"/>
        <v>0</v>
      </c>
      <c r="AT52" s="146">
        <f t="shared" si="70"/>
        <v>0</v>
      </c>
      <c r="AU52" s="146">
        <f t="shared" si="70"/>
        <v>0</v>
      </c>
      <c r="AV52" s="146">
        <f t="shared" si="70"/>
        <v>0</v>
      </c>
      <c r="AW52" s="146">
        <f t="shared" si="70"/>
        <v>0</v>
      </c>
      <c r="AX52" s="146">
        <f t="shared" si="70"/>
        <v>0</v>
      </c>
      <c r="AY52" s="146">
        <f t="shared" si="70"/>
        <v>0</v>
      </c>
      <c r="AZ52" s="146">
        <f t="shared" si="70"/>
        <v>0</v>
      </c>
      <c r="BA52" s="146">
        <f t="shared" si="70"/>
        <v>0</v>
      </c>
      <c r="BB52" s="146">
        <f t="shared" si="70"/>
        <v>0</v>
      </c>
      <c r="BC52" s="146">
        <f t="shared" si="70"/>
        <v>0</v>
      </c>
      <c r="BD52" s="146">
        <f t="shared" si="70"/>
        <v>0</v>
      </c>
      <c r="BE52" s="146">
        <f t="shared" si="70"/>
        <v>0</v>
      </c>
      <c r="BF52" s="146">
        <f t="shared" si="70"/>
        <v>0</v>
      </c>
      <c r="BG52" s="146">
        <f t="shared" si="70"/>
        <v>0</v>
      </c>
      <c r="BH52" s="146">
        <f t="shared" si="70"/>
        <v>0</v>
      </c>
      <c r="BI52" s="146">
        <f t="shared" si="70"/>
        <v>0</v>
      </c>
      <c r="BJ52" s="146">
        <f t="shared" si="70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7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7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7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7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7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7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7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7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7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7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7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7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7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7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7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7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7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7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26" priority="73" stopIfTrue="1">
      <formula>$S$3&lt;&gt;""</formula>
    </cfRule>
  </conditionalFormatting>
  <conditionalFormatting sqref="M8:M38">
    <cfRule type="expression" dxfId="25" priority="2" stopIfTrue="1">
      <formula>M8&lt;-8</formula>
    </cfRule>
    <cfRule type="expression" dxfId="24" priority="3">
      <formula>M8&lt;0</formula>
    </cfRule>
  </conditionalFormatting>
  <conditionalFormatting sqref="K8:L38">
    <cfRule type="expression" dxfId="23" priority="4" stopIfTrue="1">
      <formula>$CX8&lt;-0.33334</formula>
    </cfRule>
    <cfRule type="expression" dxfId="22" priority="5">
      <formula>$CX8&lt;0</formula>
    </cfRule>
  </conditionalFormatting>
  <conditionalFormatting sqref="A34:R38">
    <cfRule type="expression" dxfId="21" priority="1" stopIfTrue="1">
      <formula>$AB$8&lt;&gt;$AB34</formula>
    </cfRule>
  </conditionalFormatting>
  <conditionalFormatting sqref="N8:R38 A8:I38">
    <cfRule type="expression" dxfId="20" priority="6" stopIfTrue="1">
      <formula>OR($AC8=0,$AC8=1)</formula>
    </cfRule>
    <cfRule type="expression" dxfId="19" priority="7" stopIfTrue="1">
      <formula>COUNTIFS($DG$5:$DG$19,$AA8)&gt;0</formula>
    </cfRule>
    <cfRule type="expression" dxfId="18" priority="8" stopIfTrue="1">
      <formula>VLOOKUP($AC8,$B$42:$D$46,3) = 1</formula>
    </cfRule>
  </conditionalFormatting>
  <dataValidations count="1">
    <dataValidation type="whole" allowBlank="1" showInputMessage="1" showErrorMessage="1" sqref="D42:D46" xr:uid="{952B0A88-24B6-4D78-A7B1-F9FD48D8B3AA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9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44501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oktober!K38</f>
        <v>+</v>
      </c>
      <c r="E3" s="385">
        <f>ABS(oktober!M38)</f>
        <v>2.0000000132007121</v>
      </c>
      <c r="F3" s="386"/>
      <c r="G3" s="228">
        <f>E3/24</f>
        <v>8.3333333883363003E-2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8.3333333883363003E-2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44501</v>
      </c>
      <c r="C8" s="232"/>
      <c r="D8" s="233"/>
      <c r="E8" s="233"/>
      <c r="F8" s="233"/>
      <c r="G8" s="277"/>
      <c r="H8" s="304">
        <f>IF(AC8=0,21,IF(AC8=1,1,IF(AD8=2,2,IF(VLOOKUP($AC8,$B$42:$D$46,3)=1,$E$40,""))))</f>
        <v>2</v>
      </c>
      <c r="I8" s="274" t="str">
        <f>IF(H8="",IF(VLOOKUP($AC8,$B$42:$D$46,3)=2,$E$40,""),"")</f>
        <v/>
      </c>
      <c r="J8" s="308">
        <f t="shared" ref="J8:J38" si="2">CU8</f>
        <v>0.33333333333333331</v>
      </c>
      <c r="K8" s="309" t="str">
        <f t="shared" ref="K8:L38" si="3">CY8</f>
        <v>+</v>
      </c>
      <c r="L8" s="310">
        <f t="shared" si="3"/>
        <v>0.10000000055002967</v>
      </c>
      <c r="M8" s="311">
        <f>800/0.333333333*CX8/100</f>
        <v>2.4000000156007122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44501</v>
      </c>
      <c r="AA8" s="160">
        <f t="shared" ref="AA8:AA35" si="4">Z8</f>
        <v>44501</v>
      </c>
      <c r="AB8" s="160">
        <f t="shared" ref="AB8:AB38" si="5">MONTH(Z8)</f>
        <v>11</v>
      </c>
      <c r="AC8" s="81">
        <f t="shared" ref="AC8:AC38" si="6">MOD(Z8,7)</f>
        <v>2</v>
      </c>
      <c r="AD8" s="160">
        <f t="shared" ref="AD8:AD38" si="7">IF(OR(Z8=DG$5,Z8=DG$6,Z8=DG$7,Z8=DG$8,Z8=DG$9,Z8=DG$10,Z8=DG$11,Z8=DG$12,Z8=DG$13,Z8=DG$14,Z8=DG$15,Z8=DG$16,Z8=DG$17),2,0)</f>
        <v>2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>
        <f t="shared" ref="CC8:CC38" si="18">IF(TRIM(H8)="","",IF(AND(TRIM(C8)="",TRIM(I8)=""),VLOOKUP(H8,$DL$8:$DO$71,3,FALSE),VLOOKUP(H8,$DL$8:$DO$71,4,FALSE)))</f>
        <v>0.33333333333333331</v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0.33333333333333331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0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0.33333333333333331</v>
      </c>
      <c r="CU8" s="92">
        <f t="shared" ref="CU8:CU38" si="24">IF(CF8=0,CS8,MIN(CT8+CS8,0.375))</f>
        <v>0.33333333333333331</v>
      </c>
      <c r="CV8" s="326">
        <f>CU8</f>
        <v>0.33333333333333331</v>
      </c>
      <c r="CW8" s="328">
        <f t="shared" ref="CW8:CW38" si="25">IF(CV8=0,0,CV8-IF(Arbeidsstelsel=4,$BW$17,$BW$18))</f>
        <v>1.6666666666666663E-2</v>
      </c>
      <c r="CX8" s="330">
        <f t="shared" ref="CX8" si="26">IF(OR($CM8=1,$CN8=1,$CO8=1,$CP8=1),$CW$3-IF(Arbeidsstelsel=4,$BX$29,$BX$26),$CW$3+$CW8)</f>
        <v>0.10000000055002967</v>
      </c>
      <c r="CY8" s="94" t="str">
        <f>IF((CX8)&gt;0,"+","-")</f>
        <v>+</v>
      </c>
      <c r="CZ8" s="95">
        <f>ABS(CX8)</f>
        <v>0.10000000055002967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44502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0.10000000055002967</v>
      </c>
      <c r="M9" s="315">
        <f t="shared" ref="M9:M38" si="31">800/0.333333333*CX9/100</f>
        <v>2.4000000156007122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44502</v>
      </c>
      <c r="AA9" s="160">
        <f t="shared" si="4"/>
        <v>44502</v>
      </c>
      <c r="AB9" s="160">
        <f t="shared" si="5"/>
        <v>11</v>
      </c>
      <c r="AC9" s="81">
        <f t="shared" si="6"/>
        <v>3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0.10000000055002967</v>
      </c>
      <c r="CY9" s="94" t="str">
        <f t="shared" ref="CY9:CY38" si="51">IF((CX9)&gt;0,"+","-")</f>
        <v>+</v>
      </c>
      <c r="CZ9" s="95">
        <f t="shared" ref="CZ9:CZ38" si="52">ABS(CX9)</f>
        <v>0.10000000055002967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44503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0.10000000055002967</v>
      </c>
      <c r="M10" s="315">
        <f t="shared" si="31"/>
        <v>2.4000000156007122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44503</v>
      </c>
      <c r="AA10" s="160">
        <f t="shared" si="4"/>
        <v>44503</v>
      </c>
      <c r="AB10" s="160">
        <f t="shared" si="5"/>
        <v>11</v>
      </c>
      <c r="AC10" s="81">
        <f t="shared" si="6"/>
        <v>4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0.10000000055002967</v>
      </c>
      <c r="CY10" s="94" t="str">
        <f t="shared" si="51"/>
        <v>+</v>
      </c>
      <c r="CZ10" s="95">
        <f t="shared" si="52"/>
        <v>0.10000000055002967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44504</v>
      </c>
      <c r="C11" s="239"/>
      <c r="D11" s="240"/>
      <c r="E11" s="240"/>
      <c r="F11" s="240"/>
      <c r="G11" s="278"/>
      <c r="H11" s="305" t="str">
        <f t="shared" si="29"/>
        <v/>
      </c>
      <c r="I11" s="273" t="str">
        <f t="shared" si="30"/>
        <v/>
      </c>
      <c r="J11" s="312">
        <f t="shared" si="2"/>
        <v>0</v>
      </c>
      <c r="K11" s="313" t="str">
        <f t="shared" si="3"/>
        <v>+</v>
      </c>
      <c r="L11" s="314">
        <f t="shared" si="3"/>
        <v>0.10000000055002967</v>
      </c>
      <c r="M11" s="315">
        <f t="shared" si="31"/>
        <v>2.4000000156007122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44504</v>
      </c>
      <c r="AA11" s="160">
        <f t="shared" si="4"/>
        <v>44504</v>
      </c>
      <c r="AB11" s="160">
        <f t="shared" si="5"/>
        <v>11</v>
      </c>
      <c r="AC11" s="81">
        <f t="shared" si="6"/>
        <v>5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 t="str">
        <f t="shared" si="18"/>
        <v/>
      </c>
      <c r="CD11" s="88" t="str">
        <f t="shared" si="19"/>
        <v/>
      </c>
      <c r="CE11" s="89">
        <f t="shared" si="20"/>
        <v>0</v>
      </c>
      <c r="CF11" s="90">
        <f t="shared" si="37"/>
        <v>0</v>
      </c>
      <c r="CG11" s="91">
        <f t="shared" si="38"/>
        <v>0</v>
      </c>
      <c r="CH11" s="87">
        <f t="shared" si="39"/>
        <v>0</v>
      </c>
      <c r="CI11" s="92">
        <f t="shared" si="40"/>
        <v>2.0833333333333332E-2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</v>
      </c>
      <c r="CU11" s="92">
        <f>IF(CF11=0,CS11,MIN(CT11+CS11,0.375))</f>
        <v>0</v>
      </c>
      <c r="CV11" s="326">
        <f t="shared" si="49"/>
        <v>0</v>
      </c>
      <c r="CW11" s="328">
        <f t="shared" si="25"/>
        <v>0</v>
      </c>
      <c r="CX11" s="330">
        <f t="shared" si="50"/>
        <v>0.10000000055002967</v>
      </c>
      <c r="CY11" s="94" t="str">
        <f t="shared" si="51"/>
        <v>+</v>
      </c>
      <c r="CZ11" s="95">
        <f t="shared" si="52"/>
        <v>0.10000000055002967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44505</v>
      </c>
      <c r="C12" s="239"/>
      <c r="D12" s="240"/>
      <c r="E12" s="240"/>
      <c r="F12" s="240"/>
      <c r="G12" s="278"/>
      <c r="H12" s="305" t="str">
        <f t="shared" si="29"/>
        <v/>
      </c>
      <c r="I12" s="273" t="str">
        <f t="shared" si="30"/>
        <v/>
      </c>
      <c r="J12" s="312">
        <f t="shared" si="2"/>
        <v>0</v>
      </c>
      <c r="K12" s="313" t="str">
        <f t="shared" si="3"/>
        <v>+</v>
      </c>
      <c r="L12" s="314">
        <f t="shared" si="3"/>
        <v>0.10000000055002967</v>
      </c>
      <c r="M12" s="315">
        <f t="shared" si="31"/>
        <v>2.4000000156007122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44505</v>
      </c>
      <c r="AA12" s="160">
        <f t="shared" si="4"/>
        <v>44505</v>
      </c>
      <c r="AB12" s="160">
        <f t="shared" si="5"/>
        <v>11</v>
      </c>
      <c r="AC12" s="81">
        <f t="shared" si="6"/>
        <v>6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 t="str">
        <f t="shared" si="18"/>
        <v/>
      </c>
      <c r="CD12" s="88" t="str">
        <f t="shared" si="19"/>
        <v/>
      </c>
      <c r="CE12" s="89">
        <f t="shared" si="20"/>
        <v>0</v>
      </c>
      <c r="CF12" s="90">
        <f t="shared" si="37"/>
        <v>0</v>
      </c>
      <c r="CG12" s="91">
        <f t="shared" si="38"/>
        <v>0</v>
      </c>
      <c r="CH12" s="87">
        <f t="shared" si="39"/>
        <v>0</v>
      </c>
      <c r="CI12" s="92">
        <f t="shared" si="40"/>
        <v>2.0833333333333332E-2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</v>
      </c>
      <c r="CU12" s="92">
        <f t="shared" si="24"/>
        <v>0</v>
      </c>
      <c r="CV12" s="326">
        <f t="shared" si="49"/>
        <v>0</v>
      </c>
      <c r="CW12" s="328">
        <f t="shared" si="25"/>
        <v>0</v>
      </c>
      <c r="CX12" s="330">
        <f t="shared" si="50"/>
        <v>0.10000000055002967</v>
      </c>
      <c r="CY12" s="94" t="str">
        <f t="shared" si="51"/>
        <v>+</v>
      </c>
      <c r="CZ12" s="95">
        <f t="shared" si="52"/>
        <v>0.10000000055002967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44506</v>
      </c>
      <c r="C13" s="239"/>
      <c r="D13" s="240"/>
      <c r="E13" s="240"/>
      <c r="F13" s="240"/>
      <c r="G13" s="278"/>
      <c r="H13" s="305">
        <f t="shared" si="29"/>
        <v>21</v>
      </c>
      <c r="I13" s="273" t="str">
        <f t="shared" si="30"/>
        <v/>
      </c>
      <c r="J13" s="312">
        <f t="shared" si="2"/>
        <v>0.31666666666666698</v>
      </c>
      <c r="K13" s="313" t="str">
        <f t="shared" si="3"/>
        <v>+</v>
      </c>
      <c r="L13" s="314">
        <f t="shared" si="3"/>
        <v>0.10000000055003</v>
      </c>
      <c r="M13" s="315">
        <f t="shared" si="31"/>
        <v>2.4000000156007202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44506</v>
      </c>
      <c r="AA13" s="160">
        <f t="shared" si="4"/>
        <v>44506</v>
      </c>
      <c r="AB13" s="160">
        <f t="shared" si="5"/>
        <v>11</v>
      </c>
      <c r="AC13" s="81">
        <f t="shared" si="6"/>
        <v>0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>
        <f t="shared" si="18"/>
        <v>0.31666666666666698</v>
      </c>
      <c r="CD13" s="88" t="str">
        <f t="shared" si="19"/>
        <v/>
      </c>
      <c r="CE13" s="89">
        <f t="shared" si="20"/>
        <v>0</v>
      </c>
      <c r="CF13" s="90">
        <f t="shared" si="37"/>
        <v>0.31666666666666698</v>
      </c>
      <c r="CG13" s="91">
        <f t="shared" si="38"/>
        <v>0</v>
      </c>
      <c r="CH13" s="87">
        <f t="shared" si="39"/>
        <v>0</v>
      </c>
      <c r="CI13" s="92">
        <f t="shared" si="40"/>
        <v>0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0.31666666666666698</v>
      </c>
      <c r="CU13" s="92">
        <f t="shared" si="24"/>
        <v>0.31666666666666698</v>
      </c>
      <c r="CV13" s="326">
        <f t="shared" si="49"/>
        <v>0.31666666666666698</v>
      </c>
      <c r="CW13" s="328">
        <f t="shared" si="25"/>
        <v>3.3306690738754696E-16</v>
      </c>
      <c r="CX13" s="330">
        <f t="shared" si="50"/>
        <v>0.10000000055003</v>
      </c>
      <c r="CY13" s="94" t="str">
        <f t="shared" si="51"/>
        <v>+</v>
      </c>
      <c r="CZ13" s="95">
        <f t="shared" si="52"/>
        <v>0.10000000055003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44507</v>
      </c>
      <c r="C14" s="239"/>
      <c r="D14" s="240"/>
      <c r="E14" s="240"/>
      <c r="F14" s="240"/>
      <c r="G14" s="278"/>
      <c r="H14" s="305">
        <f t="shared" si="29"/>
        <v>1</v>
      </c>
      <c r="I14" s="273" t="str">
        <f t="shared" si="30"/>
        <v/>
      </c>
      <c r="J14" s="312">
        <f t="shared" si="2"/>
        <v>0.31666666666666698</v>
      </c>
      <c r="K14" s="313" t="str">
        <f t="shared" si="3"/>
        <v>+</v>
      </c>
      <c r="L14" s="314">
        <f t="shared" si="3"/>
        <v>0.10000000055003033</v>
      </c>
      <c r="M14" s="315">
        <f t="shared" si="31"/>
        <v>2.4000000156007282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44507</v>
      </c>
      <c r="AA14" s="160">
        <f t="shared" si="4"/>
        <v>44507</v>
      </c>
      <c r="AB14" s="160">
        <f t="shared" si="5"/>
        <v>11</v>
      </c>
      <c r="AC14" s="81">
        <f t="shared" si="6"/>
        <v>1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>
        <f t="shared" si="18"/>
        <v>0.31666666666666698</v>
      </c>
      <c r="CD14" s="88" t="str">
        <f t="shared" si="19"/>
        <v/>
      </c>
      <c r="CE14" s="89">
        <f t="shared" si="20"/>
        <v>0</v>
      </c>
      <c r="CF14" s="90">
        <f t="shared" si="37"/>
        <v>0.31666666666666698</v>
      </c>
      <c r="CG14" s="91">
        <f t="shared" si="38"/>
        <v>0</v>
      </c>
      <c r="CH14" s="87">
        <f t="shared" si="39"/>
        <v>0</v>
      </c>
      <c r="CI14" s="92">
        <f t="shared" si="40"/>
        <v>0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0.31666666666666698</v>
      </c>
      <c r="CU14" s="92">
        <f t="shared" si="24"/>
        <v>0.31666666666666698</v>
      </c>
      <c r="CV14" s="326">
        <f t="shared" si="49"/>
        <v>0.31666666666666698</v>
      </c>
      <c r="CW14" s="328">
        <f t="shared" si="25"/>
        <v>3.3306690738754696E-16</v>
      </c>
      <c r="CX14" s="330">
        <f t="shared" si="50"/>
        <v>0.10000000055003033</v>
      </c>
      <c r="CY14" s="94" t="str">
        <f t="shared" si="51"/>
        <v>+</v>
      </c>
      <c r="CZ14" s="95">
        <f t="shared" si="52"/>
        <v>0.10000000055003033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44508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0.10000000055003033</v>
      </c>
      <c r="M15" s="315">
        <f t="shared" si="31"/>
        <v>2.4000000156007282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44508</v>
      </c>
      <c r="AA15" s="160">
        <f t="shared" si="4"/>
        <v>44508</v>
      </c>
      <c r="AB15" s="160">
        <f t="shared" si="5"/>
        <v>11</v>
      </c>
      <c r="AC15" s="81">
        <f t="shared" si="6"/>
        <v>2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0.10000000055003033</v>
      </c>
      <c r="CY15" s="94" t="str">
        <f t="shared" si="51"/>
        <v>+</v>
      </c>
      <c r="CZ15" s="95">
        <f t="shared" si="52"/>
        <v>0.10000000055003033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44509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0.10000000055003033</v>
      </c>
      <c r="M16" s="315">
        <f t="shared" si="31"/>
        <v>2.4000000156007282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44509</v>
      </c>
      <c r="AA16" s="160">
        <f t="shared" si="4"/>
        <v>44509</v>
      </c>
      <c r="AB16" s="160">
        <f t="shared" si="5"/>
        <v>11</v>
      </c>
      <c r="AC16" s="81">
        <f t="shared" si="6"/>
        <v>3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0.10000000055003033</v>
      </c>
      <c r="CY16" s="94" t="str">
        <f t="shared" si="51"/>
        <v>+</v>
      </c>
      <c r="CZ16" s="95">
        <f t="shared" si="52"/>
        <v>0.10000000055003033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44510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0.10000000055003033</v>
      </c>
      <c r="M17" s="315">
        <f t="shared" si="31"/>
        <v>2.4000000156007282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44510</v>
      </c>
      <c r="AA17" s="160">
        <f t="shared" si="4"/>
        <v>44510</v>
      </c>
      <c r="AB17" s="160">
        <f t="shared" si="5"/>
        <v>11</v>
      </c>
      <c r="AC17" s="81">
        <f t="shared" si="6"/>
        <v>4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0.10000000055003033</v>
      </c>
      <c r="CY17" s="94" t="str">
        <f t="shared" si="51"/>
        <v>+</v>
      </c>
      <c r="CZ17" s="95">
        <f t="shared" si="52"/>
        <v>0.10000000055003033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44511</v>
      </c>
      <c r="C18" s="239"/>
      <c r="D18" s="240"/>
      <c r="E18" s="240"/>
      <c r="F18" s="240"/>
      <c r="G18" s="278"/>
      <c r="H18" s="305">
        <f t="shared" si="29"/>
        <v>2</v>
      </c>
      <c r="I18" s="273" t="str">
        <f t="shared" si="30"/>
        <v/>
      </c>
      <c r="J18" s="312">
        <f t="shared" si="2"/>
        <v>0.33333333333333331</v>
      </c>
      <c r="K18" s="313" t="str">
        <f t="shared" si="3"/>
        <v>+</v>
      </c>
      <c r="L18" s="314">
        <f t="shared" si="3"/>
        <v>0.116666667216697</v>
      </c>
      <c r="M18" s="315">
        <f t="shared" si="31"/>
        <v>2.8000000160007277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44511</v>
      </c>
      <c r="AA18" s="160">
        <f t="shared" si="4"/>
        <v>44511</v>
      </c>
      <c r="AB18" s="160">
        <f t="shared" si="5"/>
        <v>11</v>
      </c>
      <c r="AC18" s="81">
        <f t="shared" si="6"/>
        <v>5</v>
      </c>
      <c r="AD18" s="160">
        <f t="shared" si="7"/>
        <v>2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0.33333333333333331</v>
      </c>
      <c r="CD18" s="88" t="str">
        <f t="shared" si="19"/>
        <v/>
      </c>
      <c r="CE18" s="89">
        <f t="shared" si="20"/>
        <v>0</v>
      </c>
      <c r="CF18" s="90">
        <f t="shared" si="37"/>
        <v>0.33333333333333331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0.33333333333333331</v>
      </c>
      <c r="CU18" s="92">
        <f t="shared" si="24"/>
        <v>0.33333333333333331</v>
      </c>
      <c r="CV18" s="326">
        <f t="shared" si="49"/>
        <v>0.33333333333333331</v>
      </c>
      <c r="CW18" s="328">
        <f t="shared" si="25"/>
        <v>1.6666666666666663E-2</v>
      </c>
      <c r="CX18" s="330">
        <f t="shared" si="50"/>
        <v>0.116666667216697</v>
      </c>
      <c r="CY18" s="94" t="str">
        <f t="shared" si="51"/>
        <v>+</v>
      </c>
      <c r="CZ18" s="95">
        <f t="shared" si="52"/>
        <v>0.116666667216697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44512</v>
      </c>
      <c r="C19" s="239"/>
      <c r="D19" s="240"/>
      <c r="E19" s="240"/>
      <c r="F19" s="240"/>
      <c r="G19" s="278"/>
      <c r="H19" s="305" t="str">
        <f t="shared" si="29"/>
        <v/>
      </c>
      <c r="I19" s="273" t="str">
        <f t="shared" si="30"/>
        <v/>
      </c>
      <c r="J19" s="312">
        <f t="shared" si="2"/>
        <v>0</v>
      </c>
      <c r="K19" s="313" t="str">
        <f t="shared" si="3"/>
        <v>+</v>
      </c>
      <c r="L19" s="314">
        <f t="shared" si="3"/>
        <v>0.116666667216697</v>
      </c>
      <c r="M19" s="315">
        <f t="shared" si="31"/>
        <v>2.8000000160007277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44512</v>
      </c>
      <c r="AA19" s="160">
        <f t="shared" si="4"/>
        <v>44512</v>
      </c>
      <c r="AB19" s="160">
        <f t="shared" si="5"/>
        <v>11</v>
      </c>
      <c r="AC19" s="81">
        <f t="shared" si="6"/>
        <v>6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 t="str">
        <f t="shared" si="18"/>
        <v/>
      </c>
      <c r="CD19" s="88" t="str">
        <f t="shared" si="19"/>
        <v/>
      </c>
      <c r="CE19" s="89">
        <f t="shared" si="20"/>
        <v>0</v>
      </c>
      <c r="CF19" s="90">
        <f t="shared" si="37"/>
        <v>0</v>
      </c>
      <c r="CG19" s="91">
        <f t="shared" si="38"/>
        <v>0</v>
      </c>
      <c r="CH19" s="87">
        <f t="shared" si="39"/>
        <v>0</v>
      </c>
      <c r="CI19" s="92">
        <f t="shared" si="40"/>
        <v>2.0833333333333332E-2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</v>
      </c>
      <c r="CU19" s="92">
        <f t="shared" si="24"/>
        <v>0</v>
      </c>
      <c r="CV19" s="326">
        <f t="shared" si="49"/>
        <v>0</v>
      </c>
      <c r="CW19" s="328">
        <f t="shared" si="25"/>
        <v>0</v>
      </c>
      <c r="CX19" s="330">
        <f t="shared" si="50"/>
        <v>0.116666667216697</v>
      </c>
      <c r="CY19" s="94" t="str">
        <f t="shared" si="51"/>
        <v>+</v>
      </c>
      <c r="CZ19" s="95">
        <f t="shared" si="52"/>
        <v>0.116666667216697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44513</v>
      </c>
      <c r="C20" s="239"/>
      <c r="D20" s="240"/>
      <c r="E20" s="240"/>
      <c r="F20" s="240"/>
      <c r="G20" s="278"/>
      <c r="H20" s="305">
        <f t="shared" si="29"/>
        <v>21</v>
      </c>
      <c r="I20" s="273" t="str">
        <f t="shared" si="30"/>
        <v/>
      </c>
      <c r="J20" s="312">
        <f t="shared" si="2"/>
        <v>0.31666666666666698</v>
      </c>
      <c r="K20" s="313" t="str">
        <f t="shared" si="3"/>
        <v>+</v>
      </c>
      <c r="L20" s="314">
        <f t="shared" si="3"/>
        <v>0.11666666721669733</v>
      </c>
      <c r="M20" s="315">
        <f t="shared" si="31"/>
        <v>2.8000000160007357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44513</v>
      </c>
      <c r="AA20" s="160">
        <f t="shared" si="4"/>
        <v>44513</v>
      </c>
      <c r="AB20" s="160">
        <f t="shared" si="5"/>
        <v>11</v>
      </c>
      <c r="AC20" s="81">
        <f t="shared" si="6"/>
        <v>0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>
        <f t="shared" si="18"/>
        <v>0.31666666666666698</v>
      </c>
      <c r="CD20" s="88" t="str">
        <f t="shared" si="19"/>
        <v/>
      </c>
      <c r="CE20" s="89">
        <f t="shared" si="20"/>
        <v>0</v>
      </c>
      <c r="CF20" s="90">
        <f t="shared" si="37"/>
        <v>0.31666666666666698</v>
      </c>
      <c r="CG20" s="91">
        <f t="shared" si="38"/>
        <v>0</v>
      </c>
      <c r="CH20" s="87">
        <f t="shared" si="39"/>
        <v>0</v>
      </c>
      <c r="CI20" s="92">
        <f t="shared" si="40"/>
        <v>0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0.31666666666666698</v>
      </c>
      <c r="CU20" s="92">
        <f t="shared" si="24"/>
        <v>0.31666666666666698</v>
      </c>
      <c r="CV20" s="326">
        <f t="shared" si="49"/>
        <v>0.31666666666666698</v>
      </c>
      <c r="CW20" s="328">
        <f t="shared" si="25"/>
        <v>3.3306690738754696E-16</v>
      </c>
      <c r="CX20" s="330">
        <f t="shared" si="50"/>
        <v>0.11666666721669733</v>
      </c>
      <c r="CY20" s="94" t="str">
        <f t="shared" si="51"/>
        <v>+</v>
      </c>
      <c r="CZ20" s="95">
        <f t="shared" si="52"/>
        <v>0.11666666721669733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44514</v>
      </c>
      <c r="C21" s="239"/>
      <c r="D21" s="240"/>
      <c r="E21" s="240"/>
      <c r="F21" s="240"/>
      <c r="G21" s="278"/>
      <c r="H21" s="305">
        <f t="shared" si="29"/>
        <v>1</v>
      </c>
      <c r="I21" s="273" t="str">
        <f t="shared" si="30"/>
        <v/>
      </c>
      <c r="J21" s="312">
        <f t="shared" si="2"/>
        <v>0.31666666666666698</v>
      </c>
      <c r="K21" s="313" t="str">
        <f t="shared" si="3"/>
        <v>+</v>
      </c>
      <c r="L21" s="314">
        <f t="shared" si="3"/>
        <v>0.11666666721669766</v>
      </c>
      <c r="M21" s="315">
        <f t="shared" si="31"/>
        <v>2.8000000160007441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44514</v>
      </c>
      <c r="AA21" s="160">
        <f t="shared" si="4"/>
        <v>44514</v>
      </c>
      <c r="AB21" s="160">
        <f t="shared" si="5"/>
        <v>11</v>
      </c>
      <c r="AC21" s="81">
        <f t="shared" si="6"/>
        <v>1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>
        <f t="shared" si="18"/>
        <v>0.31666666666666698</v>
      </c>
      <c r="CD21" s="88" t="str">
        <f t="shared" si="19"/>
        <v/>
      </c>
      <c r="CE21" s="89">
        <f t="shared" si="20"/>
        <v>0</v>
      </c>
      <c r="CF21" s="90">
        <f t="shared" si="37"/>
        <v>0.31666666666666698</v>
      </c>
      <c r="CG21" s="91">
        <f t="shared" si="38"/>
        <v>0</v>
      </c>
      <c r="CH21" s="87">
        <f t="shared" si="39"/>
        <v>0</v>
      </c>
      <c r="CI21" s="92">
        <f t="shared" si="40"/>
        <v>0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0.31666666666666698</v>
      </c>
      <c r="CU21" s="92">
        <f t="shared" si="24"/>
        <v>0.31666666666666698</v>
      </c>
      <c r="CV21" s="326">
        <f t="shared" si="49"/>
        <v>0.31666666666666698</v>
      </c>
      <c r="CW21" s="328">
        <f t="shared" si="25"/>
        <v>3.3306690738754696E-16</v>
      </c>
      <c r="CX21" s="330">
        <f t="shared" si="50"/>
        <v>0.11666666721669766</v>
      </c>
      <c r="CY21" s="94" t="str">
        <f t="shared" si="51"/>
        <v>+</v>
      </c>
      <c r="CZ21" s="95">
        <f t="shared" si="52"/>
        <v>0.11666666721669766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44515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0.11666666721669766</v>
      </c>
      <c r="M22" s="315">
        <f t="shared" si="31"/>
        <v>2.8000000160007441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44515</v>
      </c>
      <c r="AA22" s="160">
        <f t="shared" si="4"/>
        <v>44515</v>
      </c>
      <c r="AB22" s="160">
        <f t="shared" si="5"/>
        <v>11</v>
      </c>
      <c r="AC22" s="81">
        <f t="shared" si="6"/>
        <v>2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0.11666666721669766</v>
      </c>
      <c r="CY22" s="94" t="str">
        <f t="shared" si="51"/>
        <v>+</v>
      </c>
      <c r="CZ22" s="95">
        <f t="shared" si="52"/>
        <v>0.11666666721669766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44516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0.11666666721669766</v>
      </c>
      <c r="M23" s="315">
        <f t="shared" si="31"/>
        <v>2.8000000160007441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44516</v>
      </c>
      <c r="AA23" s="160">
        <f t="shared" si="4"/>
        <v>44516</v>
      </c>
      <c r="AB23" s="160">
        <f t="shared" si="5"/>
        <v>11</v>
      </c>
      <c r="AC23" s="81">
        <f t="shared" si="6"/>
        <v>3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0.11666666721669766</v>
      </c>
      <c r="CY23" s="94" t="str">
        <f t="shared" si="51"/>
        <v>+</v>
      </c>
      <c r="CZ23" s="95">
        <f t="shared" si="52"/>
        <v>0.11666666721669766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44517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0.11666666721669766</v>
      </c>
      <c r="M24" s="315">
        <f t="shared" si="31"/>
        <v>2.8000000160007441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44517</v>
      </c>
      <c r="AA24" s="160">
        <f t="shared" si="4"/>
        <v>44517</v>
      </c>
      <c r="AB24" s="160">
        <f t="shared" si="5"/>
        <v>11</v>
      </c>
      <c r="AC24" s="81">
        <f t="shared" si="6"/>
        <v>4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0.11666666721669766</v>
      </c>
      <c r="CY24" s="94" t="str">
        <f t="shared" si="51"/>
        <v>+</v>
      </c>
      <c r="CZ24" s="95">
        <f t="shared" si="52"/>
        <v>0.11666666721669766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44518</v>
      </c>
      <c r="C25" s="239"/>
      <c r="D25" s="240"/>
      <c r="E25" s="240"/>
      <c r="F25" s="240"/>
      <c r="G25" s="278"/>
      <c r="H25" s="305" t="str">
        <f t="shared" si="29"/>
        <v/>
      </c>
      <c r="I25" s="273" t="str">
        <f t="shared" si="30"/>
        <v/>
      </c>
      <c r="J25" s="312">
        <f t="shared" si="2"/>
        <v>0</v>
      </c>
      <c r="K25" s="313" t="str">
        <f t="shared" si="3"/>
        <v>+</v>
      </c>
      <c r="L25" s="314">
        <f t="shared" si="3"/>
        <v>0.11666666721669766</v>
      </c>
      <c r="M25" s="315">
        <f t="shared" si="31"/>
        <v>2.8000000160007441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44518</v>
      </c>
      <c r="AA25" s="160">
        <f t="shared" si="4"/>
        <v>44518</v>
      </c>
      <c r="AB25" s="160">
        <f t="shared" si="5"/>
        <v>11</v>
      </c>
      <c r="AC25" s="81">
        <f t="shared" si="6"/>
        <v>5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 t="str">
        <f t="shared" si="18"/>
        <v/>
      </c>
      <c r="CD25" s="88" t="str">
        <f t="shared" si="19"/>
        <v/>
      </c>
      <c r="CE25" s="89">
        <f t="shared" si="20"/>
        <v>0</v>
      </c>
      <c r="CF25" s="90">
        <f t="shared" si="37"/>
        <v>0</v>
      </c>
      <c r="CG25" s="91">
        <f t="shared" si="38"/>
        <v>0</v>
      </c>
      <c r="CH25" s="87">
        <f t="shared" si="39"/>
        <v>0</v>
      </c>
      <c r="CI25" s="92">
        <f t="shared" si="40"/>
        <v>2.0833333333333332E-2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</v>
      </c>
      <c r="CU25" s="92">
        <f t="shared" si="24"/>
        <v>0</v>
      </c>
      <c r="CV25" s="326">
        <f t="shared" si="49"/>
        <v>0</v>
      </c>
      <c r="CW25" s="328">
        <f t="shared" si="25"/>
        <v>0</v>
      </c>
      <c r="CX25" s="330">
        <f t="shared" si="50"/>
        <v>0.11666666721669766</v>
      </c>
      <c r="CY25" s="94" t="str">
        <f t="shared" si="51"/>
        <v>+</v>
      </c>
      <c r="CZ25" s="95">
        <f t="shared" si="52"/>
        <v>0.11666666721669766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44519</v>
      </c>
      <c r="C26" s="239"/>
      <c r="D26" s="240"/>
      <c r="E26" s="240"/>
      <c r="F26" s="240"/>
      <c r="G26" s="278"/>
      <c r="H26" s="305" t="str">
        <f t="shared" si="29"/>
        <v/>
      </c>
      <c r="I26" s="273" t="str">
        <f t="shared" si="30"/>
        <v/>
      </c>
      <c r="J26" s="312">
        <f t="shared" si="2"/>
        <v>0</v>
      </c>
      <c r="K26" s="313" t="str">
        <f t="shared" si="3"/>
        <v>+</v>
      </c>
      <c r="L26" s="314">
        <f t="shared" si="3"/>
        <v>0.11666666721669766</v>
      </c>
      <c r="M26" s="315">
        <f t="shared" si="31"/>
        <v>2.8000000160007441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44519</v>
      </c>
      <c r="AA26" s="160">
        <f t="shared" si="4"/>
        <v>44519</v>
      </c>
      <c r="AB26" s="160">
        <f t="shared" si="5"/>
        <v>11</v>
      </c>
      <c r="AC26" s="81">
        <f t="shared" si="6"/>
        <v>6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 t="str">
        <f t="shared" si="18"/>
        <v/>
      </c>
      <c r="CD26" s="88" t="str">
        <f t="shared" si="19"/>
        <v/>
      </c>
      <c r="CE26" s="89">
        <f t="shared" si="20"/>
        <v>0</v>
      </c>
      <c r="CF26" s="90">
        <f t="shared" si="37"/>
        <v>0</v>
      </c>
      <c r="CG26" s="91">
        <f t="shared" si="38"/>
        <v>0</v>
      </c>
      <c r="CH26" s="87">
        <f t="shared" si="39"/>
        <v>0</v>
      </c>
      <c r="CI26" s="92">
        <f t="shared" si="40"/>
        <v>2.0833333333333332E-2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</v>
      </c>
      <c r="CU26" s="92">
        <f t="shared" si="24"/>
        <v>0</v>
      </c>
      <c r="CV26" s="326">
        <f t="shared" si="49"/>
        <v>0</v>
      </c>
      <c r="CW26" s="328">
        <f t="shared" si="25"/>
        <v>0</v>
      </c>
      <c r="CX26" s="330">
        <f t="shared" si="50"/>
        <v>0.11666666721669766</v>
      </c>
      <c r="CY26" s="94" t="str">
        <f t="shared" si="51"/>
        <v>+</v>
      </c>
      <c r="CZ26" s="95">
        <f t="shared" si="52"/>
        <v>0.11666666721669766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44520</v>
      </c>
      <c r="C27" s="239"/>
      <c r="D27" s="240"/>
      <c r="E27" s="240"/>
      <c r="F27" s="240"/>
      <c r="G27" s="278"/>
      <c r="H27" s="305">
        <f t="shared" si="29"/>
        <v>21</v>
      </c>
      <c r="I27" s="273" t="str">
        <f t="shared" si="30"/>
        <v/>
      </c>
      <c r="J27" s="312">
        <f t="shared" si="2"/>
        <v>0.31666666666666698</v>
      </c>
      <c r="K27" s="313" t="str">
        <f t="shared" si="3"/>
        <v>+</v>
      </c>
      <c r="L27" s="314">
        <f t="shared" si="3"/>
        <v>0.11666666721669799</v>
      </c>
      <c r="M27" s="315">
        <f t="shared" si="31"/>
        <v>2.8000000160007521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44520</v>
      </c>
      <c r="AA27" s="160">
        <f t="shared" si="4"/>
        <v>44520</v>
      </c>
      <c r="AB27" s="160">
        <f t="shared" si="5"/>
        <v>11</v>
      </c>
      <c r="AC27" s="81">
        <f t="shared" si="6"/>
        <v>0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>
        <f t="shared" si="18"/>
        <v>0.31666666666666698</v>
      </c>
      <c r="CD27" s="88" t="str">
        <f t="shared" si="19"/>
        <v/>
      </c>
      <c r="CE27" s="89">
        <f t="shared" si="20"/>
        <v>0</v>
      </c>
      <c r="CF27" s="90">
        <f t="shared" si="37"/>
        <v>0.31666666666666698</v>
      </c>
      <c r="CG27" s="91">
        <f t="shared" si="38"/>
        <v>0</v>
      </c>
      <c r="CH27" s="87">
        <f t="shared" si="39"/>
        <v>0</v>
      </c>
      <c r="CI27" s="92">
        <f t="shared" si="40"/>
        <v>0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0.31666666666666698</v>
      </c>
      <c r="CU27" s="92">
        <f t="shared" si="24"/>
        <v>0.31666666666666698</v>
      </c>
      <c r="CV27" s="326">
        <f t="shared" si="49"/>
        <v>0.31666666666666698</v>
      </c>
      <c r="CW27" s="328">
        <f t="shared" si="25"/>
        <v>3.3306690738754696E-16</v>
      </c>
      <c r="CX27" s="330">
        <f t="shared" si="50"/>
        <v>0.11666666721669799</v>
      </c>
      <c r="CY27" s="94" t="str">
        <f t="shared" si="51"/>
        <v>+</v>
      </c>
      <c r="CZ27" s="95">
        <f t="shared" si="52"/>
        <v>0.11666666721669799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44521</v>
      </c>
      <c r="C28" s="239"/>
      <c r="D28" s="240"/>
      <c r="E28" s="240"/>
      <c r="F28" s="240"/>
      <c r="G28" s="278"/>
      <c r="H28" s="305">
        <f t="shared" si="29"/>
        <v>1</v>
      </c>
      <c r="I28" s="273" t="str">
        <f t="shared" si="30"/>
        <v/>
      </c>
      <c r="J28" s="312">
        <f t="shared" si="2"/>
        <v>0.31666666666666698</v>
      </c>
      <c r="K28" s="313" t="str">
        <f t="shared" si="3"/>
        <v>+</v>
      </c>
      <c r="L28" s="314">
        <f t="shared" si="3"/>
        <v>0.11666666721669833</v>
      </c>
      <c r="M28" s="315">
        <f t="shared" si="31"/>
        <v>2.8000000160007601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44521</v>
      </c>
      <c r="AA28" s="160">
        <f t="shared" si="4"/>
        <v>44521</v>
      </c>
      <c r="AB28" s="160">
        <f t="shared" si="5"/>
        <v>11</v>
      </c>
      <c r="AC28" s="81">
        <f t="shared" si="6"/>
        <v>1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>
        <f t="shared" si="18"/>
        <v>0.31666666666666698</v>
      </c>
      <c r="CD28" s="88" t="str">
        <f t="shared" si="19"/>
        <v/>
      </c>
      <c r="CE28" s="89">
        <f t="shared" si="20"/>
        <v>0</v>
      </c>
      <c r="CF28" s="90">
        <f t="shared" si="37"/>
        <v>0.31666666666666698</v>
      </c>
      <c r="CG28" s="91">
        <f t="shared" si="38"/>
        <v>0</v>
      </c>
      <c r="CH28" s="87">
        <f t="shared" si="39"/>
        <v>0</v>
      </c>
      <c r="CI28" s="92">
        <f t="shared" si="40"/>
        <v>0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0.31666666666666698</v>
      </c>
      <c r="CU28" s="92">
        <f t="shared" si="24"/>
        <v>0.31666666666666698</v>
      </c>
      <c r="CV28" s="326">
        <f t="shared" si="49"/>
        <v>0.31666666666666698</v>
      </c>
      <c r="CW28" s="328">
        <f t="shared" si="25"/>
        <v>3.3306690738754696E-16</v>
      </c>
      <c r="CX28" s="330">
        <f t="shared" si="50"/>
        <v>0.11666666721669833</v>
      </c>
      <c r="CY28" s="94" t="str">
        <f t="shared" si="51"/>
        <v>+</v>
      </c>
      <c r="CZ28" s="95">
        <f t="shared" si="52"/>
        <v>0.11666666721669833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44522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0.11666666721669833</v>
      </c>
      <c r="M29" s="315">
        <f t="shared" si="31"/>
        <v>2.8000000160007601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44522</v>
      </c>
      <c r="AA29" s="160">
        <f t="shared" si="4"/>
        <v>44522</v>
      </c>
      <c r="AB29" s="160">
        <f t="shared" si="5"/>
        <v>11</v>
      </c>
      <c r="AC29" s="81">
        <f t="shared" si="6"/>
        <v>2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0.11666666721669833</v>
      </c>
      <c r="CY29" s="94" t="str">
        <f t="shared" si="51"/>
        <v>+</v>
      </c>
      <c r="CZ29" s="95">
        <f t="shared" si="52"/>
        <v>0.11666666721669833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44523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0.11666666721669833</v>
      </c>
      <c r="M30" s="315">
        <f t="shared" si="31"/>
        <v>2.8000000160007601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44523</v>
      </c>
      <c r="AA30" s="160">
        <f t="shared" si="4"/>
        <v>44523</v>
      </c>
      <c r="AB30" s="160">
        <f t="shared" si="5"/>
        <v>11</v>
      </c>
      <c r="AC30" s="81">
        <f t="shared" si="6"/>
        <v>3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0.11666666721669833</v>
      </c>
      <c r="CY30" s="94" t="str">
        <f t="shared" si="51"/>
        <v>+</v>
      </c>
      <c r="CZ30" s="95">
        <f t="shared" si="52"/>
        <v>0.11666666721669833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44524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0.11666666721669833</v>
      </c>
      <c r="M31" s="315">
        <f t="shared" si="31"/>
        <v>2.8000000160007601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44524</v>
      </c>
      <c r="AA31" s="160">
        <f t="shared" si="4"/>
        <v>44524</v>
      </c>
      <c r="AB31" s="160">
        <f t="shared" si="5"/>
        <v>11</v>
      </c>
      <c r="AC31" s="81">
        <f t="shared" si="6"/>
        <v>4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0.11666666721669833</v>
      </c>
      <c r="CY31" s="94" t="str">
        <f t="shared" si="51"/>
        <v>+</v>
      </c>
      <c r="CZ31" s="95">
        <f t="shared" si="52"/>
        <v>0.11666666721669833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44525</v>
      </c>
      <c r="C32" s="239"/>
      <c r="D32" s="240"/>
      <c r="E32" s="240"/>
      <c r="F32" s="240"/>
      <c r="G32" s="278"/>
      <c r="H32" s="305" t="str">
        <f t="shared" si="29"/>
        <v/>
      </c>
      <c r="I32" s="273" t="str">
        <f t="shared" si="30"/>
        <v/>
      </c>
      <c r="J32" s="312">
        <f t="shared" si="2"/>
        <v>0</v>
      </c>
      <c r="K32" s="313" t="str">
        <f t="shared" si="3"/>
        <v>+</v>
      </c>
      <c r="L32" s="314">
        <f t="shared" si="3"/>
        <v>0.11666666721669833</v>
      </c>
      <c r="M32" s="315">
        <f t="shared" si="31"/>
        <v>2.8000000160007601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44525</v>
      </c>
      <c r="AA32" s="160">
        <f t="shared" si="4"/>
        <v>44525</v>
      </c>
      <c r="AB32" s="160">
        <f t="shared" si="5"/>
        <v>11</v>
      </c>
      <c r="AC32" s="81">
        <f t="shared" si="6"/>
        <v>5</v>
      </c>
      <c r="AD32" s="160">
        <f t="shared" si="7"/>
        <v>0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 t="str">
        <f t="shared" si="18"/>
        <v/>
      </c>
      <c r="CD32" s="88" t="str">
        <f t="shared" si="19"/>
        <v/>
      </c>
      <c r="CE32" s="89">
        <f t="shared" si="20"/>
        <v>0</v>
      </c>
      <c r="CF32" s="90">
        <f t="shared" si="37"/>
        <v>0</v>
      </c>
      <c r="CG32" s="91">
        <f t="shared" si="38"/>
        <v>0</v>
      </c>
      <c r="CH32" s="87">
        <f t="shared" si="39"/>
        <v>0</v>
      </c>
      <c r="CI32" s="92">
        <f t="shared" si="40"/>
        <v>2.0833333333333332E-2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</v>
      </c>
      <c r="CU32" s="92">
        <f t="shared" si="24"/>
        <v>0</v>
      </c>
      <c r="CV32" s="326">
        <f t="shared" si="49"/>
        <v>0</v>
      </c>
      <c r="CW32" s="328">
        <f t="shared" si="25"/>
        <v>0</v>
      </c>
      <c r="CX32" s="330">
        <f t="shared" si="50"/>
        <v>0.11666666721669833</v>
      </c>
      <c r="CY32" s="94" t="str">
        <f t="shared" si="51"/>
        <v>+</v>
      </c>
      <c r="CZ32" s="95">
        <f t="shared" si="52"/>
        <v>0.11666666721669833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44526</v>
      </c>
      <c r="C33" s="239"/>
      <c r="D33" s="240"/>
      <c r="E33" s="240"/>
      <c r="F33" s="240"/>
      <c r="G33" s="278"/>
      <c r="H33" s="305" t="str">
        <f t="shared" si="29"/>
        <v/>
      </c>
      <c r="I33" s="273" t="str">
        <f t="shared" si="30"/>
        <v/>
      </c>
      <c r="J33" s="312">
        <f t="shared" si="2"/>
        <v>0</v>
      </c>
      <c r="K33" s="313" t="str">
        <f t="shared" si="3"/>
        <v>+</v>
      </c>
      <c r="L33" s="314">
        <f t="shared" si="3"/>
        <v>0.11666666721669833</v>
      </c>
      <c r="M33" s="315">
        <f t="shared" si="31"/>
        <v>2.8000000160007601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44526</v>
      </c>
      <c r="AA33" s="160">
        <f t="shared" si="4"/>
        <v>44526</v>
      </c>
      <c r="AB33" s="160">
        <f t="shared" si="5"/>
        <v>11</v>
      </c>
      <c r="AC33" s="81">
        <f t="shared" si="6"/>
        <v>6</v>
      </c>
      <c r="AD33" s="160">
        <f t="shared" si="7"/>
        <v>0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 t="str">
        <f t="shared" si="18"/>
        <v/>
      </c>
      <c r="CD33" s="88" t="str">
        <f t="shared" si="19"/>
        <v/>
      </c>
      <c r="CE33" s="89">
        <f t="shared" si="20"/>
        <v>0</v>
      </c>
      <c r="CF33" s="90">
        <f t="shared" si="37"/>
        <v>0</v>
      </c>
      <c r="CG33" s="91">
        <f t="shared" si="38"/>
        <v>0</v>
      </c>
      <c r="CH33" s="87">
        <f t="shared" si="39"/>
        <v>0</v>
      </c>
      <c r="CI33" s="92">
        <f t="shared" si="40"/>
        <v>2.0833333333333332E-2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</v>
      </c>
      <c r="CU33" s="92">
        <f t="shared" si="24"/>
        <v>0</v>
      </c>
      <c r="CV33" s="326">
        <f t="shared" si="49"/>
        <v>0</v>
      </c>
      <c r="CW33" s="328">
        <f t="shared" si="25"/>
        <v>0</v>
      </c>
      <c r="CX33" s="330">
        <f t="shared" si="50"/>
        <v>0.11666666721669833</v>
      </c>
      <c r="CY33" s="94" t="str">
        <f t="shared" si="51"/>
        <v>+</v>
      </c>
      <c r="CZ33" s="95">
        <f t="shared" si="52"/>
        <v>0.11666666721669833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44527</v>
      </c>
      <c r="C34" s="239"/>
      <c r="D34" s="240"/>
      <c r="E34" s="240"/>
      <c r="F34" s="240"/>
      <c r="G34" s="278"/>
      <c r="H34" s="305">
        <f t="shared" si="29"/>
        <v>21</v>
      </c>
      <c r="I34" s="273" t="str">
        <f t="shared" si="30"/>
        <v/>
      </c>
      <c r="J34" s="312">
        <f t="shared" si="2"/>
        <v>0.31666666666666698</v>
      </c>
      <c r="K34" s="313" t="str">
        <f t="shared" si="3"/>
        <v>+</v>
      </c>
      <c r="L34" s="314">
        <f t="shared" si="3"/>
        <v>0.11666666721669866</v>
      </c>
      <c r="M34" s="315">
        <f t="shared" si="31"/>
        <v>2.8000000160007681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44527</v>
      </c>
      <c r="AA34" s="160">
        <f t="shared" si="4"/>
        <v>44527</v>
      </c>
      <c r="AB34" s="160">
        <f t="shared" si="5"/>
        <v>11</v>
      </c>
      <c r="AC34" s="81">
        <f t="shared" si="6"/>
        <v>0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>
        <f t="shared" si="18"/>
        <v>0.31666666666666698</v>
      </c>
      <c r="CD34" s="88" t="str">
        <f t="shared" si="19"/>
        <v/>
      </c>
      <c r="CE34" s="89">
        <f t="shared" si="20"/>
        <v>0</v>
      </c>
      <c r="CF34" s="90">
        <f t="shared" si="37"/>
        <v>0.31666666666666698</v>
      </c>
      <c r="CG34" s="91">
        <f t="shared" si="38"/>
        <v>0</v>
      </c>
      <c r="CH34" s="87">
        <f t="shared" si="39"/>
        <v>0</v>
      </c>
      <c r="CI34" s="92">
        <f t="shared" si="40"/>
        <v>0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0.31666666666666698</v>
      </c>
      <c r="CU34" s="92">
        <f t="shared" si="24"/>
        <v>0.31666666666666698</v>
      </c>
      <c r="CV34" s="326">
        <f t="shared" si="49"/>
        <v>0.31666666666666698</v>
      </c>
      <c r="CW34" s="328">
        <f t="shared" si="25"/>
        <v>3.3306690738754696E-16</v>
      </c>
      <c r="CX34" s="330">
        <f t="shared" si="50"/>
        <v>0.11666666721669866</v>
      </c>
      <c r="CY34" s="94" t="str">
        <f t="shared" si="51"/>
        <v>+</v>
      </c>
      <c r="CZ34" s="95">
        <f t="shared" si="52"/>
        <v>0.11666666721669866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44528</v>
      </c>
      <c r="C35" s="239"/>
      <c r="D35" s="240"/>
      <c r="E35" s="240"/>
      <c r="F35" s="240"/>
      <c r="G35" s="278"/>
      <c r="H35" s="305">
        <f t="shared" si="29"/>
        <v>1</v>
      </c>
      <c r="I35" s="273" t="str">
        <f t="shared" si="30"/>
        <v/>
      </c>
      <c r="J35" s="312">
        <f t="shared" si="2"/>
        <v>0.31666666666666698</v>
      </c>
      <c r="K35" s="313" t="str">
        <f t="shared" si="3"/>
        <v>+</v>
      </c>
      <c r="L35" s="314">
        <f t="shared" si="3"/>
        <v>0.11666666721669899</v>
      </c>
      <c r="M35" s="315">
        <f t="shared" si="31"/>
        <v>2.8000000160007761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44528</v>
      </c>
      <c r="AA35" s="160">
        <f t="shared" si="4"/>
        <v>44528</v>
      </c>
      <c r="AB35" s="160">
        <f t="shared" si="5"/>
        <v>11</v>
      </c>
      <c r="AC35" s="81">
        <f t="shared" si="6"/>
        <v>1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>
        <f t="shared" si="18"/>
        <v>0.31666666666666698</v>
      </c>
      <c r="CD35" s="88" t="str">
        <f t="shared" si="19"/>
        <v/>
      </c>
      <c r="CE35" s="89">
        <f t="shared" si="20"/>
        <v>0</v>
      </c>
      <c r="CF35" s="90">
        <f t="shared" si="37"/>
        <v>0.31666666666666698</v>
      </c>
      <c r="CG35" s="91">
        <f t="shared" si="38"/>
        <v>0</v>
      </c>
      <c r="CH35" s="87">
        <f t="shared" si="39"/>
        <v>0</v>
      </c>
      <c r="CI35" s="92">
        <f t="shared" si="40"/>
        <v>0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0.31666666666666698</v>
      </c>
      <c r="CU35" s="92">
        <f t="shared" si="24"/>
        <v>0.31666666666666698</v>
      </c>
      <c r="CV35" s="326">
        <f t="shared" si="49"/>
        <v>0.31666666666666698</v>
      </c>
      <c r="CW35" s="328">
        <f t="shared" si="25"/>
        <v>3.3306690738754696E-16</v>
      </c>
      <c r="CX35" s="330">
        <f t="shared" si="50"/>
        <v>0.11666666721669899</v>
      </c>
      <c r="CY35" s="94" t="str">
        <f t="shared" si="51"/>
        <v>+</v>
      </c>
      <c r="CZ35" s="95">
        <f t="shared" si="52"/>
        <v>0.11666666721669899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44529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0.11666666721669899</v>
      </c>
      <c r="M36" s="315">
        <f t="shared" si="31"/>
        <v>2.8000000160007761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44529</v>
      </c>
      <c r="AA36" s="160">
        <f>IF(AB36&lt;&gt;$AB$8,"",Z36)</f>
        <v>44529</v>
      </c>
      <c r="AB36" s="160">
        <f t="shared" si="5"/>
        <v>11</v>
      </c>
      <c r="AC36" s="81">
        <f t="shared" si="6"/>
        <v>2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0.11666666721669899</v>
      </c>
      <c r="CY36" s="94" t="str">
        <f t="shared" si="51"/>
        <v>+</v>
      </c>
      <c r="CZ36" s="95">
        <f t="shared" si="52"/>
        <v>0.11666666721669899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44530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0.11666666721669899</v>
      </c>
      <c r="M37" s="315">
        <f t="shared" si="31"/>
        <v>2.8000000160007761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44530</v>
      </c>
      <c r="AA37" s="160">
        <f>IF(AB37&lt;&gt;$AB$8,"",Z37)</f>
        <v>44530</v>
      </c>
      <c r="AB37" s="160">
        <f t="shared" si="5"/>
        <v>11</v>
      </c>
      <c r="AC37" s="81">
        <f t="shared" si="6"/>
        <v>3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0.11666666721669899</v>
      </c>
      <c r="CY37" s="94" t="str">
        <f t="shared" si="51"/>
        <v>+</v>
      </c>
      <c r="CZ37" s="95">
        <f t="shared" si="52"/>
        <v>0.11666666721669899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 t="str">
        <f>IF(AB38&lt;&gt;$AB$8,"",DAY(Z38))</f>
        <v/>
      </c>
      <c r="B38" s="325" t="str">
        <f>IF(AB38&lt;&gt;$AB$8,"",Z38)</f>
        <v/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0.11666666721669899</v>
      </c>
      <c r="M38" s="319">
        <f t="shared" si="31"/>
        <v>2.8000000160007761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44531</v>
      </c>
      <c r="AA38" s="161" t="str">
        <f>IF(AB38&lt;&gt;$AB$8,"",Z38)</f>
        <v/>
      </c>
      <c r="AB38" s="161">
        <f t="shared" si="5"/>
        <v>12</v>
      </c>
      <c r="AC38" s="106">
        <f t="shared" si="6"/>
        <v>4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 t="str">
        <f t="shared" si="35"/>
        <v/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0.11666666721669899</v>
      </c>
      <c r="CY38" s="115" t="str">
        <f t="shared" si="51"/>
        <v>+</v>
      </c>
      <c r="CZ38" s="116">
        <f t="shared" si="52"/>
        <v>0.11666666721669899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oktober!Z38</f>
        <v>44500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1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N41+januari!N42+februari!N41+maart!N41+april!N41+mei!N41+juni!N41+juli!N41+augustus!N41+september!N41+oktober!N41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oktober!Z40</f>
        <v>0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N42+januari!N43+februari!N42+maart!N42+april!N42+mei!N42+juni!N42+juli!N42+augustus!N42+september!N42+oktober!N42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N43+januari!N44+februari!N43+maart!N43+april!N43+mei!N43+juni!N43+juli!N43+augustus!N43+september!N43+oktober!N43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N44+januari!N45+februari!N44+maart!N44+april!N44+mei!N44+juni!N44+juli!N44+augustus!N44+september!N44+oktober!N44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U23:V23"/>
    <mergeCell ref="U7:V7"/>
    <mergeCell ref="U8:V8"/>
    <mergeCell ref="U26:V26"/>
    <mergeCell ref="U19:V19"/>
    <mergeCell ref="U15:V15"/>
    <mergeCell ref="U16:V16"/>
    <mergeCell ref="U11:V11"/>
    <mergeCell ref="U12:V12"/>
    <mergeCell ref="U13:V13"/>
    <mergeCell ref="U14:V14"/>
    <mergeCell ref="O1:R1"/>
    <mergeCell ref="U9:V9"/>
    <mergeCell ref="U10:V10"/>
    <mergeCell ref="U20:V20"/>
    <mergeCell ref="U38:V38"/>
    <mergeCell ref="U22:V22"/>
    <mergeCell ref="U37:V37"/>
    <mergeCell ref="U17:V17"/>
    <mergeCell ref="U18:V18"/>
    <mergeCell ref="U25:V25"/>
    <mergeCell ref="U21:V21"/>
    <mergeCell ref="U24:V24"/>
    <mergeCell ref="U1:V1"/>
    <mergeCell ref="U33:V33"/>
    <mergeCell ref="U34:V34"/>
    <mergeCell ref="U35:V35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2:Q42"/>
    <mergeCell ref="P43:Q43"/>
    <mergeCell ref="R41:S41"/>
    <mergeCell ref="R42:S42"/>
    <mergeCell ref="P41:Q41"/>
    <mergeCell ref="R43:S43"/>
    <mergeCell ref="C40:D40"/>
    <mergeCell ref="E3:F3"/>
    <mergeCell ref="S3:V3"/>
    <mergeCell ref="A6:B6"/>
    <mergeCell ref="K6:L6"/>
    <mergeCell ref="A5:B5"/>
    <mergeCell ref="K5:L5"/>
    <mergeCell ref="U5:V5"/>
    <mergeCell ref="U6:V6"/>
    <mergeCell ref="U36:V36"/>
    <mergeCell ref="U31:V31"/>
    <mergeCell ref="U32:V32"/>
    <mergeCell ref="U27:V27"/>
    <mergeCell ref="U28:V28"/>
    <mergeCell ref="U29:V29"/>
    <mergeCell ref="U30:V30"/>
  </mergeCells>
  <phoneticPr fontId="16" type="noConversion"/>
  <conditionalFormatting sqref="S3:V3">
    <cfRule type="expression" dxfId="17" priority="73" stopIfTrue="1">
      <formula>$S$3&lt;&gt;""</formula>
    </cfRule>
  </conditionalFormatting>
  <conditionalFormatting sqref="M8:M38">
    <cfRule type="expression" dxfId="16" priority="2" stopIfTrue="1">
      <formula>M8&lt;-8</formula>
    </cfRule>
    <cfRule type="expression" dxfId="15" priority="3">
      <formula>M8&lt;0</formula>
    </cfRule>
  </conditionalFormatting>
  <conditionalFormatting sqref="K8:L38">
    <cfRule type="expression" dxfId="14" priority="4" stopIfTrue="1">
      <formula>$CX8&lt;-0.33334</formula>
    </cfRule>
    <cfRule type="expression" dxfId="13" priority="5">
      <formula>$CX8&lt;0</formula>
    </cfRule>
  </conditionalFormatting>
  <conditionalFormatting sqref="A34:R38">
    <cfRule type="expression" dxfId="12" priority="1" stopIfTrue="1">
      <formula>$AB$8&lt;&gt;$AB34</formula>
    </cfRule>
  </conditionalFormatting>
  <conditionalFormatting sqref="N8:R38 A8:I38">
    <cfRule type="expression" dxfId="11" priority="6" stopIfTrue="1">
      <formula>OR($AC8=0,$AC8=1)</formula>
    </cfRule>
    <cfRule type="expression" dxfId="10" priority="7" stopIfTrue="1">
      <formula>COUNTIFS($DG$5:$DG$19,$AA8)&gt;0</formula>
    </cfRule>
    <cfRule type="expression" dxfId="9" priority="8" stopIfTrue="1">
      <formula>VLOOKUP($AC8,$B$42:$D$46,3) = 1</formula>
    </cfRule>
  </conditionalFormatting>
  <dataValidations count="1">
    <dataValidation type="whole" allowBlank="1" showInputMessage="1" showErrorMessage="1" sqref="D42:D46" xr:uid="{1A1EEFAF-A012-457A-BFA6-1E29806F6614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3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1111111111">
    <pageSetUpPr fitToPage="1"/>
  </sheetPr>
  <dimension ref="A1:DR75"/>
  <sheetViews>
    <sheetView showGridLines="0" showRowColHeaders="0" zoomScale="90" zoomScaleNormal="90" workbookViewId="0">
      <selection activeCell="T8" sqref="T8"/>
    </sheetView>
  </sheetViews>
  <sheetFormatPr defaultRowHeight="12.75" x14ac:dyDescent="0.2"/>
  <cols>
    <col min="1" max="1" width="5" style="1" customWidth="1"/>
    <col min="2" max="2" width="5.28515625" style="1" bestFit="1" customWidth="1"/>
    <col min="3" max="4" width="9.28515625" style="1" customWidth="1"/>
    <col min="5" max="5" width="8.140625" style="1" customWidth="1"/>
    <col min="6" max="6" width="6" style="1" customWidth="1"/>
    <col min="7" max="7" width="8.140625" style="1" customWidth="1"/>
    <col min="8" max="8" width="5.28515625" style="1" bestFit="1" customWidth="1"/>
    <col min="9" max="9" width="6" style="1" customWidth="1"/>
    <col min="10" max="10" width="10.7109375" style="1" bestFit="1" customWidth="1"/>
    <col min="11" max="11" width="2.5703125" style="1" bestFit="1" customWidth="1"/>
    <col min="12" max="12" width="6.85546875" style="1" customWidth="1"/>
    <col min="13" max="13" width="9.5703125" style="1" customWidth="1"/>
    <col min="14" max="15" width="6.5703125" style="4" customWidth="1"/>
    <col min="16" max="16" width="5" style="4" bestFit="1" customWidth="1"/>
    <col min="17" max="18" width="6.5703125" style="4" customWidth="1"/>
    <col min="19" max="19" width="6.28515625" style="4" bestFit="1" customWidth="1"/>
    <col min="20" max="20" width="10.28515625" style="4" customWidth="1"/>
    <col min="21" max="22" width="29.7109375" style="4" customWidth="1"/>
    <col min="23" max="23" width="20.7109375" style="1" customWidth="1"/>
    <col min="24" max="24" width="8" style="1" customWidth="1"/>
    <col min="25" max="25" width="8.7109375" style="1" customWidth="1"/>
    <col min="26" max="28" width="12.140625" style="1" hidden="1" customWidth="1"/>
    <col min="29" max="30" width="14.28515625" style="1" hidden="1" customWidth="1"/>
    <col min="31" max="31" width="9.140625" style="1" hidden="1" customWidth="1"/>
    <col min="32" max="32" width="20" style="1" hidden="1" customWidth="1"/>
    <col min="33" max="33" width="30.7109375" style="1" hidden="1" customWidth="1"/>
    <col min="34" max="75" width="9.140625" style="1" hidden="1" customWidth="1"/>
    <col min="76" max="76" width="14.7109375" style="1" hidden="1" customWidth="1"/>
    <col min="77" max="77" width="9.140625" style="1" hidden="1" customWidth="1"/>
    <col min="78" max="78" width="8.42578125" style="1" hidden="1" customWidth="1"/>
    <col min="79" max="79" width="27" style="1" hidden="1" customWidth="1"/>
    <col min="80" max="80" width="28.42578125" style="1" hidden="1" customWidth="1"/>
    <col min="81" max="82" width="21.28515625" style="1" hidden="1" customWidth="1"/>
    <col min="83" max="83" width="22.7109375" style="1" hidden="1" customWidth="1"/>
    <col min="84" max="84" width="19.85546875" style="1" hidden="1" customWidth="1"/>
    <col min="85" max="85" width="25.5703125" style="1" hidden="1" customWidth="1"/>
    <col min="86" max="86" width="27" style="1" hidden="1" customWidth="1"/>
    <col min="87" max="87" width="28.42578125" style="1" hidden="1" customWidth="1"/>
    <col min="88" max="89" width="18.42578125" style="1" hidden="1" customWidth="1"/>
    <col min="90" max="94" width="24.140625" style="1" hidden="1" customWidth="1"/>
    <col min="95" max="95" width="49.85546875" style="1" hidden="1" customWidth="1"/>
    <col min="96" max="96" width="25.5703125" style="1" hidden="1" customWidth="1"/>
    <col min="97" max="97" width="19.85546875" style="1" hidden="1" customWidth="1"/>
    <col min="98" max="98" width="17" style="1" hidden="1" customWidth="1"/>
    <col min="99" max="100" width="29.85546875" style="1" hidden="1" customWidth="1"/>
    <col min="101" max="102" width="28" style="1" hidden="1" customWidth="1"/>
    <col min="103" max="103" width="20.7109375" style="1" hidden="1" customWidth="1"/>
    <col min="104" max="104" width="34.42578125" style="1" hidden="1" customWidth="1"/>
    <col min="105" max="105" width="29.85546875" style="1" hidden="1" customWidth="1"/>
    <col min="106" max="106" width="15.42578125" style="5" hidden="1" customWidth="1"/>
    <col min="107" max="108" width="20.42578125" style="5" hidden="1" customWidth="1"/>
    <col min="109" max="114" width="20.42578125" style="5" customWidth="1"/>
    <col min="115" max="115" width="9.140625" style="5"/>
    <col min="116" max="116" width="6.5703125" style="5" customWidth="1"/>
    <col min="117" max="117" width="7.28515625" style="5" customWidth="1"/>
    <col min="118" max="119" width="12.42578125" style="1" customWidth="1"/>
    <col min="120" max="120" width="17.140625" style="1" customWidth="1"/>
    <col min="121" max="121" width="90.85546875" style="175" bestFit="1" customWidth="1"/>
    <col min="122" max="16384" width="9.140625" style="1"/>
  </cols>
  <sheetData>
    <row r="1" spans="1:122" ht="24.75" customHeight="1" thickBot="1" x14ac:dyDescent="0.4">
      <c r="A1" s="155" t="s">
        <v>260</v>
      </c>
      <c r="H1" s="153"/>
      <c r="I1" s="153"/>
      <c r="J1" s="153"/>
      <c r="K1" s="153"/>
      <c r="O1" s="448">
        <f>Z39+1-Z41</f>
        <v>44531</v>
      </c>
      <c r="P1" s="449"/>
      <c r="Q1" s="449"/>
      <c r="R1" s="447"/>
      <c r="U1" s="446" t="str">
        <f>UserName</f>
        <v>Naam hier invullen</v>
      </c>
      <c r="V1" s="447"/>
      <c r="Z1" s="10" t="s">
        <v>163</v>
      </c>
    </row>
    <row r="2" spans="1:122" ht="13.5" customHeight="1" thickBot="1" x14ac:dyDescent="0.25">
      <c r="D2" s="3"/>
      <c r="CV2" s="1" t="s">
        <v>152</v>
      </c>
      <c r="DE2" s="18"/>
      <c r="DF2" s="18"/>
      <c r="DG2" s="18"/>
      <c r="DH2" s="18"/>
      <c r="DI2" s="18"/>
      <c r="DK2" s="8"/>
      <c r="DL2" s="8"/>
      <c r="DM2" s="8"/>
      <c r="DN2" s="9"/>
      <c r="DO2" s="9"/>
      <c r="DP2" s="9"/>
      <c r="DQ2" s="176"/>
      <c r="DR2" s="9"/>
    </row>
    <row r="3" spans="1:122" ht="24.75" customHeight="1" thickBot="1" x14ac:dyDescent="0.4">
      <c r="A3" s="10" t="s">
        <v>153</v>
      </c>
      <c r="C3" s="11"/>
      <c r="D3" s="229" t="str">
        <f>november!K38</f>
        <v>+</v>
      </c>
      <c r="E3" s="385">
        <f>ABS(november!M38)</f>
        <v>2.8000000160007761</v>
      </c>
      <c r="F3" s="386"/>
      <c r="G3" s="228">
        <f>E3/24</f>
        <v>0.11666666733336567</v>
      </c>
      <c r="K3" s="154"/>
      <c r="L3" s="154"/>
      <c r="M3" s="154"/>
      <c r="N3" s="154"/>
      <c r="O3" s="154"/>
      <c r="P3" s="154"/>
      <c r="Q3" s="154"/>
      <c r="R3" s="154"/>
      <c r="S3" s="387" t="str">
        <f>IF(DA42=0,"","Prestatieuren zijn verschillend met werkuren")</f>
        <v/>
      </c>
      <c r="T3" s="388"/>
      <c r="U3" s="388"/>
      <c r="V3" s="388"/>
      <c r="Z3" s="12" t="s">
        <v>143</v>
      </c>
      <c r="AA3" s="158"/>
      <c r="AB3" s="158"/>
      <c r="AC3" s="7"/>
      <c r="AD3" s="12" t="s">
        <v>245</v>
      </c>
      <c r="AF3" s="13" t="s">
        <v>142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5"/>
      <c r="BM3" s="16" t="s">
        <v>241</v>
      </c>
      <c r="BN3" s="14"/>
      <c r="BO3" s="14"/>
      <c r="BP3" s="14"/>
      <c r="BQ3" s="14"/>
      <c r="BR3" s="14"/>
      <c r="BS3" s="14"/>
      <c r="BT3" s="15"/>
      <c r="BV3" s="16" t="s">
        <v>144</v>
      </c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7" t="str">
        <f>D3</f>
        <v>+</v>
      </c>
      <c r="CW3" s="17">
        <f>IF(CV3="-",-G3,G3)</f>
        <v>0.11666666733336567</v>
      </c>
      <c r="CX3" s="14"/>
      <c r="CY3" s="14"/>
      <c r="CZ3" s="14"/>
      <c r="DA3" s="14"/>
      <c r="DB3" s="6"/>
      <c r="DC3" s="7"/>
      <c r="DD3" s="18"/>
      <c r="DE3" s="18"/>
      <c r="DF3" s="203" t="s">
        <v>244</v>
      </c>
      <c r="DG3" s="7"/>
      <c r="DH3" s="18"/>
      <c r="DI3" s="18"/>
      <c r="DJ3" s="18"/>
      <c r="DK3" s="19" t="s">
        <v>145</v>
      </c>
      <c r="DL3" s="18"/>
      <c r="DM3" s="18"/>
      <c r="DN3" s="21"/>
      <c r="DO3" s="21"/>
      <c r="DP3" s="21"/>
      <c r="DQ3" s="130"/>
      <c r="DR3" s="22"/>
    </row>
    <row r="4" spans="1:122" ht="11.25" customHeight="1" thickBot="1" x14ac:dyDescent="0.4">
      <c r="A4" s="23"/>
      <c r="C4" s="2"/>
      <c r="D4" s="24"/>
      <c r="E4" s="25"/>
      <c r="Z4" s="26"/>
      <c r="AA4" s="18"/>
      <c r="AB4" s="18"/>
      <c r="AC4" s="20"/>
      <c r="AD4" s="18"/>
      <c r="AF4" s="27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2"/>
      <c r="BM4" s="27"/>
      <c r="BN4" s="21"/>
      <c r="BO4" s="21"/>
      <c r="BP4" s="21"/>
      <c r="BQ4" s="21"/>
      <c r="BR4" s="21"/>
      <c r="BS4" s="21"/>
      <c r="BT4" s="22"/>
      <c r="BV4" s="27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8"/>
      <c r="CW4" s="21"/>
      <c r="CX4" s="21"/>
      <c r="CY4" s="21"/>
      <c r="CZ4" s="21"/>
      <c r="DA4" s="21"/>
      <c r="DB4" s="18"/>
      <c r="DC4" s="20"/>
      <c r="DD4" s="18"/>
      <c r="DE4" s="18"/>
      <c r="DF4" s="26"/>
      <c r="DG4" s="20"/>
      <c r="DH4" s="18"/>
      <c r="DI4" s="18"/>
      <c r="DJ4" s="18"/>
      <c r="DK4" s="26"/>
      <c r="DL4" s="18"/>
      <c r="DM4" s="18"/>
      <c r="DN4" s="21"/>
      <c r="DO4" s="21"/>
      <c r="DP4" s="21"/>
      <c r="DQ4" s="130"/>
      <c r="DR4" s="22"/>
    </row>
    <row r="5" spans="1:122" ht="14.25" thickTop="1" thickBot="1" x14ac:dyDescent="0.25">
      <c r="A5" s="393" t="s">
        <v>101</v>
      </c>
      <c r="B5" s="394"/>
      <c r="C5" s="29" t="s">
        <v>128</v>
      </c>
      <c r="D5" s="30" t="s">
        <v>128</v>
      </c>
      <c r="E5" s="30" t="s">
        <v>131</v>
      </c>
      <c r="F5" s="30" t="s">
        <v>131</v>
      </c>
      <c r="G5" s="30" t="s">
        <v>131</v>
      </c>
      <c r="H5" s="31" t="s">
        <v>4</v>
      </c>
      <c r="I5" s="31" t="s">
        <v>4</v>
      </c>
      <c r="J5" s="281" t="s">
        <v>106</v>
      </c>
      <c r="K5" s="395" t="s">
        <v>112</v>
      </c>
      <c r="L5" s="396"/>
      <c r="M5" s="226" t="s">
        <v>112</v>
      </c>
      <c r="N5" s="219" t="s">
        <v>137</v>
      </c>
      <c r="O5" s="162" t="s">
        <v>137</v>
      </c>
      <c r="P5" s="162" t="s">
        <v>138</v>
      </c>
      <c r="Q5" s="162" t="s">
        <v>137</v>
      </c>
      <c r="R5" s="163" t="s">
        <v>138</v>
      </c>
      <c r="S5" s="164" t="s">
        <v>140</v>
      </c>
      <c r="T5" s="162" t="s">
        <v>137</v>
      </c>
      <c r="U5" s="397" t="s">
        <v>0</v>
      </c>
      <c r="V5" s="398"/>
      <c r="W5" s="356" t="s">
        <v>5</v>
      </c>
      <c r="X5" s="165" t="s">
        <v>1</v>
      </c>
      <c r="Y5" s="166" t="s">
        <v>2</v>
      </c>
      <c r="Z5" s="26"/>
      <c r="AA5" s="18"/>
      <c r="AB5" s="18"/>
      <c r="AC5" s="20"/>
      <c r="AD5" s="18"/>
      <c r="AF5" s="27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2"/>
      <c r="BM5" s="135"/>
      <c r="BN5" s="9"/>
      <c r="BO5" s="9"/>
      <c r="BP5" s="9"/>
      <c r="BQ5" s="9"/>
      <c r="BR5" s="9"/>
      <c r="BS5" s="9"/>
      <c r="BT5" s="137"/>
      <c r="BV5" s="27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 t="s">
        <v>262</v>
      </c>
      <c r="CY5" s="21"/>
      <c r="CZ5" s="21"/>
      <c r="DA5" s="21"/>
      <c r="DB5" s="18"/>
      <c r="DC5" s="20"/>
      <c r="DD5" s="18"/>
      <c r="DE5" s="18"/>
      <c r="DF5" s="204">
        <v>1</v>
      </c>
      <c r="DG5" s="205">
        <f>januari!DG5</f>
        <v>44197</v>
      </c>
      <c r="DH5" s="18"/>
      <c r="DI5" s="18"/>
      <c r="DJ5" s="18"/>
      <c r="DK5" s="26"/>
      <c r="DL5" s="299" t="s">
        <v>290</v>
      </c>
      <c r="DM5" s="18"/>
      <c r="DN5" s="21"/>
      <c r="DO5" s="21"/>
      <c r="DP5" s="21"/>
      <c r="DQ5" s="130"/>
      <c r="DR5" s="22"/>
    </row>
    <row r="6" spans="1:122" x14ac:dyDescent="0.2">
      <c r="A6" s="389"/>
      <c r="B6" s="390"/>
      <c r="C6" s="33" t="s">
        <v>129</v>
      </c>
      <c r="D6" s="33" t="s">
        <v>130</v>
      </c>
      <c r="E6" s="33" t="s">
        <v>133</v>
      </c>
      <c r="F6" s="33" t="s">
        <v>134</v>
      </c>
      <c r="G6" s="33" t="s">
        <v>132</v>
      </c>
      <c r="H6" s="34" t="s">
        <v>135</v>
      </c>
      <c r="I6" s="34" t="s">
        <v>136</v>
      </c>
      <c r="J6" s="280"/>
      <c r="K6" s="391" t="s">
        <v>263</v>
      </c>
      <c r="L6" s="392"/>
      <c r="M6" s="227" t="s">
        <v>264</v>
      </c>
      <c r="N6" s="220">
        <v>1</v>
      </c>
      <c r="O6" s="34">
        <v>2</v>
      </c>
      <c r="P6" s="34">
        <v>2</v>
      </c>
      <c r="Q6" s="34">
        <v>3</v>
      </c>
      <c r="R6" s="35">
        <v>3</v>
      </c>
      <c r="S6" s="37" t="s">
        <v>141</v>
      </c>
      <c r="T6" s="34" t="s">
        <v>139</v>
      </c>
      <c r="U6" s="399"/>
      <c r="V6" s="400"/>
      <c r="W6" s="357"/>
      <c r="X6" s="36"/>
      <c r="Y6" s="167"/>
      <c r="Z6" s="38" t="s">
        <v>80</v>
      </c>
      <c r="AA6" s="159" t="s">
        <v>159</v>
      </c>
      <c r="AB6" s="159" t="s">
        <v>156</v>
      </c>
      <c r="AC6" s="39" t="s">
        <v>126</v>
      </c>
      <c r="AD6" s="208"/>
      <c r="AF6" s="40" t="s">
        <v>117</v>
      </c>
      <c r="AG6" s="21"/>
      <c r="AH6" s="41" t="s">
        <v>6</v>
      </c>
      <c r="AI6" s="41" t="s">
        <v>7</v>
      </c>
      <c r="AJ6" s="41" t="s">
        <v>8</v>
      </c>
      <c r="AK6" s="41" t="s">
        <v>9</v>
      </c>
      <c r="AL6" s="41" t="s">
        <v>10</v>
      </c>
      <c r="AM6" s="41" t="s">
        <v>11</v>
      </c>
      <c r="AN6" s="41" t="s">
        <v>12</v>
      </c>
      <c r="AO6" s="41" t="s">
        <v>13</v>
      </c>
      <c r="AP6" s="41" t="s">
        <v>14</v>
      </c>
      <c r="AQ6" s="41" t="s">
        <v>15</v>
      </c>
      <c r="AR6" s="41" t="s">
        <v>16</v>
      </c>
      <c r="AS6" s="41" t="s">
        <v>17</v>
      </c>
      <c r="AT6" s="41" t="s">
        <v>18</v>
      </c>
      <c r="AU6" s="41" t="s">
        <v>19</v>
      </c>
      <c r="AV6" s="41" t="s">
        <v>20</v>
      </c>
      <c r="AW6" s="41" t="s">
        <v>21</v>
      </c>
      <c r="AX6" s="41" t="s">
        <v>22</v>
      </c>
      <c r="AY6" s="41" t="s">
        <v>23</v>
      </c>
      <c r="AZ6" s="41" t="s">
        <v>24</v>
      </c>
      <c r="BA6" s="41" t="s">
        <v>25</v>
      </c>
      <c r="BB6" s="41" t="s">
        <v>26</v>
      </c>
      <c r="BC6" s="41" t="s">
        <v>27</v>
      </c>
      <c r="BD6" s="41" t="s">
        <v>28</v>
      </c>
      <c r="BE6" s="41" t="s">
        <v>29</v>
      </c>
      <c r="BF6" s="41" t="s">
        <v>30</v>
      </c>
      <c r="BG6" s="41" t="s">
        <v>31</v>
      </c>
      <c r="BH6" s="41" t="s">
        <v>32</v>
      </c>
      <c r="BI6" s="41" t="s">
        <v>33</v>
      </c>
      <c r="BJ6" s="41" t="s">
        <v>34</v>
      </c>
      <c r="BK6" s="42" t="s">
        <v>35</v>
      </c>
      <c r="BM6" s="43" t="s">
        <v>43</v>
      </c>
      <c r="BN6" s="44" t="s">
        <v>43</v>
      </c>
      <c r="BO6" s="43" t="s">
        <v>44</v>
      </c>
      <c r="BP6" s="44" t="s">
        <v>44</v>
      </c>
      <c r="BQ6" s="43" t="s">
        <v>85</v>
      </c>
      <c r="BR6" s="44" t="s">
        <v>85</v>
      </c>
      <c r="BS6" s="43" t="s">
        <v>83</v>
      </c>
      <c r="BT6" s="44" t="s">
        <v>83</v>
      </c>
      <c r="BU6" s="18"/>
      <c r="BV6" s="27" t="s">
        <v>272</v>
      </c>
      <c r="BW6" s="21"/>
      <c r="BX6" s="21"/>
      <c r="BY6" s="21"/>
      <c r="BZ6" s="45" t="s">
        <v>101</v>
      </c>
      <c r="CA6" s="46" t="s">
        <v>102</v>
      </c>
      <c r="CB6" s="46" t="s">
        <v>104</v>
      </c>
      <c r="CC6" s="47" t="s">
        <v>92</v>
      </c>
      <c r="CD6" s="48" t="s">
        <v>91</v>
      </c>
      <c r="CE6" s="173" t="s">
        <v>93</v>
      </c>
      <c r="CF6" s="47" t="s">
        <v>94</v>
      </c>
      <c r="CG6" s="49" t="s">
        <v>95</v>
      </c>
      <c r="CH6" s="50" t="s">
        <v>96</v>
      </c>
      <c r="CI6" s="51" t="s">
        <v>100</v>
      </c>
      <c r="CJ6" s="52" t="s">
        <v>97</v>
      </c>
      <c r="CK6" s="53" t="s">
        <v>98</v>
      </c>
      <c r="CL6" s="47" t="s">
        <v>99</v>
      </c>
      <c r="CM6" s="54" t="s">
        <v>154</v>
      </c>
      <c r="CN6" s="55" t="s">
        <v>155</v>
      </c>
      <c r="CO6" s="54" t="s">
        <v>242</v>
      </c>
      <c r="CP6" s="55" t="s">
        <v>243</v>
      </c>
      <c r="CQ6" s="49" t="s">
        <v>265</v>
      </c>
      <c r="CR6" s="50" t="s">
        <v>108</v>
      </c>
      <c r="CS6" s="327" t="s">
        <v>301</v>
      </c>
      <c r="CT6" s="50" t="s">
        <v>82</v>
      </c>
      <c r="CU6" s="333" t="s">
        <v>109</v>
      </c>
      <c r="CV6" s="54" t="s">
        <v>109</v>
      </c>
      <c r="CW6" s="327" t="s">
        <v>295</v>
      </c>
      <c r="CX6" s="327" t="s">
        <v>110</v>
      </c>
      <c r="CY6" s="48" t="s">
        <v>111</v>
      </c>
      <c r="CZ6" s="55" t="s">
        <v>110</v>
      </c>
      <c r="DA6" s="56" t="s">
        <v>113</v>
      </c>
      <c r="DB6" s="57" t="s">
        <v>116</v>
      </c>
      <c r="DC6" s="58"/>
      <c r="DD6" s="18"/>
      <c r="DE6" s="18"/>
      <c r="DF6" s="204">
        <v>2</v>
      </c>
      <c r="DG6" s="205">
        <f>januari!DG6</f>
        <v>44291</v>
      </c>
      <c r="DH6" s="18"/>
      <c r="DI6" s="18"/>
      <c r="DJ6" s="18"/>
      <c r="DK6" s="27"/>
      <c r="DL6" s="181" t="s">
        <v>4</v>
      </c>
      <c r="DM6" s="18" t="s">
        <v>81</v>
      </c>
      <c r="DN6" s="18" t="s">
        <v>82</v>
      </c>
      <c r="DO6" s="18" t="s">
        <v>82</v>
      </c>
      <c r="DP6" s="18" t="s">
        <v>54</v>
      </c>
      <c r="DQ6" s="18" t="s">
        <v>164</v>
      </c>
      <c r="DR6" s="22"/>
    </row>
    <row r="7" spans="1:122" ht="15.75" thickBot="1" x14ac:dyDescent="0.3">
      <c r="A7" s="198"/>
      <c r="B7" s="199"/>
      <c r="C7" s="200" t="s">
        <v>103</v>
      </c>
      <c r="D7" s="201" t="s">
        <v>105</v>
      </c>
      <c r="E7" s="202"/>
      <c r="F7" s="202"/>
      <c r="G7" s="202"/>
      <c r="H7" s="275"/>
      <c r="I7" s="279"/>
      <c r="J7" s="222" t="s">
        <v>127</v>
      </c>
      <c r="K7" s="223"/>
      <c r="L7" s="224"/>
      <c r="M7" s="225"/>
      <c r="N7" s="221"/>
      <c r="O7" s="61"/>
      <c r="P7" s="62"/>
      <c r="Q7" s="61"/>
      <c r="R7" s="63"/>
      <c r="S7" s="64"/>
      <c r="T7" s="60"/>
      <c r="U7" s="423"/>
      <c r="V7" s="424"/>
      <c r="W7" s="358"/>
      <c r="X7" s="64"/>
      <c r="Y7" s="168"/>
      <c r="Z7" s="38"/>
      <c r="AA7" s="159"/>
      <c r="AB7" s="159"/>
      <c r="AC7" s="39"/>
      <c r="AD7" s="208"/>
      <c r="AF7" s="40" t="s">
        <v>118</v>
      </c>
      <c r="AG7" s="21"/>
      <c r="AH7" s="41">
        <v>1</v>
      </c>
      <c r="AI7" s="41">
        <v>2</v>
      </c>
      <c r="AJ7" s="41">
        <v>3</v>
      </c>
      <c r="AK7" s="41">
        <v>4</v>
      </c>
      <c r="AL7" s="41">
        <v>5</v>
      </c>
      <c r="AM7" s="41">
        <v>6</v>
      </c>
      <c r="AN7" s="41">
        <v>7</v>
      </c>
      <c r="AO7" s="41">
        <v>8</v>
      </c>
      <c r="AP7" s="41">
        <v>9</v>
      </c>
      <c r="AQ7" s="41">
        <v>10</v>
      </c>
      <c r="AR7" s="41">
        <v>11</v>
      </c>
      <c r="AS7" s="41">
        <v>12</v>
      </c>
      <c r="AT7" s="41">
        <v>13</v>
      </c>
      <c r="AU7" s="41">
        <v>14</v>
      </c>
      <c r="AV7" s="41">
        <v>15</v>
      </c>
      <c r="AW7" s="41">
        <v>16</v>
      </c>
      <c r="AX7" s="41">
        <v>17</v>
      </c>
      <c r="AY7" s="41">
        <v>18</v>
      </c>
      <c r="AZ7" s="41">
        <v>19</v>
      </c>
      <c r="BA7" s="41">
        <v>20</v>
      </c>
      <c r="BB7" s="41">
        <v>21</v>
      </c>
      <c r="BC7" s="41">
        <v>22</v>
      </c>
      <c r="BD7" s="41">
        <v>23</v>
      </c>
      <c r="BE7" s="41">
        <v>24</v>
      </c>
      <c r="BF7" s="41">
        <v>25</v>
      </c>
      <c r="BG7" s="41">
        <v>26</v>
      </c>
      <c r="BH7" s="41">
        <v>27</v>
      </c>
      <c r="BI7" s="41">
        <v>28</v>
      </c>
      <c r="BJ7" s="41">
        <v>29</v>
      </c>
      <c r="BK7" s="42">
        <v>30</v>
      </c>
      <c r="BM7" s="65" t="s">
        <v>135</v>
      </c>
      <c r="BN7" s="66" t="s">
        <v>136</v>
      </c>
      <c r="BO7" s="65" t="s">
        <v>135</v>
      </c>
      <c r="BP7" s="66" t="s">
        <v>136</v>
      </c>
      <c r="BQ7" s="65" t="s">
        <v>135</v>
      </c>
      <c r="BR7" s="66" t="s">
        <v>136</v>
      </c>
      <c r="BS7" s="65" t="s">
        <v>135</v>
      </c>
      <c r="BT7" s="66" t="s">
        <v>136</v>
      </c>
      <c r="BU7" s="18"/>
      <c r="BV7" s="27" t="s">
        <v>270</v>
      </c>
      <c r="BW7" s="255">
        <v>2.0833333333333332E-2</v>
      </c>
      <c r="BX7" s="253"/>
      <c r="BY7" s="21"/>
      <c r="BZ7" s="59"/>
      <c r="CA7" s="59"/>
      <c r="CB7" s="59"/>
      <c r="CC7" s="67" t="s">
        <v>240</v>
      </c>
      <c r="CD7" s="67" t="s">
        <v>240</v>
      </c>
      <c r="CE7" s="68"/>
      <c r="CF7" s="69"/>
      <c r="CG7" s="70" t="s">
        <v>107</v>
      </c>
      <c r="CH7" s="70" t="s">
        <v>107</v>
      </c>
      <c r="CI7" s="70" t="s">
        <v>107</v>
      </c>
      <c r="CJ7" s="71"/>
      <c r="CK7" s="72"/>
      <c r="CL7" s="69"/>
      <c r="CM7" s="70"/>
      <c r="CN7" s="74"/>
      <c r="CO7" s="119"/>
      <c r="CP7" s="119"/>
      <c r="CQ7" s="70"/>
      <c r="CR7" s="73"/>
      <c r="CS7" s="73"/>
      <c r="CT7" s="73"/>
      <c r="CU7" s="74"/>
      <c r="CV7" s="70"/>
      <c r="CW7" s="73"/>
      <c r="CX7" s="73"/>
      <c r="CY7" s="73"/>
      <c r="CZ7" s="74"/>
      <c r="DA7" s="75"/>
      <c r="DB7" s="76"/>
      <c r="DC7" s="58"/>
      <c r="DD7" s="18"/>
      <c r="DE7" s="18"/>
      <c r="DF7" s="204">
        <v>3</v>
      </c>
      <c r="DG7" s="205">
        <f>januari!DG7</f>
        <v>44317</v>
      </c>
      <c r="DH7" s="18"/>
      <c r="DI7" s="18"/>
      <c r="DJ7" s="18"/>
      <c r="DK7" s="77"/>
      <c r="DL7" s="32"/>
      <c r="DM7" s="32"/>
      <c r="DN7" s="32" t="s">
        <v>238</v>
      </c>
      <c r="DO7" s="32" t="s">
        <v>239</v>
      </c>
      <c r="DP7" s="32"/>
      <c r="DQ7" s="177"/>
      <c r="DR7" s="79"/>
    </row>
    <row r="8" spans="1:122" ht="15" x14ac:dyDescent="0.25">
      <c r="A8" s="320">
        <f t="shared" ref="A8:A35" si="0">DAY(Z8)</f>
        <v>1</v>
      </c>
      <c r="B8" s="321">
        <f t="shared" ref="B8:B35" si="1">Z8</f>
        <v>44531</v>
      </c>
      <c r="C8" s="232"/>
      <c r="D8" s="233"/>
      <c r="E8" s="233"/>
      <c r="F8" s="233"/>
      <c r="G8" s="277"/>
      <c r="H8" s="304" t="str">
        <f>IF(AC8=0,21,IF(AC8=1,1,IF(AD8=2,2,IF(VLOOKUP($AC8,$B$42:$D$46,3)=1,$E$40,""))))</f>
        <v/>
      </c>
      <c r="I8" s="274" t="str">
        <f>IF(H8="",IF(VLOOKUP($AC8,$B$42:$D$46,3)=2,$E$40,""),"")</f>
        <v/>
      </c>
      <c r="J8" s="308">
        <f t="shared" ref="J8:J38" si="2">CU8</f>
        <v>0</v>
      </c>
      <c r="K8" s="309" t="str">
        <f t="shared" ref="K8:L38" si="3">CY8</f>
        <v>+</v>
      </c>
      <c r="L8" s="310">
        <f t="shared" si="3"/>
        <v>0.11666666733336567</v>
      </c>
      <c r="M8" s="311">
        <f>800/0.333333333*CX8/100</f>
        <v>2.8000000188007759</v>
      </c>
      <c r="N8" s="234"/>
      <c r="O8" s="235"/>
      <c r="P8" s="236"/>
      <c r="Q8" s="235"/>
      <c r="R8" s="237"/>
      <c r="S8" s="238">
        <v>1</v>
      </c>
      <c r="T8" s="213"/>
      <c r="U8" s="383" t="str">
        <f>IF(TRIM(T8)="","",IF(Werklijst_nr=1,INDEX([1]Werklijst!$D$16:$D$2000,MATCH(TRIM(T8),[1]Werklijst!$A$16:$A$1000,0)),INDEX('[2] Werklijst ES'!$B$7:$B$2000,MATCH(TRIM(T8),'[2] Werklijst ES'!$A$7:$A$2000,0))))</f>
        <v/>
      </c>
      <c r="V8" s="384"/>
      <c r="W8" s="359" t="str">
        <f>IF(TRIM(T8)="","",IF(Werklijst_nr=1,INDEX([1]Werklijst!$K$16:$K$2000,MATCH(TRIM(T8),[1]Werklijst!$A$16:$A$2000,0)),INDEX('[2] Werklijst ES'!$B$7:$B$2000,MATCH(TRIM(T8),'[2] Werklijst ES'!$A$7:$A$2000,0))))</f>
        <v/>
      </c>
      <c r="X8" s="377">
        <f>AG$52</f>
        <v>0</v>
      </c>
      <c r="Y8" s="378" t="e">
        <f>AG$49</f>
        <v>#DIV/0!</v>
      </c>
      <c r="Z8" s="80">
        <f>$O$1</f>
        <v>44531</v>
      </c>
      <c r="AA8" s="160">
        <f t="shared" ref="AA8:AA35" si="4">Z8</f>
        <v>44531</v>
      </c>
      <c r="AB8" s="160">
        <f t="shared" ref="AB8:AB38" si="5">MONTH(Z8)</f>
        <v>12</v>
      </c>
      <c r="AC8" s="81">
        <f t="shared" ref="AC8:AC38" si="6">MOD(Z8,7)</f>
        <v>4</v>
      </c>
      <c r="AD8" s="160">
        <f t="shared" ref="AD8:AD38" si="7">IF(OR(Z8=DG$5,Z8=DG$6,Z8=DG$7,Z8=DG$8,Z8=DG$9,Z8=DG$10,Z8=DG$11,Z8=DG$12,Z8=DG$13,Z8=DG$14,Z8=DG$15,Z8=DG$16,Z8=DG$17),2,0)</f>
        <v>0</v>
      </c>
      <c r="AF8" s="40" t="s">
        <v>119</v>
      </c>
      <c r="AG8" s="21"/>
      <c r="AH8" s="82">
        <f t="shared" ref="AH8:AQ17" si="8">IF($N8=AH$7,$DB8,IF($O8=AH$7,$P8,IF($Q8=AH$7,$R8,0)))</f>
        <v>0</v>
      </c>
      <c r="AI8" s="82">
        <f t="shared" si="8"/>
        <v>0</v>
      </c>
      <c r="AJ8" s="82">
        <f t="shared" si="8"/>
        <v>0</v>
      </c>
      <c r="AK8" s="82">
        <f t="shared" si="8"/>
        <v>0</v>
      </c>
      <c r="AL8" s="82">
        <f t="shared" si="8"/>
        <v>0</v>
      </c>
      <c r="AM8" s="82">
        <f t="shared" si="8"/>
        <v>0</v>
      </c>
      <c r="AN8" s="82">
        <f t="shared" si="8"/>
        <v>0</v>
      </c>
      <c r="AO8" s="82">
        <f t="shared" si="8"/>
        <v>0</v>
      </c>
      <c r="AP8" s="82">
        <f t="shared" si="8"/>
        <v>0</v>
      </c>
      <c r="AQ8" s="82">
        <f t="shared" si="8"/>
        <v>0</v>
      </c>
      <c r="AR8" s="82">
        <f t="shared" ref="AR8:BA17" si="9">IF($N8=AR$7,$DB8,IF($O8=AR$7,$P8,IF($Q8=AR$7,$R8,0)))</f>
        <v>0</v>
      </c>
      <c r="AS8" s="82">
        <f t="shared" si="9"/>
        <v>0</v>
      </c>
      <c r="AT8" s="82">
        <f t="shared" si="9"/>
        <v>0</v>
      </c>
      <c r="AU8" s="82">
        <f t="shared" si="9"/>
        <v>0</v>
      </c>
      <c r="AV8" s="82">
        <f t="shared" si="9"/>
        <v>0</v>
      </c>
      <c r="AW8" s="82">
        <f t="shared" si="9"/>
        <v>0</v>
      </c>
      <c r="AX8" s="82">
        <f t="shared" si="9"/>
        <v>0</v>
      </c>
      <c r="AY8" s="82">
        <f t="shared" si="9"/>
        <v>0</v>
      </c>
      <c r="AZ8" s="82">
        <f t="shared" si="9"/>
        <v>0</v>
      </c>
      <c r="BA8" s="82">
        <f t="shared" si="9"/>
        <v>0</v>
      </c>
      <c r="BB8" s="82">
        <f t="shared" ref="BB8:BK17" si="10">IF($N8=BB$7,$DB8,IF($O8=BB$7,$P8,IF($Q8=BB$7,$R8,0)))</f>
        <v>0</v>
      </c>
      <c r="BC8" s="82">
        <f t="shared" si="10"/>
        <v>0</v>
      </c>
      <c r="BD8" s="82">
        <f t="shared" si="10"/>
        <v>0</v>
      </c>
      <c r="BE8" s="82">
        <f t="shared" si="10"/>
        <v>0</v>
      </c>
      <c r="BF8" s="82">
        <f t="shared" si="10"/>
        <v>0</v>
      </c>
      <c r="BG8" s="82">
        <f t="shared" si="10"/>
        <v>0</v>
      </c>
      <c r="BH8" s="82">
        <f t="shared" si="10"/>
        <v>0</v>
      </c>
      <c r="BI8" s="82">
        <f t="shared" si="10"/>
        <v>0</v>
      </c>
      <c r="BJ8" s="82">
        <f t="shared" si="10"/>
        <v>0</v>
      </c>
      <c r="BK8" s="83">
        <f t="shared" si="10"/>
        <v>0</v>
      </c>
      <c r="BM8" s="187">
        <f>IF(AND($H8=7,$CC8=$BW$19),1,IF(AND($H8=7,$CC8=$BW$20),0.5,0))</f>
        <v>0</v>
      </c>
      <c r="BN8" s="188">
        <f>IF(AND($I8=7,$CD8=$BW$19),1,IF(AND($I8=7,$CD8=$BW$20),0.5,0))</f>
        <v>0</v>
      </c>
      <c r="BO8" s="187">
        <f t="shared" ref="BO8:BO38" si="11">IF(AND($H8=30,$CC8=$BW$19),1,IF(AND($H8=30,$CC8=$BW$20),0.5,0))</f>
        <v>0</v>
      </c>
      <c r="BP8" s="188">
        <f t="shared" ref="BP8:BP38" si="12">IF(AND($I8=30,$CD8=$BW$19),1,IF(AND($I8=30,$CD8=$BW$20),0.5,0))</f>
        <v>0</v>
      </c>
      <c r="BQ8" s="189">
        <f t="shared" ref="BQ8:BQ38" si="13">CM8</f>
        <v>0</v>
      </c>
      <c r="BR8" s="190">
        <f t="shared" ref="BR8:BR38" si="14">CN8</f>
        <v>0</v>
      </c>
      <c r="BS8" s="189">
        <f t="shared" ref="BS8:BS38" si="15">CO8</f>
        <v>0</v>
      </c>
      <c r="BT8" s="194">
        <f t="shared" ref="BT8:BT38" si="16">CP8</f>
        <v>0</v>
      </c>
      <c r="BU8" s="18"/>
      <c r="BV8" s="27" t="s">
        <v>269</v>
      </c>
      <c r="BW8" s="255">
        <v>0.29166666666666669</v>
      </c>
      <c r="BX8" s="253"/>
      <c r="BY8" s="21"/>
      <c r="BZ8" s="86">
        <f>A8</f>
        <v>1</v>
      </c>
      <c r="CA8" s="87" t="str">
        <f t="shared" ref="CA8:CA38" si="17">IF(TRIM(C8)="","",IF(C8&lt;$BW$8,$BW$8,C8))</f>
        <v/>
      </c>
      <c r="CB8" s="87" t="str">
        <f>IF(TRIM(D8)="","",IF(D8&gt;$BW$16,$BW$16,D8))</f>
        <v/>
      </c>
      <c r="CC8" s="88" t="str">
        <f t="shared" ref="CC8:CC38" si="18">IF(TRIM(H8)="","",IF(AND(TRIM(C8)="",TRIM(I8)=""),VLOOKUP(H8,$DL$8:$DO$71,3,FALSE),VLOOKUP(H8,$DL$8:$DO$71,4,FALSE)))</f>
        <v/>
      </c>
      <c r="CD8" s="88" t="str">
        <f t="shared" ref="CD8:CD38" si="19">IF(TRIM(I8)="","",IF(AND(TRIM(C8)="",TRIM(H8)=""),VLOOKUP(I8,$DL$8:$DO$71,3,FALSE),VLOOKUP(I8,$DL$8:$DO$71,4,FALSE)))</f>
        <v/>
      </c>
      <c r="CE8" s="89">
        <f t="shared" ref="CE8:CE38" si="20">IF(OR(H8=201,I8=201),"8:00"-CQ8,IF(OR(H8=202,I8=202),"4:00"-CQ8,0))</f>
        <v>0</v>
      </c>
      <c r="CF8" s="90">
        <f>SUM(CC8:CE8)</f>
        <v>0</v>
      </c>
      <c r="CG8" s="91">
        <f>IF(TRIM(E8)="",0,(G8-E8))</f>
        <v>0</v>
      </c>
      <c r="CH8" s="87">
        <f>IF(TRIM(F8)="",0,F8)</f>
        <v>0</v>
      </c>
      <c r="CI8" s="92">
        <f>IF(AND(CC8="",CD8=""),IF(AND(CG8+CH8&gt;=0,CG8+CH8&lt;=$BW$7),$BW$7,CG8+CH8),0)</f>
        <v>2.0833333333333332E-2</v>
      </c>
      <c r="CJ8" s="93">
        <f>IF(AND(CA8&lt;$BW$11,CA8&gt;=$BW$10),($BW$11-CA8),0)</f>
        <v>0</v>
      </c>
      <c r="CK8" s="89">
        <f>IF(AND(CB8&lt;$BW$13,CB8&gt;$BW$12),(CB8-$BW$12),0)</f>
        <v>0</v>
      </c>
      <c r="CL8" s="90">
        <f>SUM(CJ8:CK8)</f>
        <v>0</v>
      </c>
      <c r="CM8" s="185">
        <f>IF(AND(TRIM(C8)="",TRIM(I8)="",H8=22),1,IF(AND(H8=22,(OR(TRIM(C8)&lt;&gt;"",TRIM(I8)&lt;&gt;""))),0.5,0))</f>
        <v>0</v>
      </c>
      <c r="CN8" s="185">
        <f>IF(AND(TRIM(C8)="",TRIM(H8)="",I8=22),1,IF(AND(I8=22,(OR(TRIM(C8)&lt;&gt;"",TRIM(H8)&lt;&gt;""))),0.5,0))</f>
        <v>0</v>
      </c>
      <c r="CO8" s="185">
        <f>IF(AND(TRIM(C8)="",TRIM(I8)="",H8=27),1,IF(AND(H8=27,(OR(TRIM(C8)&lt;&gt;"",TRIM(I8)&lt;&gt;""))),0.5,0))</f>
        <v>0</v>
      </c>
      <c r="CP8" s="185">
        <f>IF(AND(TRIM(C8)="",TRIM(H8)="",I8=27),1,IF(AND(I8=27,(OR(TRIM(C8)&lt;&gt;"",TRIM(H8)&lt;&gt;""))),0.5,0))</f>
        <v>0</v>
      </c>
      <c r="CQ8" s="91" t="str">
        <f t="shared" ref="CQ8:CQ38" si="21">IF(CA8="","",CB8-CA8-CL8)</f>
        <v/>
      </c>
      <c r="CR8" s="87">
        <f t="shared" ref="CR8:CR38" si="22">IF(CA8="",0,IF(OR(H8=97,I8=97),$BW$7,IF(OR(TRIM(H8)&lt;&gt;"",TRIM(I8)&lt;&gt;""),0,IF(CI8&lt;$BW$7,$BW$7,CI8))))</f>
        <v>0</v>
      </c>
      <c r="CS8" s="87">
        <f t="shared" ref="CS8:CS38" si="23">IF(CQ8="",0,IF(CF8=0,IF((CQ8-CR8)&lt;$BW$9,(CQ8-CR8),$BW$9),IF((CQ8-CR8)&lt;$BW$14,(CQ8-CR8),$BW$14)))</f>
        <v>0</v>
      </c>
      <c r="CT8" s="87">
        <f>CF8</f>
        <v>0</v>
      </c>
      <c r="CU8" s="92">
        <f t="shared" ref="CU8:CU38" si="24">IF(CF8=0,CS8,MIN(CT8+CS8,0.375))</f>
        <v>0</v>
      </c>
      <c r="CV8" s="326">
        <f>CU8</f>
        <v>0</v>
      </c>
      <c r="CW8" s="328">
        <f t="shared" ref="CW8:CW38" si="25">IF(CV8=0,0,CV8-IF(Arbeidsstelsel=4,$BW$17,$BW$18))</f>
        <v>0</v>
      </c>
      <c r="CX8" s="330">
        <f t="shared" ref="CX8" si="26">IF(OR($CM8=1,$CN8=1,$CO8=1,$CP8=1),$CW$3-IF(Arbeidsstelsel=4,$BX$29,$BX$26),$CW$3+$CW8)</f>
        <v>0.11666666733336567</v>
      </c>
      <c r="CY8" s="94" t="str">
        <f>IF((CX8)&gt;0,"+","-")</f>
        <v>+</v>
      </c>
      <c r="CZ8" s="95">
        <f>ABS(CX8)</f>
        <v>0.11666666733336567</v>
      </c>
      <c r="DA8" s="96">
        <f t="shared" ref="DA8:DA38" si="27">IF(AND(CA8="",CB8=""),0,CV8)</f>
        <v>0</v>
      </c>
      <c r="DB8" s="215">
        <f t="shared" ref="DB8:DB38" si="28">CS8-P8-R8</f>
        <v>0</v>
      </c>
      <c r="DC8" s="58"/>
      <c r="DD8" s="18"/>
      <c r="DE8" s="18"/>
      <c r="DF8" s="204">
        <v>4</v>
      </c>
      <c r="DG8" s="205">
        <f>januari!DG8</f>
        <v>44329</v>
      </c>
      <c r="DH8" s="18"/>
      <c r="DI8" s="18"/>
      <c r="DJ8" s="18"/>
      <c r="DK8" s="27"/>
      <c r="DL8" s="182"/>
      <c r="DM8" s="97"/>
      <c r="DN8" s="98"/>
      <c r="DO8" s="171"/>
      <c r="DP8" s="99"/>
      <c r="DQ8" s="178"/>
      <c r="DR8" s="22"/>
    </row>
    <row r="9" spans="1:122" ht="15" x14ac:dyDescent="0.25">
      <c r="A9" s="322">
        <f t="shared" si="0"/>
        <v>2</v>
      </c>
      <c r="B9" s="323">
        <f t="shared" si="1"/>
        <v>44532</v>
      </c>
      <c r="C9" s="239"/>
      <c r="D9" s="240"/>
      <c r="E9" s="240"/>
      <c r="F9" s="240"/>
      <c r="G9" s="278"/>
      <c r="H9" s="305" t="str">
        <f t="shared" ref="H9:H38" si="29">IF(AC9=0,21,IF(AC9=1,1,IF(AD9=2,2,IF(VLOOKUP($AC9,$B$42:$D$46,3)=1,$E$40,""))))</f>
        <v/>
      </c>
      <c r="I9" s="273" t="str">
        <f t="shared" ref="I9:I38" si="30">IF(H9="",IF(VLOOKUP($AC9,$B$42:$D$46,3)=2,$E$40,""),"")</f>
        <v/>
      </c>
      <c r="J9" s="312">
        <f t="shared" si="2"/>
        <v>0</v>
      </c>
      <c r="K9" s="313" t="str">
        <f t="shared" si="3"/>
        <v>+</v>
      </c>
      <c r="L9" s="314">
        <f t="shared" si="3"/>
        <v>0.11666666733336567</v>
      </c>
      <c r="M9" s="315">
        <f t="shared" ref="M9:M38" si="31">800/0.333333333*CX9/100</f>
        <v>2.8000000188007759</v>
      </c>
      <c r="N9" s="242"/>
      <c r="O9" s="241"/>
      <c r="P9" s="240"/>
      <c r="Q9" s="241"/>
      <c r="R9" s="243"/>
      <c r="S9" s="231">
        <v>2</v>
      </c>
      <c r="T9" s="213"/>
      <c r="U9" s="383" t="str">
        <f>IF(TRIM(T9)="","",IF(Werklijst_nr=1,INDEX([1]Werklijst!$D$16:$D$2000,MATCH(TRIM(T9),[1]Werklijst!$A$16:$A$1000,0)),INDEX('[2] Werklijst ES'!$B$7:$B$2000,MATCH(TRIM(T9),'[2] Werklijst ES'!$A$7:$A$2000,0))))</f>
        <v/>
      </c>
      <c r="V9" s="384"/>
      <c r="W9" s="359" t="str">
        <f>IF(TRIM(T9)="","",IF(Werklijst_nr=1,INDEX([1]Werklijst!$K$16:$K$2000,MATCH(TRIM(T9),[1]Werklijst!$A$16:$A$2000,0)),INDEX('[2] Werklijst ES'!$B$7:$B$2000,MATCH(TRIM(T9),'[2] Werklijst ES'!$A$7:$A$2000,0))))</f>
        <v/>
      </c>
      <c r="X9" s="377">
        <f>AH$52</f>
        <v>0</v>
      </c>
      <c r="Y9" s="378" t="e">
        <f>AH$49</f>
        <v>#DIV/0!</v>
      </c>
      <c r="Z9" s="80">
        <f t="shared" ref="Z9:Z38" si="32">Z8+1</f>
        <v>44532</v>
      </c>
      <c r="AA9" s="160">
        <f t="shared" si="4"/>
        <v>44532</v>
      </c>
      <c r="AB9" s="160">
        <f t="shared" si="5"/>
        <v>12</v>
      </c>
      <c r="AC9" s="81">
        <f t="shared" si="6"/>
        <v>5</v>
      </c>
      <c r="AD9" s="160">
        <f t="shared" si="7"/>
        <v>0</v>
      </c>
      <c r="AF9" s="27" t="s">
        <v>119</v>
      </c>
      <c r="AG9" s="100"/>
      <c r="AH9" s="82">
        <f t="shared" si="8"/>
        <v>0</v>
      </c>
      <c r="AI9" s="82">
        <f t="shared" si="8"/>
        <v>0</v>
      </c>
      <c r="AJ9" s="82">
        <f t="shared" si="8"/>
        <v>0</v>
      </c>
      <c r="AK9" s="82">
        <f t="shared" si="8"/>
        <v>0</v>
      </c>
      <c r="AL9" s="82">
        <f t="shared" si="8"/>
        <v>0</v>
      </c>
      <c r="AM9" s="82">
        <f t="shared" si="8"/>
        <v>0</v>
      </c>
      <c r="AN9" s="82">
        <f t="shared" si="8"/>
        <v>0</v>
      </c>
      <c r="AO9" s="82">
        <f t="shared" si="8"/>
        <v>0</v>
      </c>
      <c r="AP9" s="82">
        <f t="shared" si="8"/>
        <v>0</v>
      </c>
      <c r="AQ9" s="82">
        <f t="shared" si="8"/>
        <v>0</v>
      </c>
      <c r="AR9" s="82">
        <f t="shared" si="9"/>
        <v>0</v>
      </c>
      <c r="AS9" s="82">
        <f t="shared" si="9"/>
        <v>0</v>
      </c>
      <c r="AT9" s="82">
        <f t="shared" si="9"/>
        <v>0</v>
      </c>
      <c r="AU9" s="82">
        <f t="shared" si="9"/>
        <v>0</v>
      </c>
      <c r="AV9" s="82">
        <f t="shared" si="9"/>
        <v>0</v>
      </c>
      <c r="AW9" s="82">
        <f t="shared" si="9"/>
        <v>0</v>
      </c>
      <c r="AX9" s="82">
        <f t="shared" si="9"/>
        <v>0</v>
      </c>
      <c r="AY9" s="82">
        <f t="shared" si="9"/>
        <v>0</v>
      </c>
      <c r="AZ9" s="82">
        <f t="shared" si="9"/>
        <v>0</v>
      </c>
      <c r="BA9" s="82">
        <f t="shared" si="9"/>
        <v>0</v>
      </c>
      <c r="BB9" s="82">
        <f t="shared" si="10"/>
        <v>0</v>
      </c>
      <c r="BC9" s="82">
        <f t="shared" si="10"/>
        <v>0</v>
      </c>
      <c r="BD9" s="82">
        <f t="shared" si="10"/>
        <v>0</v>
      </c>
      <c r="BE9" s="82">
        <f t="shared" si="10"/>
        <v>0</v>
      </c>
      <c r="BF9" s="82">
        <f t="shared" si="10"/>
        <v>0</v>
      </c>
      <c r="BG9" s="82">
        <f t="shared" si="10"/>
        <v>0</v>
      </c>
      <c r="BH9" s="82">
        <f t="shared" si="10"/>
        <v>0</v>
      </c>
      <c r="BI9" s="82">
        <f t="shared" si="10"/>
        <v>0</v>
      </c>
      <c r="BJ9" s="82">
        <f t="shared" si="10"/>
        <v>0</v>
      </c>
      <c r="BK9" s="83">
        <f t="shared" si="10"/>
        <v>0</v>
      </c>
      <c r="BM9" s="84">
        <f t="shared" ref="BM9:BM38" si="33">IF(AND(H9=7,CC9=$BW$19),1,IF(AND(H9=7,CC9=$BW$20),0.5,0))</f>
        <v>0</v>
      </c>
      <c r="BN9" s="85">
        <f t="shared" ref="BN9:BN38" si="34">IF(AND(I9=7,CD9=$BW$19),1,IF(AND(I9=7,CD9=$BW$20),0.5,0))</f>
        <v>0</v>
      </c>
      <c r="BO9" s="84">
        <f t="shared" si="11"/>
        <v>0</v>
      </c>
      <c r="BP9" s="85">
        <f t="shared" si="12"/>
        <v>0</v>
      </c>
      <c r="BQ9" s="186">
        <f t="shared" si="13"/>
        <v>0</v>
      </c>
      <c r="BR9" s="191">
        <f t="shared" si="14"/>
        <v>0</v>
      </c>
      <c r="BS9" s="186">
        <f t="shared" si="15"/>
        <v>0</v>
      </c>
      <c r="BT9" s="195">
        <f t="shared" si="16"/>
        <v>0</v>
      </c>
      <c r="BU9" s="18"/>
      <c r="BV9" s="27" t="s">
        <v>268</v>
      </c>
      <c r="BW9" s="255">
        <v>0.375</v>
      </c>
      <c r="BX9" s="329">
        <f>BW9/2</f>
        <v>0.1875</v>
      </c>
      <c r="BY9" s="21"/>
      <c r="BZ9" s="86">
        <f t="shared" ref="BZ9:BZ38" si="35">A9</f>
        <v>2</v>
      </c>
      <c r="CA9" s="87" t="str">
        <f t="shared" si="17"/>
        <v/>
      </c>
      <c r="CB9" s="87" t="str">
        <f t="shared" ref="CB9:CB38" si="36">IF(TRIM(D9)="","",IF(D9&gt;$BW$16,$BW$16,D9))</f>
        <v/>
      </c>
      <c r="CC9" s="88" t="str">
        <f t="shared" si="18"/>
        <v/>
      </c>
      <c r="CD9" s="88" t="str">
        <f t="shared" si="19"/>
        <v/>
      </c>
      <c r="CE9" s="89">
        <f t="shared" si="20"/>
        <v>0</v>
      </c>
      <c r="CF9" s="90">
        <f t="shared" ref="CF9:CF38" si="37">SUM(CC9:CE9)</f>
        <v>0</v>
      </c>
      <c r="CG9" s="91">
        <f t="shared" ref="CG9:CG38" si="38">IF(TRIM(E9)="",0,(G9-E9))</f>
        <v>0</v>
      </c>
      <c r="CH9" s="87">
        <f t="shared" ref="CH9:CH38" si="39">IF(TRIM(F9)="",0,F9)</f>
        <v>0</v>
      </c>
      <c r="CI9" s="92">
        <f t="shared" ref="CI9:CI38" si="40">IF(AND(CC9="",CD9=""),IF(AND(CG9+CH9&gt;=0,CG9+CH9&lt;=$BW$7),$BW$7,CG9+CH9),0)</f>
        <v>2.0833333333333332E-2</v>
      </c>
      <c r="CJ9" s="93">
        <f t="shared" ref="CJ9:CJ38" si="41">IF(AND(CA9&lt;$BW$11,CA9&gt;=$BW$10),($BW$11-CA9),0)</f>
        <v>0</v>
      </c>
      <c r="CK9" s="89">
        <f t="shared" ref="CK9:CK38" si="42">IF(AND(CB9&lt;$BW$13,CB9&gt;$BW$12),(CB9-$BW$12),0)</f>
        <v>0</v>
      </c>
      <c r="CL9" s="90">
        <f t="shared" ref="CL9:CL38" si="43">SUM(CJ9:CK9)</f>
        <v>0</v>
      </c>
      <c r="CM9" s="185">
        <f t="shared" ref="CM9:CM38" si="44">IF(AND(TRIM(C9)="",TRIM(I9)="",H9=22),1,IF(AND(H9=22,(OR(TRIM(C9)&lt;&gt;"",TRIM(I9)&lt;&gt;""))),0.5,0))</f>
        <v>0</v>
      </c>
      <c r="CN9" s="185">
        <f t="shared" ref="CN9:CN38" si="45">IF(AND(TRIM(C9)="",TRIM(H9)="",I9=22),1,IF(AND(I9=22,(OR(TRIM(C9)&lt;&gt;"",TRIM(H9)&lt;&gt;""))),0.5,0))</f>
        <v>0</v>
      </c>
      <c r="CO9" s="185">
        <f t="shared" ref="CO9:CO38" si="46">IF(AND(TRIM(C9)="",TRIM(I9)="",H9=27),1,IF(AND(H9=27,(OR(TRIM(C9)&lt;&gt;"",TRIM(I9)&lt;&gt;""))),0.5,0))</f>
        <v>0</v>
      </c>
      <c r="CP9" s="185">
        <f t="shared" ref="CP9:CP38" si="47">IF(AND(TRIM(C9)="",TRIM(H9)="",I9=27),1,IF(AND(I9=27,(OR(TRIM(C9)&lt;&gt;"",TRIM(H9)&lt;&gt;""))),0.5,0))</f>
        <v>0</v>
      </c>
      <c r="CQ9" s="91" t="str">
        <f t="shared" si="21"/>
        <v/>
      </c>
      <c r="CR9" s="87">
        <f t="shared" si="22"/>
        <v>0</v>
      </c>
      <c r="CS9" s="87">
        <f t="shared" si="23"/>
        <v>0</v>
      </c>
      <c r="CT9" s="87">
        <f t="shared" ref="CT9:CT38" si="48">CF9</f>
        <v>0</v>
      </c>
      <c r="CU9" s="92">
        <f t="shared" si="24"/>
        <v>0</v>
      </c>
      <c r="CV9" s="326">
        <f t="shared" ref="CV9:CV38" si="49">CU9</f>
        <v>0</v>
      </c>
      <c r="CW9" s="328">
        <f t="shared" si="25"/>
        <v>0</v>
      </c>
      <c r="CX9" s="330">
        <f t="shared" ref="CX9:CX38" si="50">IF(OR($CM9=1,$CN9=1,$CO9=1,$CP9=1),$CX8-IF(Arbeidsstelsel=4,$BX$29,$BX$26),$CX8+$CW9)</f>
        <v>0.11666666733336567</v>
      </c>
      <c r="CY9" s="94" t="str">
        <f t="shared" ref="CY9:CY38" si="51">IF((CX9)&gt;0,"+","-")</f>
        <v>+</v>
      </c>
      <c r="CZ9" s="95">
        <f t="shared" ref="CZ9:CZ38" si="52">ABS(CX9)</f>
        <v>0.11666666733336567</v>
      </c>
      <c r="DA9" s="96">
        <f t="shared" si="27"/>
        <v>0</v>
      </c>
      <c r="DB9" s="215">
        <f t="shared" si="28"/>
        <v>0</v>
      </c>
      <c r="DC9" s="58"/>
      <c r="DD9" s="18"/>
      <c r="DE9" s="18"/>
      <c r="DF9" s="204">
        <v>5</v>
      </c>
      <c r="DG9" s="205">
        <f>januari!DG9</f>
        <v>44340</v>
      </c>
      <c r="DH9" s="18"/>
      <c r="DI9" s="18"/>
      <c r="DJ9" s="18"/>
      <c r="DK9" s="27"/>
      <c r="DL9" s="300">
        <v>1</v>
      </c>
      <c r="DM9" s="301" t="s">
        <v>39</v>
      </c>
      <c r="DN9" s="302">
        <f>IF(Arbeidsstelsel=4,0.33333333333,0.316666666666667)</f>
        <v>0.31666666666666698</v>
      </c>
      <c r="DO9" s="303">
        <f>DN9/2</f>
        <v>0.15833333333333349</v>
      </c>
      <c r="DP9" s="104">
        <v>0</v>
      </c>
      <c r="DQ9" s="179" t="s">
        <v>189</v>
      </c>
      <c r="DR9" s="22"/>
    </row>
    <row r="10" spans="1:122" ht="15" x14ac:dyDescent="0.25">
      <c r="A10" s="322">
        <f t="shared" si="0"/>
        <v>3</v>
      </c>
      <c r="B10" s="323">
        <f t="shared" si="1"/>
        <v>44533</v>
      </c>
      <c r="C10" s="239"/>
      <c r="D10" s="240"/>
      <c r="E10" s="240"/>
      <c r="F10" s="240"/>
      <c r="G10" s="278"/>
      <c r="H10" s="305" t="str">
        <f t="shared" si="29"/>
        <v/>
      </c>
      <c r="I10" s="273" t="str">
        <f t="shared" si="30"/>
        <v/>
      </c>
      <c r="J10" s="312">
        <f t="shared" si="2"/>
        <v>0</v>
      </c>
      <c r="K10" s="313" t="str">
        <f t="shared" si="3"/>
        <v>+</v>
      </c>
      <c r="L10" s="314">
        <f t="shared" si="3"/>
        <v>0.11666666733336567</v>
      </c>
      <c r="M10" s="315">
        <f t="shared" si="31"/>
        <v>2.8000000188007759</v>
      </c>
      <c r="N10" s="242"/>
      <c r="O10" s="241"/>
      <c r="P10" s="240"/>
      <c r="Q10" s="241"/>
      <c r="R10" s="243"/>
      <c r="S10" s="231">
        <v>3</v>
      </c>
      <c r="T10" s="213"/>
      <c r="U10" s="383" t="str">
        <f>IF(TRIM(T10)="","",IF(Werklijst_nr=1,INDEX([1]Werklijst!$D$16:$D$2000,MATCH(TRIM(T10),[1]Werklijst!$A$16:$A$1000,0)),INDEX('[2] Werklijst ES'!$B$7:$B$2000,MATCH(TRIM(T10),'[2] Werklijst ES'!$A$7:$A$2000,0))))</f>
        <v/>
      </c>
      <c r="V10" s="384"/>
      <c r="W10" s="359" t="str">
        <f>IF(TRIM(T10)="","",IF(Werklijst_nr=1,INDEX([1]Werklijst!$K$16:$K$2000,MATCH(TRIM(T10),[1]Werklijst!$A$16:$A$2000,0)),INDEX('[2] Werklijst ES'!$B$7:$B$2000,MATCH(TRIM(T10),'[2] Werklijst ES'!$A$7:$A$2000,0))))</f>
        <v/>
      </c>
      <c r="X10" s="377">
        <f>AI$52</f>
        <v>0</v>
      </c>
      <c r="Y10" s="378" t="e">
        <f>AI$49</f>
        <v>#DIV/0!</v>
      </c>
      <c r="Z10" s="80">
        <f t="shared" si="32"/>
        <v>44533</v>
      </c>
      <c r="AA10" s="160">
        <f t="shared" si="4"/>
        <v>44533</v>
      </c>
      <c r="AB10" s="160">
        <f t="shared" si="5"/>
        <v>12</v>
      </c>
      <c r="AC10" s="81">
        <f t="shared" si="6"/>
        <v>6</v>
      </c>
      <c r="AD10" s="160">
        <f t="shared" si="7"/>
        <v>0</v>
      </c>
      <c r="AF10" s="27" t="s">
        <v>119</v>
      </c>
      <c r="AG10" s="100"/>
      <c r="AH10" s="82">
        <f t="shared" si="8"/>
        <v>0</v>
      </c>
      <c r="AI10" s="82">
        <f t="shared" si="8"/>
        <v>0</v>
      </c>
      <c r="AJ10" s="82">
        <f t="shared" si="8"/>
        <v>0</v>
      </c>
      <c r="AK10" s="82">
        <f t="shared" si="8"/>
        <v>0</v>
      </c>
      <c r="AL10" s="82">
        <f t="shared" si="8"/>
        <v>0</v>
      </c>
      <c r="AM10" s="82">
        <f t="shared" si="8"/>
        <v>0</v>
      </c>
      <c r="AN10" s="82">
        <f t="shared" si="8"/>
        <v>0</v>
      </c>
      <c r="AO10" s="82">
        <f t="shared" si="8"/>
        <v>0</v>
      </c>
      <c r="AP10" s="82">
        <f t="shared" si="8"/>
        <v>0</v>
      </c>
      <c r="AQ10" s="82">
        <f t="shared" si="8"/>
        <v>0</v>
      </c>
      <c r="AR10" s="82">
        <f t="shared" si="9"/>
        <v>0</v>
      </c>
      <c r="AS10" s="82">
        <f t="shared" si="9"/>
        <v>0</v>
      </c>
      <c r="AT10" s="82">
        <f t="shared" si="9"/>
        <v>0</v>
      </c>
      <c r="AU10" s="82">
        <f t="shared" si="9"/>
        <v>0</v>
      </c>
      <c r="AV10" s="82">
        <f t="shared" si="9"/>
        <v>0</v>
      </c>
      <c r="AW10" s="82">
        <f t="shared" si="9"/>
        <v>0</v>
      </c>
      <c r="AX10" s="82">
        <f t="shared" si="9"/>
        <v>0</v>
      </c>
      <c r="AY10" s="82">
        <f t="shared" si="9"/>
        <v>0</v>
      </c>
      <c r="AZ10" s="82">
        <f t="shared" si="9"/>
        <v>0</v>
      </c>
      <c r="BA10" s="82">
        <f t="shared" si="9"/>
        <v>0</v>
      </c>
      <c r="BB10" s="82">
        <f t="shared" si="10"/>
        <v>0</v>
      </c>
      <c r="BC10" s="82">
        <f t="shared" si="10"/>
        <v>0</v>
      </c>
      <c r="BD10" s="82">
        <f t="shared" si="10"/>
        <v>0</v>
      </c>
      <c r="BE10" s="82">
        <f t="shared" si="10"/>
        <v>0</v>
      </c>
      <c r="BF10" s="82">
        <f t="shared" si="10"/>
        <v>0</v>
      </c>
      <c r="BG10" s="82">
        <f t="shared" si="10"/>
        <v>0</v>
      </c>
      <c r="BH10" s="82">
        <f t="shared" si="10"/>
        <v>0</v>
      </c>
      <c r="BI10" s="82">
        <f t="shared" si="10"/>
        <v>0</v>
      </c>
      <c r="BJ10" s="82">
        <f t="shared" si="10"/>
        <v>0</v>
      </c>
      <c r="BK10" s="83">
        <f t="shared" si="10"/>
        <v>0</v>
      </c>
      <c r="BM10" s="84">
        <f t="shared" si="33"/>
        <v>0</v>
      </c>
      <c r="BN10" s="85">
        <f t="shared" si="34"/>
        <v>0</v>
      </c>
      <c r="BO10" s="84">
        <f t="shared" si="11"/>
        <v>0</v>
      </c>
      <c r="BP10" s="85">
        <f t="shared" si="12"/>
        <v>0</v>
      </c>
      <c r="BQ10" s="186">
        <f t="shared" si="13"/>
        <v>0</v>
      </c>
      <c r="BR10" s="191">
        <f t="shared" si="14"/>
        <v>0</v>
      </c>
      <c r="BS10" s="186">
        <f t="shared" si="15"/>
        <v>0</v>
      </c>
      <c r="BT10" s="195">
        <f t="shared" si="16"/>
        <v>0</v>
      </c>
      <c r="BU10" s="18"/>
      <c r="BV10" s="27" t="s">
        <v>267</v>
      </c>
      <c r="BW10" s="255">
        <v>0.5</v>
      </c>
      <c r="BX10" s="253"/>
      <c r="BY10" s="21"/>
      <c r="BZ10" s="86">
        <f t="shared" si="35"/>
        <v>3</v>
      </c>
      <c r="CA10" s="87" t="str">
        <f t="shared" si="17"/>
        <v/>
      </c>
      <c r="CB10" s="87" t="str">
        <f t="shared" si="36"/>
        <v/>
      </c>
      <c r="CC10" s="88" t="str">
        <f t="shared" si="18"/>
        <v/>
      </c>
      <c r="CD10" s="88" t="str">
        <f t="shared" si="19"/>
        <v/>
      </c>
      <c r="CE10" s="89">
        <f t="shared" si="20"/>
        <v>0</v>
      </c>
      <c r="CF10" s="90">
        <f t="shared" si="37"/>
        <v>0</v>
      </c>
      <c r="CG10" s="91">
        <f t="shared" si="38"/>
        <v>0</v>
      </c>
      <c r="CH10" s="87">
        <f t="shared" si="39"/>
        <v>0</v>
      </c>
      <c r="CI10" s="92">
        <f t="shared" si="40"/>
        <v>2.0833333333333332E-2</v>
      </c>
      <c r="CJ10" s="93">
        <f t="shared" si="41"/>
        <v>0</v>
      </c>
      <c r="CK10" s="89">
        <f t="shared" si="42"/>
        <v>0</v>
      </c>
      <c r="CL10" s="90">
        <f t="shared" si="43"/>
        <v>0</v>
      </c>
      <c r="CM10" s="185">
        <f t="shared" si="44"/>
        <v>0</v>
      </c>
      <c r="CN10" s="185">
        <f t="shared" si="45"/>
        <v>0</v>
      </c>
      <c r="CO10" s="185">
        <f t="shared" si="46"/>
        <v>0</v>
      </c>
      <c r="CP10" s="185">
        <f t="shared" si="47"/>
        <v>0</v>
      </c>
      <c r="CQ10" s="91" t="str">
        <f t="shared" si="21"/>
        <v/>
      </c>
      <c r="CR10" s="87">
        <f t="shared" si="22"/>
        <v>0</v>
      </c>
      <c r="CS10" s="87">
        <f t="shared" si="23"/>
        <v>0</v>
      </c>
      <c r="CT10" s="87">
        <f t="shared" si="48"/>
        <v>0</v>
      </c>
      <c r="CU10" s="92">
        <f t="shared" si="24"/>
        <v>0</v>
      </c>
      <c r="CV10" s="326">
        <f t="shared" si="49"/>
        <v>0</v>
      </c>
      <c r="CW10" s="328">
        <f t="shared" si="25"/>
        <v>0</v>
      </c>
      <c r="CX10" s="330">
        <f t="shared" si="50"/>
        <v>0.11666666733336567</v>
      </c>
      <c r="CY10" s="94" t="str">
        <f t="shared" si="51"/>
        <v>+</v>
      </c>
      <c r="CZ10" s="95">
        <f t="shared" si="52"/>
        <v>0.11666666733336567</v>
      </c>
      <c r="DA10" s="96">
        <f t="shared" si="27"/>
        <v>0</v>
      </c>
      <c r="DB10" s="215">
        <f t="shared" si="28"/>
        <v>0</v>
      </c>
      <c r="DC10" s="58"/>
      <c r="DD10" s="18"/>
      <c r="DE10" s="18"/>
      <c r="DF10" s="204">
        <v>6</v>
      </c>
      <c r="DG10" s="205">
        <f>januari!DG10</f>
        <v>44398</v>
      </c>
      <c r="DH10" s="18"/>
      <c r="DI10" s="18"/>
      <c r="DJ10" s="18"/>
      <c r="DK10" s="27"/>
      <c r="DL10" s="183">
        <v>2</v>
      </c>
      <c r="DM10" s="102" t="s">
        <v>45</v>
      </c>
      <c r="DN10" s="103">
        <v>0.33333333333333331</v>
      </c>
      <c r="DO10" s="172">
        <f t="shared" ref="DO10:DO39" si="53">DN10/2</f>
        <v>0.16666666666666666</v>
      </c>
      <c r="DP10" s="104">
        <v>0</v>
      </c>
      <c r="DQ10" s="179" t="s">
        <v>190</v>
      </c>
      <c r="DR10" s="22"/>
    </row>
    <row r="11" spans="1:122" ht="15" x14ac:dyDescent="0.25">
      <c r="A11" s="322">
        <f t="shared" si="0"/>
        <v>4</v>
      </c>
      <c r="B11" s="323">
        <f t="shared" si="1"/>
        <v>44534</v>
      </c>
      <c r="C11" s="239"/>
      <c r="D11" s="240"/>
      <c r="E11" s="240"/>
      <c r="F11" s="240"/>
      <c r="G11" s="278"/>
      <c r="H11" s="305">
        <f t="shared" si="29"/>
        <v>21</v>
      </c>
      <c r="I11" s="273" t="str">
        <f t="shared" si="30"/>
        <v/>
      </c>
      <c r="J11" s="312">
        <f t="shared" si="2"/>
        <v>0.31666666666666698</v>
      </c>
      <c r="K11" s="313" t="str">
        <f t="shared" si="3"/>
        <v>+</v>
      </c>
      <c r="L11" s="314">
        <f t="shared" si="3"/>
        <v>0.116666667333366</v>
      </c>
      <c r="M11" s="315">
        <f t="shared" si="31"/>
        <v>2.8000000188007839</v>
      </c>
      <c r="N11" s="242"/>
      <c r="O11" s="241"/>
      <c r="P11" s="240"/>
      <c r="Q11" s="241"/>
      <c r="R11" s="243"/>
      <c r="S11" s="231">
        <v>4</v>
      </c>
      <c r="T11" s="213"/>
      <c r="U11" s="383" t="str">
        <f>IF(TRIM(T11)="","",IF(Werklijst_nr=1,INDEX([1]Werklijst!$D$16:$D$2000,MATCH(TRIM(T11),[1]Werklijst!$A$16:$A$1000,0)),INDEX('[2] Werklijst ES'!$B$7:$B$2000,MATCH(TRIM(T11),'[2] Werklijst ES'!$A$7:$A$2000,0))))</f>
        <v/>
      </c>
      <c r="V11" s="384"/>
      <c r="W11" s="359" t="str">
        <f>IF(TRIM(T11)="","",IF(Werklijst_nr=1,INDEX([1]Werklijst!$K$16:$K$2000,MATCH(TRIM(T11),[1]Werklijst!$A$16:$A$2000,0)),INDEX('[2] Werklijst ES'!$B$7:$B$2000,MATCH(TRIM(T11),'[2] Werklijst ES'!$A$7:$A$2000,0))))</f>
        <v/>
      </c>
      <c r="X11" s="377">
        <f>AJ$52</f>
        <v>0</v>
      </c>
      <c r="Y11" s="378" t="e">
        <f>AJ$49</f>
        <v>#DIV/0!</v>
      </c>
      <c r="Z11" s="80">
        <f t="shared" si="32"/>
        <v>44534</v>
      </c>
      <c r="AA11" s="160">
        <f t="shared" si="4"/>
        <v>44534</v>
      </c>
      <c r="AB11" s="160">
        <f t="shared" si="5"/>
        <v>12</v>
      </c>
      <c r="AC11" s="81">
        <f t="shared" si="6"/>
        <v>0</v>
      </c>
      <c r="AD11" s="160">
        <f t="shared" si="7"/>
        <v>0</v>
      </c>
      <c r="AF11" s="27" t="s">
        <v>119</v>
      </c>
      <c r="AG11" s="100"/>
      <c r="AH11" s="82">
        <f t="shared" si="8"/>
        <v>0</v>
      </c>
      <c r="AI11" s="82">
        <f t="shared" si="8"/>
        <v>0</v>
      </c>
      <c r="AJ11" s="82">
        <f t="shared" si="8"/>
        <v>0</v>
      </c>
      <c r="AK11" s="82">
        <f t="shared" si="8"/>
        <v>0</v>
      </c>
      <c r="AL11" s="82">
        <f t="shared" si="8"/>
        <v>0</v>
      </c>
      <c r="AM11" s="82">
        <f t="shared" si="8"/>
        <v>0</v>
      </c>
      <c r="AN11" s="82">
        <f t="shared" si="8"/>
        <v>0</v>
      </c>
      <c r="AO11" s="82">
        <f t="shared" si="8"/>
        <v>0</v>
      </c>
      <c r="AP11" s="82">
        <f t="shared" si="8"/>
        <v>0</v>
      </c>
      <c r="AQ11" s="82">
        <f t="shared" si="8"/>
        <v>0</v>
      </c>
      <c r="AR11" s="82">
        <f t="shared" si="9"/>
        <v>0</v>
      </c>
      <c r="AS11" s="82">
        <f t="shared" si="9"/>
        <v>0</v>
      </c>
      <c r="AT11" s="82">
        <f t="shared" si="9"/>
        <v>0</v>
      </c>
      <c r="AU11" s="82">
        <f t="shared" si="9"/>
        <v>0</v>
      </c>
      <c r="AV11" s="82">
        <f t="shared" si="9"/>
        <v>0</v>
      </c>
      <c r="AW11" s="82">
        <f t="shared" si="9"/>
        <v>0</v>
      </c>
      <c r="AX11" s="82">
        <f t="shared" si="9"/>
        <v>0</v>
      </c>
      <c r="AY11" s="82">
        <f t="shared" si="9"/>
        <v>0</v>
      </c>
      <c r="AZ11" s="82">
        <f t="shared" si="9"/>
        <v>0</v>
      </c>
      <c r="BA11" s="82">
        <f t="shared" si="9"/>
        <v>0</v>
      </c>
      <c r="BB11" s="82">
        <f t="shared" si="10"/>
        <v>0</v>
      </c>
      <c r="BC11" s="82">
        <f t="shared" si="10"/>
        <v>0</v>
      </c>
      <c r="BD11" s="82">
        <f t="shared" si="10"/>
        <v>0</v>
      </c>
      <c r="BE11" s="82">
        <f t="shared" si="10"/>
        <v>0</v>
      </c>
      <c r="BF11" s="82">
        <f t="shared" si="10"/>
        <v>0</v>
      </c>
      <c r="BG11" s="82">
        <f t="shared" si="10"/>
        <v>0</v>
      </c>
      <c r="BH11" s="82">
        <f t="shared" si="10"/>
        <v>0</v>
      </c>
      <c r="BI11" s="82">
        <f t="shared" si="10"/>
        <v>0</v>
      </c>
      <c r="BJ11" s="82">
        <f t="shared" si="10"/>
        <v>0</v>
      </c>
      <c r="BK11" s="83">
        <f t="shared" si="10"/>
        <v>0</v>
      </c>
      <c r="BM11" s="84">
        <f t="shared" si="33"/>
        <v>0</v>
      </c>
      <c r="BN11" s="85">
        <f t="shared" si="34"/>
        <v>0</v>
      </c>
      <c r="BO11" s="84">
        <f t="shared" si="11"/>
        <v>0</v>
      </c>
      <c r="BP11" s="85">
        <f t="shared" si="12"/>
        <v>0</v>
      </c>
      <c r="BQ11" s="186">
        <f t="shared" si="13"/>
        <v>0</v>
      </c>
      <c r="BR11" s="191">
        <f t="shared" si="14"/>
        <v>0</v>
      </c>
      <c r="BS11" s="186">
        <f t="shared" si="15"/>
        <v>0</v>
      </c>
      <c r="BT11" s="195">
        <f t="shared" si="16"/>
        <v>0</v>
      </c>
      <c r="BU11" s="18"/>
      <c r="BV11" s="27" t="s">
        <v>267</v>
      </c>
      <c r="BW11" s="255">
        <v>0.52083333333333337</v>
      </c>
      <c r="BX11" s="253"/>
      <c r="BY11" s="21"/>
      <c r="BZ11" s="86">
        <f t="shared" si="35"/>
        <v>4</v>
      </c>
      <c r="CA11" s="87" t="str">
        <f t="shared" si="17"/>
        <v/>
      </c>
      <c r="CB11" s="87" t="str">
        <f t="shared" si="36"/>
        <v/>
      </c>
      <c r="CC11" s="88">
        <f t="shared" si="18"/>
        <v>0.31666666666666698</v>
      </c>
      <c r="CD11" s="88" t="str">
        <f t="shared" si="19"/>
        <v/>
      </c>
      <c r="CE11" s="89">
        <f t="shared" si="20"/>
        <v>0</v>
      </c>
      <c r="CF11" s="90">
        <f t="shared" si="37"/>
        <v>0.31666666666666698</v>
      </c>
      <c r="CG11" s="91">
        <f t="shared" si="38"/>
        <v>0</v>
      </c>
      <c r="CH11" s="87">
        <f t="shared" si="39"/>
        <v>0</v>
      </c>
      <c r="CI11" s="92">
        <f t="shared" si="40"/>
        <v>0</v>
      </c>
      <c r="CJ11" s="93">
        <f t="shared" si="41"/>
        <v>0</v>
      </c>
      <c r="CK11" s="89">
        <f t="shared" si="42"/>
        <v>0</v>
      </c>
      <c r="CL11" s="90">
        <f t="shared" si="43"/>
        <v>0</v>
      </c>
      <c r="CM11" s="185">
        <f t="shared" si="44"/>
        <v>0</v>
      </c>
      <c r="CN11" s="185">
        <f t="shared" si="45"/>
        <v>0</v>
      </c>
      <c r="CO11" s="185">
        <f t="shared" si="46"/>
        <v>0</v>
      </c>
      <c r="CP11" s="185">
        <f t="shared" si="47"/>
        <v>0</v>
      </c>
      <c r="CQ11" s="91" t="str">
        <f t="shared" si="21"/>
        <v/>
      </c>
      <c r="CR11" s="87">
        <f t="shared" si="22"/>
        <v>0</v>
      </c>
      <c r="CS11" s="87">
        <f t="shared" si="23"/>
        <v>0</v>
      </c>
      <c r="CT11" s="87">
        <f t="shared" si="48"/>
        <v>0.31666666666666698</v>
      </c>
      <c r="CU11" s="92">
        <f>IF(CF11=0,CS11,MIN(CT11+CS11,0.375))</f>
        <v>0.31666666666666698</v>
      </c>
      <c r="CV11" s="326">
        <f t="shared" si="49"/>
        <v>0.31666666666666698</v>
      </c>
      <c r="CW11" s="328">
        <f t="shared" si="25"/>
        <v>3.3306690738754696E-16</v>
      </c>
      <c r="CX11" s="330">
        <f t="shared" si="50"/>
        <v>0.116666667333366</v>
      </c>
      <c r="CY11" s="94" t="str">
        <f t="shared" si="51"/>
        <v>+</v>
      </c>
      <c r="CZ11" s="95">
        <f t="shared" si="52"/>
        <v>0.116666667333366</v>
      </c>
      <c r="DA11" s="96">
        <f t="shared" si="27"/>
        <v>0</v>
      </c>
      <c r="DB11" s="215">
        <f t="shared" si="28"/>
        <v>0</v>
      </c>
      <c r="DC11" s="58"/>
      <c r="DD11" s="18"/>
      <c r="DE11" s="18"/>
      <c r="DF11" s="204">
        <v>7</v>
      </c>
      <c r="DG11" s="205">
        <f>januari!DG11</f>
        <v>44423</v>
      </c>
      <c r="DH11" s="18"/>
      <c r="DI11" s="18"/>
      <c r="DJ11" s="18"/>
      <c r="DK11" s="27"/>
      <c r="DL11" s="183">
        <v>3</v>
      </c>
      <c r="DM11" s="102" t="s">
        <v>77</v>
      </c>
      <c r="DN11" s="103">
        <v>0.33333333333333331</v>
      </c>
      <c r="DO11" s="172">
        <f t="shared" si="53"/>
        <v>0.16666666666666666</v>
      </c>
      <c r="DP11" s="104">
        <v>0</v>
      </c>
      <c r="DQ11" s="179" t="s">
        <v>192</v>
      </c>
      <c r="DR11" s="22"/>
    </row>
    <row r="12" spans="1:122" ht="15" x14ac:dyDescent="0.25">
      <c r="A12" s="322">
        <f t="shared" si="0"/>
        <v>5</v>
      </c>
      <c r="B12" s="323">
        <f t="shared" si="1"/>
        <v>44535</v>
      </c>
      <c r="C12" s="239"/>
      <c r="D12" s="240"/>
      <c r="E12" s="240"/>
      <c r="F12" s="240"/>
      <c r="G12" s="278"/>
      <c r="H12" s="305">
        <f t="shared" si="29"/>
        <v>1</v>
      </c>
      <c r="I12" s="273" t="str">
        <f t="shared" si="30"/>
        <v/>
      </c>
      <c r="J12" s="312">
        <f t="shared" si="2"/>
        <v>0.31666666666666698</v>
      </c>
      <c r="K12" s="313" t="str">
        <f t="shared" si="3"/>
        <v>+</v>
      </c>
      <c r="L12" s="314">
        <f t="shared" si="3"/>
        <v>0.11666666733336634</v>
      </c>
      <c r="M12" s="315">
        <f t="shared" si="31"/>
        <v>2.8000000188007919</v>
      </c>
      <c r="N12" s="242"/>
      <c r="O12" s="241"/>
      <c r="P12" s="240"/>
      <c r="Q12" s="241"/>
      <c r="R12" s="243"/>
      <c r="S12" s="231">
        <v>5</v>
      </c>
      <c r="T12" s="213"/>
      <c r="U12" s="383" t="str">
        <f>IF(TRIM(T12)="","",IF(Werklijst_nr=1,INDEX([1]Werklijst!$D$16:$D$2000,MATCH(TRIM(T12),[1]Werklijst!$A$16:$A$1000,0)),INDEX('[2] Werklijst ES'!$B$7:$B$2000,MATCH(TRIM(T12),'[2] Werklijst ES'!$A$7:$A$2000,0))))</f>
        <v/>
      </c>
      <c r="V12" s="384"/>
      <c r="W12" s="359" t="str">
        <f>IF(TRIM(T12)="","",IF(Werklijst_nr=1,INDEX([1]Werklijst!$K$16:$K$2000,MATCH(TRIM(T12),[1]Werklijst!$A$16:$A$2000,0)),INDEX('[2] Werklijst ES'!$B$7:$B$2000,MATCH(TRIM(T12),'[2] Werklijst ES'!$A$7:$A$2000,0))))</f>
        <v/>
      </c>
      <c r="X12" s="377">
        <f>AK$52</f>
        <v>0</v>
      </c>
      <c r="Y12" s="378" t="e">
        <f>AK$49</f>
        <v>#DIV/0!</v>
      </c>
      <c r="Z12" s="80">
        <f t="shared" si="32"/>
        <v>44535</v>
      </c>
      <c r="AA12" s="160">
        <f t="shared" si="4"/>
        <v>44535</v>
      </c>
      <c r="AB12" s="160">
        <f t="shared" si="5"/>
        <v>12</v>
      </c>
      <c r="AC12" s="81">
        <f t="shared" si="6"/>
        <v>1</v>
      </c>
      <c r="AD12" s="160">
        <f t="shared" si="7"/>
        <v>0</v>
      </c>
      <c r="AF12" s="27" t="s">
        <v>119</v>
      </c>
      <c r="AG12" s="100"/>
      <c r="AH12" s="82">
        <f t="shared" si="8"/>
        <v>0</v>
      </c>
      <c r="AI12" s="82">
        <f t="shared" si="8"/>
        <v>0</v>
      </c>
      <c r="AJ12" s="82">
        <f t="shared" si="8"/>
        <v>0</v>
      </c>
      <c r="AK12" s="82">
        <f t="shared" si="8"/>
        <v>0</v>
      </c>
      <c r="AL12" s="82">
        <f t="shared" si="8"/>
        <v>0</v>
      </c>
      <c r="AM12" s="82">
        <f t="shared" si="8"/>
        <v>0</v>
      </c>
      <c r="AN12" s="82">
        <f t="shared" si="8"/>
        <v>0</v>
      </c>
      <c r="AO12" s="82">
        <f t="shared" si="8"/>
        <v>0</v>
      </c>
      <c r="AP12" s="82">
        <f t="shared" si="8"/>
        <v>0</v>
      </c>
      <c r="AQ12" s="82">
        <f t="shared" si="8"/>
        <v>0</v>
      </c>
      <c r="AR12" s="82">
        <f t="shared" si="9"/>
        <v>0</v>
      </c>
      <c r="AS12" s="82">
        <f t="shared" si="9"/>
        <v>0</v>
      </c>
      <c r="AT12" s="82">
        <f t="shared" si="9"/>
        <v>0</v>
      </c>
      <c r="AU12" s="82">
        <f t="shared" si="9"/>
        <v>0</v>
      </c>
      <c r="AV12" s="82">
        <f t="shared" si="9"/>
        <v>0</v>
      </c>
      <c r="AW12" s="82">
        <f t="shared" si="9"/>
        <v>0</v>
      </c>
      <c r="AX12" s="82">
        <f t="shared" si="9"/>
        <v>0</v>
      </c>
      <c r="AY12" s="82">
        <f t="shared" si="9"/>
        <v>0</v>
      </c>
      <c r="AZ12" s="82">
        <f t="shared" si="9"/>
        <v>0</v>
      </c>
      <c r="BA12" s="82">
        <f t="shared" si="9"/>
        <v>0</v>
      </c>
      <c r="BB12" s="82">
        <f t="shared" si="10"/>
        <v>0</v>
      </c>
      <c r="BC12" s="82">
        <f t="shared" si="10"/>
        <v>0</v>
      </c>
      <c r="BD12" s="82">
        <f t="shared" si="10"/>
        <v>0</v>
      </c>
      <c r="BE12" s="82">
        <f t="shared" si="10"/>
        <v>0</v>
      </c>
      <c r="BF12" s="82">
        <f t="shared" si="10"/>
        <v>0</v>
      </c>
      <c r="BG12" s="82">
        <f t="shared" si="10"/>
        <v>0</v>
      </c>
      <c r="BH12" s="82">
        <f t="shared" si="10"/>
        <v>0</v>
      </c>
      <c r="BI12" s="82">
        <f t="shared" si="10"/>
        <v>0</v>
      </c>
      <c r="BJ12" s="82">
        <f t="shared" si="10"/>
        <v>0</v>
      </c>
      <c r="BK12" s="83">
        <f t="shared" si="10"/>
        <v>0</v>
      </c>
      <c r="BM12" s="84">
        <f t="shared" si="33"/>
        <v>0</v>
      </c>
      <c r="BN12" s="85">
        <f t="shared" si="34"/>
        <v>0</v>
      </c>
      <c r="BO12" s="84">
        <f t="shared" si="11"/>
        <v>0</v>
      </c>
      <c r="BP12" s="85">
        <f t="shared" si="12"/>
        <v>0</v>
      </c>
      <c r="BQ12" s="186">
        <f t="shared" si="13"/>
        <v>0</v>
      </c>
      <c r="BR12" s="191">
        <f t="shared" si="14"/>
        <v>0</v>
      </c>
      <c r="BS12" s="186">
        <f t="shared" si="15"/>
        <v>0</v>
      </c>
      <c r="BT12" s="195">
        <f t="shared" si="16"/>
        <v>0</v>
      </c>
      <c r="BU12" s="18"/>
      <c r="BV12" s="27" t="s">
        <v>271</v>
      </c>
      <c r="BW12" s="255">
        <v>0.5625</v>
      </c>
      <c r="BX12" s="253"/>
      <c r="BY12" s="21"/>
      <c r="BZ12" s="86">
        <f t="shared" si="35"/>
        <v>5</v>
      </c>
      <c r="CA12" s="87" t="str">
        <f t="shared" si="17"/>
        <v/>
      </c>
      <c r="CB12" s="87" t="str">
        <f t="shared" si="36"/>
        <v/>
      </c>
      <c r="CC12" s="88">
        <f t="shared" si="18"/>
        <v>0.31666666666666698</v>
      </c>
      <c r="CD12" s="88" t="str">
        <f t="shared" si="19"/>
        <v/>
      </c>
      <c r="CE12" s="89">
        <f t="shared" si="20"/>
        <v>0</v>
      </c>
      <c r="CF12" s="90">
        <f t="shared" si="37"/>
        <v>0.31666666666666698</v>
      </c>
      <c r="CG12" s="91">
        <f t="shared" si="38"/>
        <v>0</v>
      </c>
      <c r="CH12" s="87">
        <f t="shared" si="39"/>
        <v>0</v>
      </c>
      <c r="CI12" s="92">
        <f t="shared" si="40"/>
        <v>0</v>
      </c>
      <c r="CJ12" s="93">
        <f t="shared" si="41"/>
        <v>0</v>
      </c>
      <c r="CK12" s="89">
        <f t="shared" si="42"/>
        <v>0</v>
      </c>
      <c r="CL12" s="90">
        <f t="shared" si="43"/>
        <v>0</v>
      </c>
      <c r="CM12" s="185">
        <f t="shared" si="44"/>
        <v>0</v>
      </c>
      <c r="CN12" s="185">
        <f t="shared" si="45"/>
        <v>0</v>
      </c>
      <c r="CO12" s="185">
        <f t="shared" si="46"/>
        <v>0</v>
      </c>
      <c r="CP12" s="185">
        <f t="shared" si="47"/>
        <v>0</v>
      </c>
      <c r="CQ12" s="91" t="str">
        <f t="shared" si="21"/>
        <v/>
      </c>
      <c r="CR12" s="87">
        <f t="shared" si="22"/>
        <v>0</v>
      </c>
      <c r="CS12" s="87">
        <f>IF(CQ12="",0,IF(CF12=0,IF((CQ12-CR12)&lt;$BW$9,(CQ12-CR12),$BW$9),IF((CQ12-CR12)&lt;$BW$14,(CQ12-CR12),$BW$14)))</f>
        <v>0</v>
      </c>
      <c r="CT12" s="87">
        <f t="shared" si="48"/>
        <v>0.31666666666666698</v>
      </c>
      <c r="CU12" s="92">
        <f t="shared" si="24"/>
        <v>0.31666666666666698</v>
      </c>
      <c r="CV12" s="326">
        <f t="shared" si="49"/>
        <v>0.31666666666666698</v>
      </c>
      <c r="CW12" s="328">
        <f t="shared" si="25"/>
        <v>3.3306690738754696E-16</v>
      </c>
      <c r="CX12" s="330">
        <f t="shared" si="50"/>
        <v>0.11666666733336634</v>
      </c>
      <c r="CY12" s="94" t="str">
        <f t="shared" si="51"/>
        <v>+</v>
      </c>
      <c r="CZ12" s="95">
        <f t="shared" si="52"/>
        <v>0.11666666733336634</v>
      </c>
      <c r="DA12" s="96">
        <f t="shared" si="27"/>
        <v>0</v>
      </c>
      <c r="DB12" s="215">
        <f t="shared" si="28"/>
        <v>0</v>
      </c>
      <c r="DC12" s="58"/>
      <c r="DD12" s="18"/>
      <c r="DE12" s="18"/>
      <c r="DF12" s="204">
        <v>8</v>
      </c>
      <c r="DG12" s="205">
        <f>januari!DG12</f>
        <v>44501</v>
      </c>
      <c r="DH12" s="18"/>
      <c r="DI12" s="18"/>
      <c r="DJ12" s="18"/>
      <c r="DK12" s="27"/>
      <c r="DL12" s="183">
        <v>4</v>
      </c>
      <c r="DM12" s="102" t="s">
        <v>49</v>
      </c>
      <c r="DN12" s="103">
        <v>0.33333333333333331</v>
      </c>
      <c r="DO12" s="172">
        <f t="shared" si="53"/>
        <v>0.16666666666666666</v>
      </c>
      <c r="DP12" s="104">
        <v>0</v>
      </c>
      <c r="DQ12" s="179" t="s">
        <v>166</v>
      </c>
      <c r="DR12" s="22"/>
    </row>
    <row r="13" spans="1:122" ht="15" x14ac:dyDescent="0.25">
      <c r="A13" s="322">
        <f t="shared" si="0"/>
        <v>6</v>
      </c>
      <c r="B13" s="323">
        <f t="shared" si="1"/>
        <v>44536</v>
      </c>
      <c r="C13" s="239"/>
      <c r="D13" s="240"/>
      <c r="E13" s="240"/>
      <c r="F13" s="240"/>
      <c r="G13" s="278"/>
      <c r="H13" s="305" t="str">
        <f t="shared" si="29"/>
        <v/>
      </c>
      <c r="I13" s="273" t="str">
        <f t="shared" si="30"/>
        <v/>
      </c>
      <c r="J13" s="312">
        <f t="shared" si="2"/>
        <v>0</v>
      </c>
      <c r="K13" s="313" t="str">
        <f t="shared" si="3"/>
        <v>+</v>
      </c>
      <c r="L13" s="314">
        <f t="shared" si="3"/>
        <v>0.11666666733336634</v>
      </c>
      <c r="M13" s="315">
        <f t="shared" si="31"/>
        <v>2.8000000188007919</v>
      </c>
      <c r="N13" s="242"/>
      <c r="O13" s="241"/>
      <c r="P13" s="240"/>
      <c r="Q13" s="241"/>
      <c r="R13" s="243"/>
      <c r="S13" s="231">
        <v>6</v>
      </c>
      <c r="T13" s="213"/>
      <c r="U13" s="383" t="str">
        <f>IF(TRIM(T13)="","",IF(Werklijst_nr=1,INDEX([1]Werklijst!$D$16:$D$2000,MATCH(TRIM(T13),[1]Werklijst!$A$16:$A$1000,0)),INDEX('[2] Werklijst ES'!$B$7:$B$2000,MATCH(TRIM(T13),'[2] Werklijst ES'!$A$7:$A$2000,0))))</f>
        <v/>
      </c>
      <c r="V13" s="384"/>
      <c r="W13" s="359" t="str">
        <f>IF(TRIM(T13)="","",IF(Werklijst_nr=1,INDEX([1]Werklijst!$K$16:$K$2000,MATCH(TRIM(T13),[1]Werklijst!$A$16:$A$2000,0)),INDEX('[2] Werklijst ES'!$B$7:$B$2000,MATCH(TRIM(T13),'[2] Werklijst ES'!$A$7:$A$2000,0))))</f>
        <v/>
      </c>
      <c r="X13" s="377">
        <f>AL$52</f>
        <v>0</v>
      </c>
      <c r="Y13" s="378" t="e">
        <f>AL$49</f>
        <v>#DIV/0!</v>
      </c>
      <c r="Z13" s="80">
        <f t="shared" si="32"/>
        <v>44536</v>
      </c>
      <c r="AA13" s="160">
        <f t="shared" si="4"/>
        <v>44536</v>
      </c>
      <c r="AB13" s="160">
        <f t="shared" si="5"/>
        <v>12</v>
      </c>
      <c r="AC13" s="81">
        <f t="shared" si="6"/>
        <v>2</v>
      </c>
      <c r="AD13" s="160">
        <f t="shared" si="7"/>
        <v>0</v>
      </c>
      <c r="AF13" s="27" t="s">
        <v>119</v>
      </c>
      <c r="AG13" s="100"/>
      <c r="AH13" s="82">
        <f t="shared" si="8"/>
        <v>0</v>
      </c>
      <c r="AI13" s="82">
        <f t="shared" si="8"/>
        <v>0</v>
      </c>
      <c r="AJ13" s="82">
        <f t="shared" si="8"/>
        <v>0</v>
      </c>
      <c r="AK13" s="82">
        <f t="shared" si="8"/>
        <v>0</v>
      </c>
      <c r="AL13" s="82">
        <f t="shared" si="8"/>
        <v>0</v>
      </c>
      <c r="AM13" s="82">
        <f t="shared" si="8"/>
        <v>0</v>
      </c>
      <c r="AN13" s="82">
        <f t="shared" si="8"/>
        <v>0</v>
      </c>
      <c r="AO13" s="82">
        <f t="shared" si="8"/>
        <v>0</v>
      </c>
      <c r="AP13" s="82">
        <f t="shared" si="8"/>
        <v>0</v>
      </c>
      <c r="AQ13" s="82">
        <f t="shared" si="8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2">
        <f t="shared" si="9"/>
        <v>0</v>
      </c>
      <c r="AV13" s="82">
        <f t="shared" si="9"/>
        <v>0</v>
      </c>
      <c r="AW13" s="82">
        <f t="shared" si="9"/>
        <v>0</v>
      </c>
      <c r="AX13" s="82">
        <f t="shared" si="9"/>
        <v>0</v>
      </c>
      <c r="AY13" s="82">
        <f t="shared" si="9"/>
        <v>0</v>
      </c>
      <c r="AZ13" s="82">
        <f t="shared" si="9"/>
        <v>0</v>
      </c>
      <c r="BA13" s="82">
        <f t="shared" si="9"/>
        <v>0</v>
      </c>
      <c r="BB13" s="82">
        <f t="shared" si="10"/>
        <v>0</v>
      </c>
      <c r="BC13" s="82">
        <f t="shared" si="10"/>
        <v>0</v>
      </c>
      <c r="BD13" s="82">
        <f t="shared" si="10"/>
        <v>0</v>
      </c>
      <c r="BE13" s="82">
        <f t="shared" si="10"/>
        <v>0</v>
      </c>
      <c r="BF13" s="82">
        <f t="shared" si="10"/>
        <v>0</v>
      </c>
      <c r="BG13" s="82">
        <f t="shared" si="10"/>
        <v>0</v>
      </c>
      <c r="BH13" s="82">
        <f t="shared" si="10"/>
        <v>0</v>
      </c>
      <c r="BI13" s="82">
        <f t="shared" si="10"/>
        <v>0</v>
      </c>
      <c r="BJ13" s="82">
        <f t="shared" si="10"/>
        <v>0</v>
      </c>
      <c r="BK13" s="83">
        <f t="shared" si="10"/>
        <v>0</v>
      </c>
      <c r="BM13" s="84">
        <f t="shared" si="33"/>
        <v>0</v>
      </c>
      <c r="BN13" s="85">
        <f t="shared" si="34"/>
        <v>0</v>
      </c>
      <c r="BO13" s="84">
        <f t="shared" si="11"/>
        <v>0</v>
      </c>
      <c r="BP13" s="85">
        <f t="shared" si="12"/>
        <v>0</v>
      </c>
      <c r="BQ13" s="186">
        <f t="shared" si="13"/>
        <v>0</v>
      </c>
      <c r="BR13" s="191">
        <f t="shared" si="14"/>
        <v>0</v>
      </c>
      <c r="BS13" s="186">
        <f t="shared" si="15"/>
        <v>0</v>
      </c>
      <c r="BT13" s="195">
        <f t="shared" si="16"/>
        <v>0</v>
      </c>
      <c r="BU13" s="18"/>
      <c r="BV13" s="27" t="s">
        <v>271</v>
      </c>
      <c r="BW13" s="255">
        <v>0.58333333333333337</v>
      </c>
      <c r="BX13" s="253"/>
      <c r="BY13" s="21"/>
      <c r="BZ13" s="86">
        <f t="shared" si="35"/>
        <v>6</v>
      </c>
      <c r="CA13" s="87" t="str">
        <f t="shared" si="17"/>
        <v/>
      </c>
      <c r="CB13" s="87" t="str">
        <f t="shared" si="36"/>
        <v/>
      </c>
      <c r="CC13" s="88" t="str">
        <f t="shared" si="18"/>
        <v/>
      </c>
      <c r="CD13" s="88" t="str">
        <f t="shared" si="19"/>
        <v/>
      </c>
      <c r="CE13" s="89">
        <f t="shared" si="20"/>
        <v>0</v>
      </c>
      <c r="CF13" s="90">
        <f t="shared" si="37"/>
        <v>0</v>
      </c>
      <c r="CG13" s="91">
        <f t="shared" si="38"/>
        <v>0</v>
      </c>
      <c r="CH13" s="87">
        <f t="shared" si="39"/>
        <v>0</v>
      </c>
      <c r="CI13" s="92">
        <f t="shared" si="40"/>
        <v>2.0833333333333332E-2</v>
      </c>
      <c r="CJ13" s="93">
        <f t="shared" si="41"/>
        <v>0</v>
      </c>
      <c r="CK13" s="89">
        <f t="shared" si="42"/>
        <v>0</v>
      </c>
      <c r="CL13" s="90">
        <f t="shared" si="43"/>
        <v>0</v>
      </c>
      <c r="CM13" s="185">
        <f t="shared" si="44"/>
        <v>0</v>
      </c>
      <c r="CN13" s="185">
        <f t="shared" si="45"/>
        <v>0</v>
      </c>
      <c r="CO13" s="185">
        <f t="shared" si="46"/>
        <v>0</v>
      </c>
      <c r="CP13" s="185">
        <f t="shared" si="47"/>
        <v>0</v>
      </c>
      <c r="CQ13" s="91" t="str">
        <f t="shared" si="21"/>
        <v/>
      </c>
      <c r="CR13" s="87">
        <f t="shared" si="22"/>
        <v>0</v>
      </c>
      <c r="CS13" s="87">
        <f t="shared" si="23"/>
        <v>0</v>
      </c>
      <c r="CT13" s="87">
        <f t="shared" si="48"/>
        <v>0</v>
      </c>
      <c r="CU13" s="92">
        <f t="shared" si="24"/>
        <v>0</v>
      </c>
      <c r="CV13" s="326">
        <f t="shared" si="49"/>
        <v>0</v>
      </c>
      <c r="CW13" s="328">
        <f t="shared" si="25"/>
        <v>0</v>
      </c>
      <c r="CX13" s="330">
        <f t="shared" si="50"/>
        <v>0.11666666733336634</v>
      </c>
      <c r="CY13" s="94" t="str">
        <f t="shared" si="51"/>
        <v>+</v>
      </c>
      <c r="CZ13" s="95">
        <f t="shared" si="52"/>
        <v>0.11666666733336634</v>
      </c>
      <c r="DA13" s="96">
        <f t="shared" si="27"/>
        <v>0</v>
      </c>
      <c r="DB13" s="215">
        <f t="shared" si="28"/>
        <v>0</v>
      </c>
      <c r="DC13" s="58"/>
      <c r="DD13" s="18"/>
      <c r="DE13" s="18"/>
      <c r="DF13" s="204">
        <v>9</v>
      </c>
      <c r="DG13" s="205">
        <f>januari!DG13</f>
        <v>44511</v>
      </c>
      <c r="DH13" s="18"/>
      <c r="DI13" s="18"/>
      <c r="DJ13" s="18"/>
      <c r="DK13" s="27"/>
      <c r="DL13" s="183">
        <v>5</v>
      </c>
      <c r="DM13" s="102" t="s">
        <v>195</v>
      </c>
      <c r="DN13" s="103">
        <v>0.33333333333333331</v>
      </c>
      <c r="DO13" s="172">
        <f t="shared" si="53"/>
        <v>0.16666666666666666</v>
      </c>
      <c r="DP13" s="104">
        <v>0</v>
      </c>
      <c r="DQ13" s="179" t="s">
        <v>196</v>
      </c>
      <c r="DR13" s="22"/>
    </row>
    <row r="14" spans="1:122" ht="15" x14ac:dyDescent="0.25">
      <c r="A14" s="322">
        <f t="shared" si="0"/>
        <v>7</v>
      </c>
      <c r="B14" s="323">
        <f t="shared" si="1"/>
        <v>44537</v>
      </c>
      <c r="C14" s="239"/>
      <c r="D14" s="240"/>
      <c r="E14" s="240"/>
      <c r="F14" s="240"/>
      <c r="G14" s="278"/>
      <c r="H14" s="305" t="str">
        <f t="shared" si="29"/>
        <v/>
      </c>
      <c r="I14" s="273" t="str">
        <f t="shared" si="30"/>
        <v/>
      </c>
      <c r="J14" s="312">
        <f t="shared" si="2"/>
        <v>0</v>
      </c>
      <c r="K14" s="313" t="str">
        <f t="shared" si="3"/>
        <v>+</v>
      </c>
      <c r="L14" s="314">
        <f t="shared" si="3"/>
        <v>0.11666666733336634</v>
      </c>
      <c r="M14" s="315">
        <f t="shared" si="31"/>
        <v>2.8000000188007919</v>
      </c>
      <c r="N14" s="242"/>
      <c r="O14" s="241"/>
      <c r="P14" s="240"/>
      <c r="Q14" s="241"/>
      <c r="R14" s="243"/>
      <c r="S14" s="231">
        <v>7</v>
      </c>
      <c r="T14" s="213"/>
      <c r="U14" s="383" t="str">
        <f>IF(TRIM(T14)="","",IF(Werklijst_nr=1,INDEX([1]Werklijst!$D$16:$D$2000,MATCH(TRIM(T14),[1]Werklijst!$A$16:$A$1000,0)),INDEX('[2] Werklijst ES'!$B$7:$B$2000,MATCH(TRIM(T14),'[2] Werklijst ES'!$A$7:$A$2000,0))))</f>
        <v/>
      </c>
      <c r="V14" s="384"/>
      <c r="W14" s="359" t="str">
        <f>IF(TRIM(T14)="","",IF(Werklijst_nr=1,INDEX([1]Werklijst!$K$16:$K$2000,MATCH(TRIM(T14),[1]Werklijst!$A$16:$A$2000,0)),INDEX('[2] Werklijst ES'!$B$7:$B$2000,MATCH(TRIM(T14),'[2] Werklijst ES'!$A$7:$A$2000,0))))</f>
        <v/>
      </c>
      <c r="X14" s="377">
        <f>AM$52</f>
        <v>0</v>
      </c>
      <c r="Y14" s="378" t="e">
        <f>AM$49</f>
        <v>#DIV/0!</v>
      </c>
      <c r="Z14" s="80">
        <f t="shared" si="32"/>
        <v>44537</v>
      </c>
      <c r="AA14" s="160">
        <f t="shared" si="4"/>
        <v>44537</v>
      </c>
      <c r="AB14" s="160">
        <f t="shared" si="5"/>
        <v>12</v>
      </c>
      <c r="AC14" s="81">
        <f t="shared" si="6"/>
        <v>3</v>
      </c>
      <c r="AD14" s="160">
        <f t="shared" si="7"/>
        <v>0</v>
      </c>
      <c r="AF14" s="27" t="s">
        <v>119</v>
      </c>
      <c r="AG14" s="100"/>
      <c r="AH14" s="82">
        <f t="shared" si="8"/>
        <v>0</v>
      </c>
      <c r="AI14" s="82">
        <f t="shared" si="8"/>
        <v>0</v>
      </c>
      <c r="AJ14" s="82">
        <f t="shared" si="8"/>
        <v>0</v>
      </c>
      <c r="AK14" s="82">
        <f t="shared" si="8"/>
        <v>0</v>
      </c>
      <c r="AL14" s="82">
        <f t="shared" si="8"/>
        <v>0</v>
      </c>
      <c r="AM14" s="82">
        <f t="shared" si="8"/>
        <v>0</v>
      </c>
      <c r="AN14" s="82">
        <f t="shared" si="8"/>
        <v>0</v>
      </c>
      <c r="AO14" s="82">
        <f t="shared" si="8"/>
        <v>0</v>
      </c>
      <c r="AP14" s="82">
        <f t="shared" si="8"/>
        <v>0</v>
      </c>
      <c r="AQ14" s="82">
        <f t="shared" si="8"/>
        <v>0</v>
      </c>
      <c r="AR14" s="82">
        <f t="shared" si="9"/>
        <v>0</v>
      </c>
      <c r="AS14" s="82">
        <f t="shared" si="9"/>
        <v>0</v>
      </c>
      <c r="AT14" s="82">
        <f t="shared" si="9"/>
        <v>0</v>
      </c>
      <c r="AU14" s="82">
        <f t="shared" si="9"/>
        <v>0</v>
      </c>
      <c r="AV14" s="82">
        <f t="shared" si="9"/>
        <v>0</v>
      </c>
      <c r="AW14" s="82">
        <f t="shared" si="9"/>
        <v>0</v>
      </c>
      <c r="AX14" s="82">
        <f t="shared" si="9"/>
        <v>0</v>
      </c>
      <c r="AY14" s="82">
        <f t="shared" si="9"/>
        <v>0</v>
      </c>
      <c r="AZ14" s="82">
        <f t="shared" si="9"/>
        <v>0</v>
      </c>
      <c r="BA14" s="82">
        <f t="shared" si="9"/>
        <v>0</v>
      </c>
      <c r="BB14" s="82">
        <f t="shared" si="10"/>
        <v>0</v>
      </c>
      <c r="BC14" s="82">
        <f t="shared" si="10"/>
        <v>0</v>
      </c>
      <c r="BD14" s="82">
        <f t="shared" si="10"/>
        <v>0</v>
      </c>
      <c r="BE14" s="82">
        <f t="shared" si="10"/>
        <v>0</v>
      </c>
      <c r="BF14" s="82">
        <f t="shared" si="10"/>
        <v>0</v>
      </c>
      <c r="BG14" s="82">
        <f t="shared" si="10"/>
        <v>0</v>
      </c>
      <c r="BH14" s="82">
        <f t="shared" si="10"/>
        <v>0</v>
      </c>
      <c r="BI14" s="82">
        <f t="shared" si="10"/>
        <v>0</v>
      </c>
      <c r="BJ14" s="82">
        <f t="shared" si="10"/>
        <v>0</v>
      </c>
      <c r="BK14" s="83">
        <f t="shared" si="10"/>
        <v>0</v>
      </c>
      <c r="BM14" s="84">
        <f t="shared" si="33"/>
        <v>0</v>
      </c>
      <c r="BN14" s="85">
        <f t="shared" si="34"/>
        <v>0</v>
      </c>
      <c r="BO14" s="84">
        <f t="shared" si="11"/>
        <v>0</v>
      </c>
      <c r="BP14" s="85">
        <f t="shared" si="12"/>
        <v>0</v>
      </c>
      <c r="BQ14" s="186">
        <f t="shared" si="13"/>
        <v>0</v>
      </c>
      <c r="BR14" s="191">
        <f t="shared" si="14"/>
        <v>0</v>
      </c>
      <c r="BS14" s="186">
        <f t="shared" si="15"/>
        <v>0</v>
      </c>
      <c r="BT14" s="195">
        <f t="shared" si="16"/>
        <v>0</v>
      </c>
      <c r="BU14" s="18"/>
      <c r="BV14" s="27" t="s">
        <v>273</v>
      </c>
      <c r="BW14" s="255">
        <v>0.66666666666666663</v>
      </c>
      <c r="BX14" s="253"/>
      <c r="BY14" s="21"/>
      <c r="BZ14" s="86">
        <f t="shared" si="35"/>
        <v>7</v>
      </c>
      <c r="CA14" s="87" t="str">
        <f t="shared" si="17"/>
        <v/>
      </c>
      <c r="CB14" s="87" t="str">
        <f t="shared" si="36"/>
        <v/>
      </c>
      <c r="CC14" s="88" t="str">
        <f t="shared" si="18"/>
        <v/>
      </c>
      <c r="CD14" s="88" t="str">
        <f t="shared" si="19"/>
        <v/>
      </c>
      <c r="CE14" s="89">
        <f t="shared" si="20"/>
        <v>0</v>
      </c>
      <c r="CF14" s="90">
        <f t="shared" si="37"/>
        <v>0</v>
      </c>
      <c r="CG14" s="91">
        <f t="shared" si="38"/>
        <v>0</v>
      </c>
      <c r="CH14" s="87">
        <f t="shared" si="39"/>
        <v>0</v>
      </c>
      <c r="CI14" s="92">
        <f t="shared" si="40"/>
        <v>2.0833333333333332E-2</v>
      </c>
      <c r="CJ14" s="93">
        <f t="shared" si="41"/>
        <v>0</v>
      </c>
      <c r="CK14" s="89">
        <f t="shared" si="42"/>
        <v>0</v>
      </c>
      <c r="CL14" s="90">
        <f t="shared" si="43"/>
        <v>0</v>
      </c>
      <c r="CM14" s="185">
        <f t="shared" si="44"/>
        <v>0</v>
      </c>
      <c r="CN14" s="185">
        <f t="shared" si="45"/>
        <v>0</v>
      </c>
      <c r="CO14" s="185">
        <f t="shared" si="46"/>
        <v>0</v>
      </c>
      <c r="CP14" s="185">
        <f t="shared" si="47"/>
        <v>0</v>
      </c>
      <c r="CQ14" s="91" t="str">
        <f t="shared" si="21"/>
        <v/>
      </c>
      <c r="CR14" s="87">
        <f t="shared" si="22"/>
        <v>0</v>
      </c>
      <c r="CS14" s="87">
        <f t="shared" si="23"/>
        <v>0</v>
      </c>
      <c r="CT14" s="87">
        <f t="shared" si="48"/>
        <v>0</v>
      </c>
      <c r="CU14" s="92">
        <f t="shared" si="24"/>
        <v>0</v>
      </c>
      <c r="CV14" s="326">
        <f t="shared" si="49"/>
        <v>0</v>
      </c>
      <c r="CW14" s="328">
        <f t="shared" si="25"/>
        <v>0</v>
      </c>
      <c r="CX14" s="330">
        <f t="shared" si="50"/>
        <v>0.11666666733336634</v>
      </c>
      <c r="CY14" s="94" t="str">
        <f t="shared" si="51"/>
        <v>+</v>
      </c>
      <c r="CZ14" s="95">
        <f t="shared" si="52"/>
        <v>0.11666666733336634</v>
      </c>
      <c r="DA14" s="96">
        <f t="shared" si="27"/>
        <v>0</v>
      </c>
      <c r="DB14" s="215">
        <f t="shared" si="28"/>
        <v>0</v>
      </c>
      <c r="DC14" s="58"/>
      <c r="DD14" s="18"/>
      <c r="DE14" s="18"/>
      <c r="DF14" s="204">
        <v>10</v>
      </c>
      <c r="DG14" s="205">
        <f>januari!DG14</f>
        <v>44555</v>
      </c>
      <c r="DH14" s="18"/>
      <c r="DI14" s="18"/>
      <c r="DJ14" s="18"/>
      <c r="DK14" s="27"/>
      <c r="DL14" s="183">
        <v>7</v>
      </c>
      <c r="DM14" s="102" t="s">
        <v>43</v>
      </c>
      <c r="DN14" s="103">
        <v>0.33333333333333331</v>
      </c>
      <c r="DO14" s="172">
        <f t="shared" si="53"/>
        <v>0.16666666666666666</v>
      </c>
      <c r="DP14" s="104">
        <v>0</v>
      </c>
      <c r="DQ14" s="179" t="s">
        <v>193</v>
      </c>
      <c r="DR14" s="22"/>
    </row>
    <row r="15" spans="1:122" ht="15" x14ac:dyDescent="0.25">
      <c r="A15" s="322">
        <f t="shared" si="0"/>
        <v>8</v>
      </c>
      <c r="B15" s="323">
        <f t="shared" si="1"/>
        <v>44538</v>
      </c>
      <c r="C15" s="239"/>
      <c r="D15" s="240"/>
      <c r="E15" s="240"/>
      <c r="F15" s="240"/>
      <c r="G15" s="278"/>
      <c r="H15" s="305" t="str">
        <f t="shared" si="29"/>
        <v/>
      </c>
      <c r="I15" s="273" t="str">
        <f t="shared" si="30"/>
        <v/>
      </c>
      <c r="J15" s="312">
        <f t="shared" si="2"/>
        <v>0</v>
      </c>
      <c r="K15" s="313" t="str">
        <f t="shared" si="3"/>
        <v>+</v>
      </c>
      <c r="L15" s="314">
        <f t="shared" si="3"/>
        <v>0.11666666733336634</v>
      </c>
      <c r="M15" s="315">
        <f t="shared" si="31"/>
        <v>2.8000000188007919</v>
      </c>
      <c r="N15" s="242"/>
      <c r="O15" s="241"/>
      <c r="P15" s="240"/>
      <c r="Q15" s="241"/>
      <c r="R15" s="243"/>
      <c r="S15" s="231">
        <v>8</v>
      </c>
      <c r="T15" s="213"/>
      <c r="U15" s="383" t="str">
        <f>IF(TRIM(T15)="","",IF(Werklijst_nr=1,INDEX([1]Werklijst!$D$16:$D$2000,MATCH(TRIM(T15),[1]Werklijst!$A$16:$A$1000,0)),INDEX('[2] Werklijst ES'!$B$7:$B$2000,MATCH(TRIM(T15),'[2] Werklijst ES'!$A$7:$A$2000,0))))</f>
        <v/>
      </c>
      <c r="V15" s="384"/>
      <c r="W15" s="359" t="str">
        <f>IF(TRIM(T15)="","",IF(Werklijst_nr=1,INDEX([1]Werklijst!$K$16:$K$2000,MATCH(TRIM(T15),[1]Werklijst!$A$16:$A$2000,0)),INDEX('[2] Werklijst ES'!$B$7:$B$2000,MATCH(TRIM(T15),'[2] Werklijst ES'!$A$7:$A$2000,0))))</f>
        <v/>
      </c>
      <c r="X15" s="377">
        <f>AN$52</f>
        <v>0</v>
      </c>
      <c r="Y15" s="378" t="e">
        <f>AN$49</f>
        <v>#DIV/0!</v>
      </c>
      <c r="Z15" s="80">
        <f t="shared" si="32"/>
        <v>44538</v>
      </c>
      <c r="AA15" s="160">
        <f t="shared" si="4"/>
        <v>44538</v>
      </c>
      <c r="AB15" s="160">
        <f t="shared" si="5"/>
        <v>12</v>
      </c>
      <c r="AC15" s="81">
        <f t="shared" si="6"/>
        <v>4</v>
      </c>
      <c r="AD15" s="160">
        <f t="shared" si="7"/>
        <v>0</v>
      </c>
      <c r="AF15" s="27" t="s">
        <v>119</v>
      </c>
      <c r="AG15" s="100"/>
      <c r="AH15" s="82">
        <f t="shared" si="8"/>
        <v>0</v>
      </c>
      <c r="AI15" s="82">
        <f t="shared" si="8"/>
        <v>0</v>
      </c>
      <c r="AJ15" s="82">
        <f t="shared" si="8"/>
        <v>0</v>
      </c>
      <c r="AK15" s="82">
        <f t="shared" si="8"/>
        <v>0</v>
      </c>
      <c r="AL15" s="82">
        <f t="shared" si="8"/>
        <v>0</v>
      </c>
      <c r="AM15" s="82">
        <f t="shared" si="8"/>
        <v>0</v>
      </c>
      <c r="AN15" s="82">
        <f t="shared" si="8"/>
        <v>0</v>
      </c>
      <c r="AO15" s="82">
        <f t="shared" si="8"/>
        <v>0</v>
      </c>
      <c r="AP15" s="82">
        <f t="shared" si="8"/>
        <v>0</v>
      </c>
      <c r="AQ15" s="82">
        <f t="shared" si="8"/>
        <v>0</v>
      </c>
      <c r="AR15" s="82">
        <f t="shared" si="9"/>
        <v>0</v>
      </c>
      <c r="AS15" s="82">
        <f t="shared" si="9"/>
        <v>0</v>
      </c>
      <c r="AT15" s="82">
        <f t="shared" si="9"/>
        <v>0</v>
      </c>
      <c r="AU15" s="82">
        <f t="shared" si="9"/>
        <v>0</v>
      </c>
      <c r="AV15" s="82">
        <f t="shared" si="9"/>
        <v>0</v>
      </c>
      <c r="AW15" s="82">
        <f t="shared" si="9"/>
        <v>0</v>
      </c>
      <c r="AX15" s="82">
        <f t="shared" si="9"/>
        <v>0</v>
      </c>
      <c r="AY15" s="82">
        <f t="shared" si="9"/>
        <v>0</v>
      </c>
      <c r="AZ15" s="82">
        <f t="shared" si="9"/>
        <v>0</v>
      </c>
      <c r="BA15" s="82">
        <f t="shared" si="9"/>
        <v>0</v>
      </c>
      <c r="BB15" s="82">
        <f t="shared" si="10"/>
        <v>0</v>
      </c>
      <c r="BC15" s="82">
        <f t="shared" si="10"/>
        <v>0</v>
      </c>
      <c r="BD15" s="82">
        <f t="shared" si="10"/>
        <v>0</v>
      </c>
      <c r="BE15" s="82">
        <f t="shared" si="10"/>
        <v>0</v>
      </c>
      <c r="BF15" s="82">
        <f t="shared" si="10"/>
        <v>0</v>
      </c>
      <c r="BG15" s="82">
        <f t="shared" si="10"/>
        <v>0</v>
      </c>
      <c r="BH15" s="82">
        <f t="shared" si="10"/>
        <v>0</v>
      </c>
      <c r="BI15" s="82">
        <f t="shared" si="10"/>
        <v>0</v>
      </c>
      <c r="BJ15" s="82">
        <f t="shared" si="10"/>
        <v>0</v>
      </c>
      <c r="BK15" s="83">
        <f t="shared" si="10"/>
        <v>0</v>
      </c>
      <c r="BM15" s="84">
        <f t="shared" si="33"/>
        <v>0</v>
      </c>
      <c r="BN15" s="85">
        <f t="shared" si="34"/>
        <v>0</v>
      </c>
      <c r="BO15" s="84">
        <f t="shared" si="11"/>
        <v>0</v>
      </c>
      <c r="BP15" s="85">
        <f t="shared" si="12"/>
        <v>0</v>
      </c>
      <c r="BQ15" s="186">
        <f t="shared" si="13"/>
        <v>0</v>
      </c>
      <c r="BR15" s="191">
        <f t="shared" si="14"/>
        <v>0</v>
      </c>
      <c r="BS15" s="186">
        <f t="shared" si="15"/>
        <v>0</v>
      </c>
      <c r="BT15" s="195">
        <f t="shared" si="16"/>
        <v>0</v>
      </c>
      <c r="BU15" s="18"/>
      <c r="BV15" s="27" t="s">
        <v>273</v>
      </c>
      <c r="BW15" s="255">
        <v>0.75</v>
      </c>
      <c r="BX15" s="253"/>
      <c r="BY15" s="21"/>
      <c r="BZ15" s="86">
        <f t="shared" si="35"/>
        <v>8</v>
      </c>
      <c r="CA15" s="87" t="str">
        <f t="shared" si="17"/>
        <v/>
      </c>
      <c r="CB15" s="87" t="str">
        <f t="shared" si="36"/>
        <v/>
      </c>
      <c r="CC15" s="88" t="str">
        <f t="shared" si="18"/>
        <v/>
      </c>
      <c r="CD15" s="88" t="str">
        <f t="shared" si="19"/>
        <v/>
      </c>
      <c r="CE15" s="89">
        <f t="shared" si="20"/>
        <v>0</v>
      </c>
      <c r="CF15" s="90">
        <f t="shared" si="37"/>
        <v>0</v>
      </c>
      <c r="CG15" s="91">
        <f t="shared" si="38"/>
        <v>0</v>
      </c>
      <c r="CH15" s="87">
        <f t="shared" si="39"/>
        <v>0</v>
      </c>
      <c r="CI15" s="92">
        <f t="shared" si="40"/>
        <v>2.0833333333333332E-2</v>
      </c>
      <c r="CJ15" s="93">
        <f t="shared" si="41"/>
        <v>0</v>
      </c>
      <c r="CK15" s="89">
        <f t="shared" si="42"/>
        <v>0</v>
      </c>
      <c r="CL15" s="90">
        <f t="shared" si="43"/>
        <v>0</v>
      </c>
      <c r="CM15" s="185">
        <f t="shared" si="44"/>
        <v>0</v>
      </c>
      <c r="CN15" s="185">
        <f t="shared" si="45"/>
        <v>0</v>
      </c>
      <c r="CO15" s="185">
        <f t="shared" si="46"/>
        <v>0</v>
      </c>
      <c r="CP15" s="185">
        <f t="shared" si="47"/>
        <v>0</v>
      </c>
      <c r="CQ15" s="91" t="str">
        <f t="shared" si="21"/>
        <v/>
      </c>
      <c r="CR15" s="87">
        <f t="shared" si="22"/>
        <v>0</v>
      </c>
      <c r="CS15" s="87">
        <f t="shared" si="23"/>
        <v>0</v>
      </c>
      <c r="CT15" s="87">
        <f t="shared" si="48"/>
        <v>0</v>
      </c>
      <c r="CU15" s="92">
        <f t="shared" si="24"/>
        <v>0</v>
      </c>
      <c r="CV15" s="326">
        <f t="shared" si="49"/>
        <v>0</v>
      </c>
      <c r="CW15" s="328">
        <f t="shared" si="25"/>
        <v>0</v>
      </c>
      <c r="CX15" s="330">
        <f t="shared" si="50"/>
        <v>0.11666666733336634</v>
      </c>
      <c r="CY15" s="94" t="str">
        <f t="shared" si="51"/>
        <v>+</v>
      </c>
      <c r="CZ15" s="95">
        <f t="shared" si="52"/>
        <v>0.11666666733336634</v>
      </c>
      <c r="DA15" s="96">
        <f t="shared" si="27"/>
        <v>0</v>
      </c>
      <c r="DB15" s="215">
        <f t="shared" si="28"/>
        <v>0</v>
      </c>
      <c r="DC15" s="58"/>
      <c r="DD15" s="18"/>
      <c r="DE15" s="18"/>
      <c r="DF15" s="204">
        <v>11</v>
      </c>
      <c r="DG15" s="205">
        <f>januari!DG15</f>
        <v>44556</v>
      </c>
      <c r="DH15" s="18"/>
      <c r="DI15" s="18"/>
      <c r="DJ15" s="18"/>
      <c r="DK15" s="27"/>
      <c r="DL15" s="183">
        <v>8</v>
      </c>
      <c r="DM15" s="102" t="s">
        <v>197</v>
      </c>
      <c r="DN15" s="103">
        <v>0.33333333333333331</v>
      </c>
      <c r="DO15" s="172">
        <f t="shared" si="53"/>
        <v>0.16666666666666666</v>
      </c>
      <c r="DP15" s="104">
        <v>0</v>
      </c>
      <c r="DQ15" s="179" t="s">
        <v>198</v>
      </c>
      <c r="DR15" s="22"/>
    </row>
    <row r="16" spans="1:122" ht="15" x14ac:dyDescent="0.25">
      <c r="A16" s="322">
        <f t="shared" si="0"/>
        <v>9</v>
      </c>
      <c r="B16" s="323">
        <f t="shared" si="1"/>
        <v>44539</v>
      </c>
      <c r="C16" s="239"/>
      <c r="D16" s="240"/>
      <c r="E16" s="240"/>
      <c r="F16" s="240"/>
      <c r="G16" s="278"/>
      <c r="H16" s="305" t="str">
        <f t="shared" si="29"/>
        <v/>
      </c>
      <c r="I16" s="273" t="str">
        <f t="shared" si="30"/>
        <v/>
      </c>
      <c r="J16" s="312">
        <f t="shared" si="2"/>
        <v>0</v>
      </c>
      <c r="K16" s="313" t="str">
        <f t="shared" si="3"/>
        <v>+</v>
      </c>
      <c r="L16" s="314">
        <f t="shared" si="3"/>
        <v>0.11666666733336634</v>
      </c>
      <c r="M16" s="315">
        <f t="shared" si="31"/>
        <v>2.8000000188007919</v>
      </c>
      <c r="N16" s="242"/>
      <c r="O16" s="241"/>
      <c r="P16" s="240"/>
      <c r="Q16" s="241"/>
      <c r="R16" s="243"/>
      <c r="S16" s="231">
        <v>9</v>
      </c>
      <c r="T16" s="213"/>
      <c r="U16" s="383" t="str">
        <f>IF(TRIM(T16)="","",IF(Werklijst_nr=1,INDEX([1]Werklijst!$D$16:$D$2000,MATCH(TRIM(T16),[1]Werklijst!$A$16:$A$1000,0)),INDEX('[2] Werklijst ES'!$B$7:$B$2000,MATCH(TRIM(T16),'[2] Werklijst ES'!$A$7:$A$2000,0))))</f>
        <v/>
      </c>
      <c r="V16" s="384"/>
      <c r="W16" s="359" t="str">
        <f>IF(TRIM(T16)="","",IF(Werklijst_nr=1,INDEX([1]Werklijst!$K$16:$K$2000,MATCH(TRIM(T16),[1]Werklijst!$A$16:$A$2000,0)),INDEX('[2] Werklijst ES'!$B$7:$B$2000,MATCH(TRIM(T16),'[2] Werklijst ES'!$A$7:$A$2000,0))))</f>
        <v/>
      </c>
      <c r="X16" s="377">
        <f>AO$52</f>
        <v>0</v>
      </c>
      <c r="Y16" s="378" t="e">
        <f>AO$49</f>
        <v>#DIV/0!</v>
      </c>
      <c r="Z16" s="80">
        <f t="shared" si="32"/>
        <v>44539</v>
      </c>
      <c r="AA16" s="160">
        <f t="shared" si="4"/>
        <v>44539</v>
      </c>
      <c r="AB16" s="160">
        <f t="shared" si="5"/>
        <v>12</v>
      </c>
      <c r="AC16" s="81">
        <f t="shared" si="6"/>
        <v>5</v>
      </c>
      <c r="AD16" s="160">
        <f t="shared" si="7"/>
        <v>0</v>
      </c>
      <c r="AF16" s="27" t="s">
        <v>119</v>
      </c>
      <c r="AG16" s="100"/>
      <c r="AH16" s="82">
        <f t="shared" si="8"/>
        <v>0</v>
      </c>
      <c r="AI16" s="82">
        <f t="shared" si="8"/>
        <v>0</v>
      </c>
      <c r="AJ16" s="82">
        <f t="shared" si="8"/>
        <v>0</v>
      </c>
      <c r="AK16" s="82">
        <f t="shared" si="8"/>
        <v>0</v>
      </c>
      <c r="AL16" s="82">
        <f t="shared" si="8"/>
        <v>0</v>
      </c>
      <c r="AM16" s="82">
        <f t="shared" si="8"/>
        <v>0</v>
      </c>
      <c r="AN16" s="82">
        <f t="shared" si="8"/>
        <v>0</v>
      </c>
      <c r="AO16" s="82">
        <f t="shared" si="8"/>
        <v>0</v>
      </c>
      <c r="AP16" s="82">
        <f t="shared" si="8"/>
        <v>0</v>
      </c>
      <c r="AQ16" s="82">
        <f t="shared" si="8"/>
        <v>0</v>
      </c>
      <c r="AR16" s="82">
        <f t="shared" si="9"/>
        <v>0</v>
      </c>
      <c r="AS16" s="82">
        <f t="shared" si="9"/>
        <v>0</v>
      </c>
      <c r="AT16" s="82">
        <f t="shared" si="9"/>
        <v>0</v>
      </c>
      <c r="AU16" s="82">
        <f t="shared" si="9"/>
        <v>0</v>
      </c>
      <c r="AV16" s="82">
        <f t="shared" si="9"/>
        <v>0</v>
      </c>
      <c r="AW16" s="82">
        <f t="shared" si="9"/>
        <v>0</v>
      </c>
      <c r="AX16" s="82">
        <f t="shared" si="9"/>
        <v>0</v>
      </c>
      <c r="AY16" s="82">
        <f t="shared" si="9"/>
        <v>0</v>
      </c>
      <c r="AZ16" s="82">
        <f t="shared" si="9"/>
        <v>0</v>
      </c>
      <c r="BA16" s="82">
        <f t="shared" si="9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2">
        <f t="shared" si="10"/>
        <v>0</v>
      </c>
      <c r="BK16" s="83">
        <f t="shared" si="10"/>
        <v>0</v>
      </c>
      <c r="BM16" s="84">
        <f t="shared" si="33"/>
        <v>0</v>
      </c>
      <c r="BN16" s="85">
        <f t="shared" si="34"/>
        <v>0</v>
      </c>
      <c r="BO16" s="84">
        <f t="shared" si="11"/>
        <v>0</v>
      </c>
      <c r="BP16" s="85">
        <f t="shared" si="12"/>
        <v>0</v>
      </c>
      <c r="BQ16" s="186">
        <f t="shared" si="13"/>
        <v>0</v>
      </c>
      <c r="BR16" s="191">
        <f t="shared" si="14"/>
        <v>0</v>
      </c>
      <c r="BS16" s="186">
        <f t="shared" si="15"/>
        <v>0</v>
      </c>
      <c r="BT16" s="195">
        <f t="shared" si="16"/>
        <v>0</v>
      </c>
      <c r="BU16" s="18"/>
      <c r="BV16" s="27" t="s">
        <v>204</v>
      </c>
      <c r="BW16" s="255">
        <v>0.77083333333333337</v>
      </c>
      <c r="BX16" s="253"/>
      <c r="BY16" s="21"/>
      <c r="BZ16" s="86">
        <f t="shared" si="35"/>
        <v>9</v>
      </c>
      <c r="CA16" s="87" t="str">
        <f t="shared" si="17"/>
        <v/>
      </c>
      <c r="CB16" s="87" t="str">
        <f t="shared" si="36"/>
        <v/>
      </c>
      <c r="CC16" s="88" t="str">
        <f t="shared" si="18"/>
        <v/>
      </c>
      <c r="CD16" s="88" t="str">
        <f t="shared" si="19"/>
        <v/>
      </c>
      <c r="CE16" s="89">
        <f t="shared" si="20"/>
        <v>0</v>
      </c>
      <c r="CF16" s="90">
        <f t="shared" si="37"/>
        <v>0</v>
      </c>
      <c r="CG16" s="91">
        <f t="shared" si="38"/>
        <v>0</v>
      </c>
      <c r="CH16" s="87">
        <f t="shared" si="39"/>
        <v>0</v>
      </c>
      <c r="CI16" s="92">
        <f t="shared" si="40"/>
        <v>2.0833333333333332E-2</v>
      </c>
      <c r="CJ16" s="93">
        <f t="shared" si="41"/>
        <v>0</v>
      </c>
      <c r="CK16" s="89">
        <f t="shared" si="42"/>
        <v>0</v>
      </c>
      <c r="CL16" s="90">
        <f t="shared" si="43"/>
        <v>0</v>
      </c>
      <c r="CM16" s="185">
        <f t="shared" si="44"/>
        <v>0</v>
      </c>
      <c r="CN16" s="185">
        <f t="shared" si="45"/>
        <v>0</v>
      </c>
      <c r="CO16" s="185">
        <f t="shared" si="46"/>
        <v>0</v>
      </c>
      <c r="CP16" s="185">
        <f t="shared" si="47"/>
        <v>0</v>
      </c>
      <c r="CQ16" s="91" t="str">
        <f t="shared" si="21"/>
        <v/>
      </c>
      <c r="CR16" s="87">
        <f t="shared" si="22"/>
        <v>0</v>
      </c>
      <c r="CS16" s="87">
        <f t="shared" si="23"/>
        <v>0</v>
      </c>
      <c r="CT16" s="87">
        <f t="shared" si="48"/>
        <v>0</v>
      </c>
      <c r="CU16" s="92">
        <f t="shared" si="24"/>
        <v>0</v>
      </c>
      <c r="CV16" s="326">
        <f t="shared" si="49"/>
        <v>0</v>
      </c>
      <c r="CW16" s="328">
        <f t="shared" si="25"/>
        <v>0</v>
      </c>
      <c r="CX16" s="330">
        <f t="shared" si="50"/>
        <v>0.11666666733336634</v>
      </c>
      <c r="CY16" s="94" t="str">
        <f t="shared" si="51"/>
        <v>+</v>
      </c>
      <c r="CZ16" s="95">
        <f t="shared" si="52"/>
        <v>0.11666666733336634</v>
      </c>
      <c r="DA16" s="96">
        <f t="shared" si="27"/>
        <v>0</v>
      </c>
      <c r="DB16" s="215">
        <f t="shared" si="28"/>
        <v>0</v>
      </c>
      <c r="DC16" s="58"/>
      <c r="DD16" s="18"/>
      <c r="DE16" s="18"/>
      <c r="DF16" s="204">
        <v>12</v>
      </c>
      <c r="DG16" s="205"/>
      <c r="DH16" s="18"/>
      <c r="DI16" s="18"/>
      <c r="DJ16" s="18"/>
      <c r="DK16" s="27"/>
      <c r="DL16" s="183">
        <v>9</v>
      </c>
      <c r="DM16" s="102" t="s">
        <v>87</v>
      </c>
      <c r="DN16" s="103" t="s">
        <v>233</v>
      </c>
      <c r="DO16" s="103" t="s">
        <v>233</v>
      </c>
      <c r="DP16" s="104">
        <v>0</v>
      </c>
      <c r="DQ16" s="179" t="s">
        <v>199</v>
      </c>
      <c r="DR16" s="22"/>
    </row>
    <row r="17" spans="1:122" ht="15" x14ac:dyDescent="0.25">
      <c r="A17" s="322">
        <f t="shared" si="0"/>
        <v>10</v>
      </c>
      <c r="B17" s="323">
        <f t="shared" si="1"/>
        <v>44540</v>
      </c>
      <c r="C17" s="239"/>
      <c r="D17" s="240"/>
      <c r="E17" s="240"/>
      <c r="F17" s="240"/>
      <c r="G17" s="278"/>
      <c r="H17" s="305" t="str">
        <f t="shared" si="29"/>
        <v/>
      </c>
      <c r="I17" s="273" t="str">
        <f t="shared" si="30"/>
        <v/>
      </c>
      <c r="J17" s="312">
        <f t="shared" si="2"/>
        <v>0</v>
      </c>
      <c r="K17" s="313" t="str">
        <f t="shared" si="3"/>
        <v>+</v>
      </c>
      <c r="L17" s="314">
        <f t="shared" si="3"/>
        <v>0.11666666733336634</v>
      </c>
      <c r="M17" s="315">
        <f t="shared" si="31"/>
        <v>2.8000000188007919</v>
      </c>
      <c r="N17" s="242"/>
      <c r="O17" s="241"/>
      <c r="P17" s="240"/>
      <c r="Q17" s="241"/>
      <c r="R17" s="243"/>
      <c r="S17" s="231">
        <v>10</v>
      </c>
      <c r="T17" s="213"/>
      <c r="U17" s="383" t="str">
        <f>IF(TRIM(T17)="","",IF(Werklijst_nr=1,INDEX([1]Werklijst!$D$16:$D$2000,MATCH(TRIM(T17),[1]Werklijst!$A$16:$A$1000,0)),INDEX('[2] Werklijst ES'!$B$7:$B$2000,MATCH(TRIM(T17),'[2] Werklijst ES'!$A$7:$A$2000,0))))</f>
        <v/>
      </c>
      <c r="V17" s="384"/>
      <c r="W17" s="359" t="str">
        <f>IF(TRIM(T17)="","",IF(Werklijst_nr=1,INDEX([1]Werklijst!$K$16:$K$2000,MATCH(TRIM(T17),[1]Werklijst!$A$16:$A$2000,0)),INDEX('[2] Werklijst ES'!$B$7:$B$2000,MATCH(TRIM(T17),'[2] Werklijst ES'!$A$7:$A$2000,0))))</f>
        <v/>
      </c>
      <c r="X17" s="377">
        <f>AP$52</f>
        <v>0</v>
      </c>
      <c r="Y17" s="378" t="e">
        <f>AP$49</f>
        <v>#DIV/0!</v>
      </c>
      <c r="Z17" s="80">
        <f t="shared" si="32"/>
        <v>44540</v>
      </c>
      <c r="AA17" s="160">
        <f t="shared" si="4"/>
        <v>44540</v>
      </c>
      <c r="AB17" s="160">
        <f t="shared" si="5"/>
        <v>12</v>
      </c>
      <c r="AC17" s="81">
        <f t="shared" si="6"/>
        <v>6</v>
      </c>
      <c r="AD17" s="160">
        <f t="shared" si="7"/>
        <v>0</v>
      </c>
      <c r="AF17" s="27" t="s">
        <v>119</v>
      </c>
      <c r="AG17" s="100"/>
      <c r="AH17" s="82">
        <f t="shared" si="8"/>
        <v>0</v>
      </c>
      <c r="AI17" s="82">
        <f t="shared" si="8"/>
        <v>0</v>
      </c>
      <c r="AJ17" s="82">
        <f t="shared" si="8"/>
        <v>0</v>
      </c>
      <c r="AK17" s="82">
        <f t="shared" si="8"/>
        <v>0</v>
      </c>
      <c r="AL17" s="82">
        <f t="shared" si="8"/>
        <v>0</v>
      </c>
      <c r="AM17" s="82">
        <f t="shared" si="8"/>
        <v>0</v>
      </c>
      <c r="AN17" s="82">
        <f t="shared" si="8"/>
        <v>0</v>
      </c>
      <c r="AO17" s="82">
        <f t="shared" si="8"/>
        <v>0</v>
      </c>
      <c r="AP17" s="82">
        <f t="shared" si="8"/>
        <v>0</v>
      </c>
      <c r="AQ17" s="82">
        <f t="shared" si="8"/>
        <v>0</v>
      </c>
      <c r="AR17" s="82">
        <f t="shared" si="9"/>
        <v>0</v>
      </c>
      <c r="AS17" s="82">
        <f t="shared" si="9"/>
        <v>0</v>
      </c>
      <c r="AT17" s="82">
        <f t="shared" si="9"/>
        <v>0</v>
      </c>
      <c r="AU17" s="82">
        <f t="shared" si="9"/>
        <v>0</v>
      </c>
      <c r="AV17" s="82">
        <f t="shared" si="9"/>
        <v>0</v>
      </c>
      <c r="AW17" s="82">
        <f t="shared" si="9"/>
        <v>0</v>
      </c>
      <c r="AX17" s="82">
        <f t="shared" si="9"/>
        <v>0</v>
      </c>
      <c r="AY17" s="82">
        <f t="shared" si="9"/>
        <v>0</v>
      </c>
      <c r="AZ17" s="82">
        <f t="shared" si="9"/>
        <v>0</v>
      </c>
      <c r="BA17" s="82">
        <f t="shared" si="9"/>
        <v>0</v>
      </c>
      <c r="BB17" s="82">
        <f t="shared" si="10"/>
        <v>0</v>
      </c>
      <c r="BC17" s="82">
        <f t="shared" si="10"/>
        <v>0</v>
      </c>
      <c r="BD17" s="82">
        <f t="shared" si="10"/>
        <v>0</v>
      </c>
      <c r="BE17" s="82">
        <f t="shared" si="10"/>
        <v>0</v>
      </c>
      <c r="BF17" s="82">
        <f t="shared" si="10"/>
        <v>0</v>
      </c>
      <c r="BG17" s="82">
        <f t="shared" si="10"/>
        <v>0</v>
      </c>
      <c r="BH17" s="82">
        <f t="shared" si="10"/>
        <v>0</v>
      </c>
      <c r="BI17" s="82">
        <f t="shared" si="10"/>
        <v>0</v>
      </c>
      <c r="BJ17" s="82">
        <f t="shared" si="10"/>
        <v>0</v>
      </c>
      <c r="BK17" s="83">
        <f t="shared" si="10"/>
        <v>0</v>
      </c>
      <c r="BM17" s="84">
        <f t="shared" si="33"/>
        <v>0</v>
      </c>
      <c r="BN17" s="85">
        <f t="shared" si="34"/>
        <v>0</v>
      </c>
      <c r="BO17" s="84">
        <f t="shared" si="11"/>
        <v>0</v>
      </c>
      <c r="BP17" s="85">
        <f t="shared" si="12"/>
        <v>0</v>
      </c>
      <c r="BQ17" s="186">
        <f t="shared" si="13"/>
        <v>0</v>
      </c>
      <c r="BR17" s="191">
        <f t="shared" si="14"/>
        <v>0</v>
      </c>
      <c r="BS17" s="186">
        <f t="shared" si="15"/>
        <v>0</v>
      </c>
      <c r="BT17" s="195">
        <f t="shared" si="16"/>
        <v>0</v>
      </c>
      <c r="BU17" s="18"/>
      <c r="BV17" s="27" t="s">
        <v>274</v>
      </c>
      <c r="BW17" s="255">
        <f>IF(Arbeidsstelsel=4,BX29,BX26)</f>
        <v>0.31666666666666665</v>
      </c>
      <c r="BX17" s="329">
        <f>BW17</f>
        <v>0.31666666666666665</v>
      </c>
      <c r="BY17" s="21"/>
      <c r="BZ17" s="86">
        <f t="shared" si="35"/>
        <v>10</v>
      </c>
      <c r="CA17" s="87" t="str">
        <f t="shared" si="17"/>
        <v/>
      </c>
      <c r="CB17" s="87" t="str">
        <f t="shared" si="36"/>
        <v/>
      </c>
      <c r="CC17" s="88" t="str">
        <f t="shared" si="18"/>
        <v/>
      </c>
      <c r="CD17" s="88" t="str">
        <f t="shared" si="19"/>
        <v/>
      </c>
      <c r="CE17" s="89">
        <f t="shared" si="20"/>
        <v>0</v>
      </c>
      <c r="CF17" s="90">
        <f t="shared" si="37"/>
        <v>0</v>
      </c>
      <c r="CG17" s="91">
        <f t="shared" si="38"/>
        <v>0</v>
      </c>
      <c r="CH17" s="87">
        <f t="shared" si="39"/>
        <v>0</v>
      </c>
      <c r="CI17" s="92">
        <f t="shared" si="40"/>
        <v>2.0833333333333332E-2</v>
      </c>
      <c r="CJ17" s="93">
        <f t="shared" si="41"/>
        <v>0</v>
      </c>
      <c r="CK17" s="89">
        <f t="shared" si="42"/>
        <v>0</v>
      </c>
      <c r="CL17" s="90">
        <f t="shared" si="43"/>
        <v>0</v>
      </c>
      <c r="CM17" s="185">
        <f t="shared" si="44"/>
        <v>0</v>
      </c>
      <c r="CN17" s="185">
        <f t="shared" si="45"/>
        <v>0</v>
      </c>
      <c r="CO17" s="185">
        <f t="shared" si="46"/>
        <v>0</v>
      </c>
      <c r="CP17" s="185">
        <f t="shared" si="47"/>
        <v>0</v>
      </c>
      <c r="CQ17" s="91" t="str">
        <f t="shared" si="21"/>
        <v/>
      </c>
      <c r="CR17" s="87">
        <f t="shared" si="22"/>
        <v>0</v>
      </c>
      <c r="CS17" s="87">
        <f t="shared" si="23"/>
        <v>0</v>
      </c>
      <c r="CT17" s="87">
        <f t="shared" si="48"/>
        <v>0</v>
      </c>
      <c r="CU17" s="92">
        <f t="shared" si="24"/>
        <v>0</v>
      </c>
      <c r="CV17" s="326">
        <f t="shared" si="49"/>
        <v>0</v>
      </c>
      <c r="CW17" s="328">
        <f t="shared" si="25"/>
        <v>0</v>
      </c>
      <c r="CX17" s="330">
        <f t="shared" si="50"/>
        <v>0.11666666733336634</v>
      </c>
      <c r="CY17" s="94" t="str">
        <f t="shared" si="51"/>
        <v>+</v>
      </c>
      <c r="CZ17" s="95">
        <f t="shared" si="52"/>
        <v>0.11666666733336634</v>
      </c>
      <c r="DA17" s="96">
        <f t="shared" si="27"/>
        <v>0</v>
      </c>
      <c r="DB17" s="215">
        <f t="shared" si="28"/>
        <v>0</v>
      </c>
      <c r="DC17" s="58"/>
      <c r="DD17" s="18"/>
      <c r="DE17" s="18"/>
      <c r="DF17" s="204">
        <v>13</v>
      </c>
      <c r="DG17" s="205"/>
      <c r="DH17" s="18"/>
      <c r="DI17" s="18"/>
      <c r="DJ17" s="18"/>
      <c r="DK17" s="27"/>
      <c r="DL17" s="300">
        <v>10</v>
      </c>
      <c r="DM17" s="301" t="s">
        <v>75</v>
      </c>
      <c r="DN17" s="302">
        <f>IF(Arbeidsstelsel=4,0.33333333333,0.316666666666667)</f>
        <v>0.31666666666666698</v>
      </c>
      <c r="DO17" s="303">
        <f t="shared" si="53"/>
        <v>0.15833333333333349</v>
      </c>
      <c r="DP17" s="104">
        <v>0</v>
      </c>
      <c r="DQ17" s="179" t="s">
        <v>167</v>
      </c>
      <c r="DR17" s="22"/>
    </row>
    <row r="18" spans="1:122" ht="15" x14ac:dyDescent="0.25">
      <c r="A18" s="322">
        <f t="shared" si="0"/>
        <v>11</v>
      </c>
      <c r="B18" s="323">
        <f t="shared" si="1"/>
        <v>44541</v>
      </c>
      <c r="C18" s="239"/>
      <c r="D18" s="240"/>
      <c r="E18" s="240"/>
      <c r="F18" s="240"/>
      <c r="G18" s="278"/>
      <c r="H18" s="305">
        <f t="shared" si="29"/>
        <v>21</v>
      </c>
      <c r="I18" s="273" t="str">
        <f t="shared" si="30"/>
        <v/>
      </c>
      <c r="J18" s="312">
        <f t="shared" si="2"/>
        <v>0.31666666666666698</v>
      </c>
      <c r="K18" s="313" t="str">
        <f t="shared" si="3"/>
        <v>+</v>
      </c>
      <c r="L18" s="314">
        <f t="shared" si="3"/>
        <v>0.11666666733336667</v>
      </c>
      <c r="M18" s="315">
        <f t="shared" si="31"/>
        <v>2.8000000188007999</v>
      </c>
      <c r="N18" s="242"/>
      <c r="O18" s="241"/>
      <c r="P18" s="240"/>
      <c r="Q18" s="241"/>
      <c r="R18" s="243"/>
      <c r="S18" s="231">
        <v>11</v>
      </c>
      <c r="T18" s="213"/>
      <c r="U18" s="383" t="str">
        <f>IF(TRIM(T18)="","",IF(Werklijst_nr=1,INDEX([1]Werklijst!$D$16:$D$2000,MATCH(TRIM(T18),[1]Werklijst!$A$16:$A$1000,0)),INDEX('[2] Werklijst ES'!$B$7:$B$2000,MATCH(TRIM(T18),'[2] Werklijst ES'!$A$7:$A$2000,0))))</f>
        <v/>
      </c>
      <c r="V18" s="384"/>
      <c r="W18" s="359" t="str">
        <f>IF(TRIM(T18)="","",IF(Werklijst_nr=1,INDEX([1]Werklijst!$K$16:$K$2000,MATCH(TRIM(T18),[1]Werklijst!$A$16:$A$2000,0)),INDEX('[2] Werklijst ES'!$B$7:$B$2000,MATCH(TRIM(T18),'[2] Werklijst ES'!$A$7:$A$2000,0))))</f>
        <v/>
      </c>
      <c r="X18" s="377">
        <f>AQ$52</f>
        <v>0</v>
      </c>
      <c r="Y18" s="378" t="e">
        <f>AQ$49</f>
        <v>#DIV/0!</v>
      </c>
      <c r="Z18" s="80">
        <f t="shared" si="32"/>
        <v>44541</v>
      </c>
      <c r="AA18" s="160">
        <f t="shared" si="4"/>
        <v>44541</v>
      </c>
      <c r="AB18" s="160">
        <f t="shared" si="5"/>
        <v>12</v>
      </c>
      <c r="AC18" s="81">
        <f t="shared" si="6"/>
        <v>0</v>
      </c>
      <c r="AD18" s="160">
        <f t="shared" si="7"/>
        <v>0</v>
      </c>
      <c r="AF18" s="27" t="s">
        <v>119</v>
      </c>
      <c r="AG18" s="100"/>
      <c r="AH18" s="82">
        <f t="shared" ref="AH18:AQ27" si="54">IF($N18=AH$7,$DB18,IF($O18=AH$7,$P18,IF($Q18=AH$7,$R18,0)))</f>
        <v>0</v>
      </c>
      <c r="AI18" s="82">
        <f t="shared" si="54"/>
        <v>0</v>
      </c>
      <c r="AJ18" s="82">
        <f t="shared" si="54"/>
        <v>0</v>
      </c>
      <c r="AK18" s="82">
        <f t="shared" si="54"/>
        <v>0</v>
      </c>
      <c r="AL18" s="82">
        <f t="shared" si="54"/>
        <v>0</v>
      </c>
      <c r="AM18" s="82">
        <f t="shared" si="54"/>
        <v>0</v>
      </c>
      <c r="AN18" s="82">
        <f t="shared" si="54"/>
        <v>0</v>
      </c>
      <c r="AO18" s="82">
        <f t="shared" si="54"/>
        <v>0</v>
      </c>
      <c r="AP18" s="82">
        <f t="shared" si="54"/>
        <v>0</v>
      </c>
      <c r="AQ18" s="82">
        <f t="shared" si="54"/>
        <v>0</v>
      </c>
      <c r="AR18" s="82">
        <f t="shared" ref="AR18:BA27" si="55">IF($N18=AR$7,$DB18,IF($O18=AR$7,$P18,IF($Q18=AR$7,$R18,0)))</f>
        <v>0</v>
      </c>
      <c r="AS18" s="82">
        <f t="shared" si="55"/>
        <v>0</v>
      </c>
      <c r="AT18" s="82">
        <f t="shared" si="55"/>
        <v>0</v>
      </c>
      <c r="AU18" s="82">
        <f t="shared" si="55"/>
        <v>0</v>
      </c>
      <c r="AV18" s="82">
        <f t="shared" si="55"/>
        <v>0</v>
      </c>
      <c r="AW18" s="82">
        <f t="shared" si="55"/>
        <v>0</v>
      </c>
      <c r="AX18" s="82">
        <f t="shared" si="55"/>
        <v>0</v>
      </c>
      <c r="AY18" s="82">
        <f t="shared" si="55"/>
        <v>0</v>
      </c>
      <c r="AZ18" s="82">
        <f t="shared" si="55"/>
        <v>0</v>
      </c>
      <c r="BA18" s="82">
        <f t="shared" si="55"/>
        <v>0</v>
      </c>
      <c r="BB18" s="82">
        <f t="shared" ref="BB18:BK27" si="56">IF($N18=BB$7,$DB18,IF($O18=BB$7,$P18,IF($Q18=BB$7,$R18,0)))</f>
        <v>0</v>
      </c>
      <c r="BC18" s="82">
        <f t="shared" si="56"/>
        <v>0</v>
      </c>
      <c r="BD18" s="82">
        <f t="shared" si="56"/>
        <v>0</v>
      </c>
      <c r="BE18" s="82">
        <f t="shared" si="56"/>
        <v>0</v>
      </c>
      <c r="BF18" s="82">
        <f t="shared" si="56"/>
        <v>0</v>
      </c>
      <c r="BG18" s="82">
        <f t="shared" si="56"/>
        <v>0</v>
      </c>
      <c r="BH18" s="82">
        <f t="shared" si="56"/>
        <v>0</v>
      </c>
      <c r="BI18" s="82">
        <f t="shared" si="56"/>
        <v>0</v>
      </c>
      <c r="BJ18" s="82">
        <f t="shared" si="56"/>
        <v>0</v>
      </c>
      <c r="BK18" s="83">
        <f t="shared" si="56"/>
        <v>0</v>
      </c>
      <c r="BM18" s="84">
        <f t="shared" si="33"/>
        <v>0</v>
      </c>
      <c r="BN18" s="85">
        <f t="shared" si="34"/>
        <v>0</v>
      </c>
      <c r="BO18" s="84">
        <f t="shared" si="11"/>
        <v>0</v>
      </c>
      <c r="BP18" s="85">
        <f t="shared" si="12"/>
        <v>0</v>
      </c>
      <c r="BQ18" s="186">
        <f t="shared" si="13"/>
        <v>0</v>
      </c>
      <c r="BR18" s="191">
        <f t="shared" si="14"/>
        <v>0</v>
      </c>
      <c r="BS18" s="186">
        <f t="shared" si="15"/>
        <v>0</v>
      </c>
      <c r="BT18" s="195">
        <f t="shared" si="16"/>
        <v>0</v>
      </c>
      <c r="BU18" s="18"/>
      <c r="BV18" s="27" t="s">
        <v>274</v>
      </c>
      <c r="BW18" s="255">
        <v>0.31666666666666665</v>
      </c>
      <c r="BX18" s="329">
        <f>BW18</f>
        <v>0.31666666666666665</v>
      </c>
      <c r="BY18" s="21"/>
      <c r="BZ18" s="86">
        <f t="shared" si="35"/>
        <v>11</v>
      </c>
      <c r="CA18" s="87" t="str">
        <f>IF(TRIM(C18)="","",IF(C18&lt;$BW$8,$BW$8,C18))</f>
        <v/>
      </c>
      <c r="CB18" s="87" t="str">
        <f t="shared" si="36"/>
        <v/>
      </c>
      <c r="CC18" s="88">
        <f t="shared" si="18"/>
        <v>0.31666666666666698</v>
      </c>
      <c r="CD18" s="88" t="str">
        <f t="shared" si="19"/>
        <v/>
      </c>
      <c r="CE18" s="89">
        <f t="shared" si="20"/>
        <v>0</v>
      </c>
      <c r="CF18" s="90">
        <f t="shared" si="37"/>
        <v>0.31666666666666698</v>
      </c>
      <c r="CG18" s="91">
        <f t="shared" si="38"/>
        <v>0</v>
      </c>
      <c r="CH18" s="87">
        <f t="shared" si="39"/>
        <v>0</v>
      </c>
      <c r="CI18" s="92">
        <f t="shared" si="40"/>
        <v>0</v>
      </c>
      <c r="CJ18" s="93">
        <f t="shared" si="41"/>
        <v>0</v>
      </c>
      <c r="CK18" s="89">
        <f t="shared" si="42"/>
        <v>0</v>
      </c>
      <c r="CL18" s="90">
        <f t="shared" si="43"/>
        <v>0</v>
      </c>
      <c r="CM18" s="185">
        <f>IF(AND(TRIM(C18)="",TRIM(I18)="",H18=22),1,IF(AND(H18=22,(OR(TRIM(C18)&lt;&gt;"",TRIM(I18)&lt;&gt;""))),0.5,0))</f>
        <v>0</v>
      </c>
      <c r="CN18" s="185">
        <f>IF(AND(TRIM(C18)="",TRIM(H18)="",I18=22),1,IF(AND(I18=22,(OR(TRIM(C18)&lt;&gt;"",TRIM(H18)&lt;&gt;""))),0.5,0))</f>
        <v>0</v>
      </c>
      <c r="CO18" s="185">
        <f>IF(AND(TRIM(C18)="",TRIM(I18)="",H18=27),1,IF(AND(H18=27,(OR(TRIM(C18)&lt;&gt;"",TRIM(I18)&lt;&gt;""))),0.5,0))</f>
        <v>0</v>
      </c>
      <c r="CP18" s="185">
        <f>IF(AND(TRIM(C18)="",TRIM(H18)="",I18=27),1,IF(AND(I18=27,(OR(TRIM(C18)&lt;&gt;"",TRIM(H18)&lt;&gt;""))),0.5,0))</f>
        <v>0</v>
      </c>
      <c r="CQ18" s="91" t="str">
        <f t="shared" si="21"/>
        <v/>
      </c>
      <c r="CR18" s="87">
        <f t="shared" si="22"/>
        <v>0</v>
      </c>
      <c r="CS18" s="87">
        <f t="shared" si="23"/>
        <v>0</v>
      </c>
      <c r="CT18" s="87">
        <f t="shared" si="48"/>
        <v>0.31666666666666698</v>
      </c>
      <c r="CU18" s="92">
        <f t="shared" si="24"/>
        <v>0.31666666666666698</v>
      </c>
      <c r="CV18" s="326">
        <f t="shared" si="49"/>
        <v>0.31666666666666698</v>
      </c>
      <c r="CW18" s="328">
        <f t="shared" si="25"/>
        <v>3.3306690738754696E-16</v>
      </c>
      <c r="CX18" s="330">
        <f t="shared" si="50"/>
        <v>0.11666666733336667</v>
      </c>
      <c r="CY18" s="94" t="str">
        <f t="shared" si="51"/>
        <v>+</v>
      </c>
      <c r="CZ18" s="95">
        <f t="shared" si="52"/>
        <v>0.11666666733336667</v>
      </c>
      <c r="DA18" s="96">
        <f t="shared" si="27"/>
        <v>0</v>
      </c>
      <c r="DB18" s="215">
        <f t="shared" si="28"/>
        <v>0</v>
      </c>
      <c r="DC18" s="58"/>
      <c r="DD18" s="18"/>
      <c r="DE18" s="18"/>
      <c r="DF18" s="204"/>
      <c r="DG18" s="20"/>
      <c r="DH18" s="18"/>
      <c r="DI18" s="18"/>
      <c r="DJ18" s="18"/>
      <c r="DK18" s="27"/>
      <c r="DL18" s="300">
        <v>11</v>
      </c>
      <c r="DM18" s="301" t="s">
        <v>41</v>
      </c>
      <c r="DN18" s="302">
        <f>IF(Arbeidsstelsel=4,0.33333333333,0.316666666666667)</f>
        <v>0.31666666666666698</v>
      </c>
      <c r="DO18" s="303">
        <f t="shared" si="53"/>
        <v>0.15833333333333349</v>
      </c>
      <c r="DP18" s="104">
        <v>0</v>
      </c>
      <c r="DQ18" s="179" t="s">
        <v>194</v>
      </c>
      <c r="DR18" s="22"/>
    </row>
    <row r="19" spans="1:122" ht="15.75" thickBot="1" x14ac:dyDescent="0.3">
      <c r="A19" s="322">
        <f t="shared" si="0"/>
        <v>12</v>
      </c>
      <c r="B19" s="323">
        <f t="shared" si="1"/>
        <v>44542</v>
      </c>
      <c r="C19" s="239"/>
      <c r="D19" s="240"/>
      <c r="E19" s="240"/>
      <c r="F19" s="240"/>
      <c r="G19" s="278"/>
      <c r="H19" s="305">
        <f t="shared" si="29"/>
        <v>1</v>
      </c>
      <c r="I19" s="273" t="str">
        <f t="shared" si="30"/>
        <v/>
      </c>
      <c r="J19" s="312">
        <f t="shared" si="2"/>
        <v>0.31666666666666698</v>
      </c>
      <c r="K19" s="313" t="str">
        <f t="shared" si="3"/>
        <v>+</v>
      </c>
      <c r="L19" s="314">
        <f t="shared" si="3"/>
        <v>0.116666667333367</v>
      </c>
      <c r="M19" s="315">
        <f t="shared" si="31"/>
        <v>2.8000000188008083</v>
      </c>
      <c r="N19" s="242"/>
      <c r="O19" s="241"/>
      <c r="P19" s="240"/>
      <c r="Q19" s="241"/>
      <c r="R19" s="243"/>
      <c r="S19" s="231">
        <v>12</v>
      </c>
      <c r="T19" s="213"/>
      <c r="U19" s="383" t="str">
        <f>IF(TRIM(T19)="","",IF(Werklijst_nr=1,INDEX([1]Werklijst!$D$16:$D$2000,MATCH(TRIM(T19),[1]Werklijst!$A$16:$A$1000,0)),INDEX('[2] Werklijst ES'!$B$7:$B$2000,MATCH(TRIM(T19),'[2] Werklijst ES'!$A$7:$A$2000,0))))</f>
        <v/>
      </c>
      <c r="V19" s="384"/>
      <c r="W19" s="359" t="str">
        <f>IF(TRIM(T19)="","",IF(Werklijst_nr=1,INDEX([1]Werklijst!$K$16:$K$2000,MATCH(TRIM(T19),[1]Werklijst!$A$16:$A$2000,0)),INDEX('[2] Werklijst ES'!$B$7:$B$2000,MATCH(TRIM(T19),'[2] Werklijst ES'!$A$7:$A$2000,0))))</f>
        <v/>
      </c>
      <c r="X19" s="377">
        <f>AR$52</f>
        <v>0</v>
      </c>
      <c r="Y19" s="378" t="e">
        <f>AR$49</f>
        <v>#DIV/0!</v>
      </c>
      <c r="Z19" s="80">
        <f t="shared" si="32"/>
        <v>44542</v>
      </c>
      <c r="AA19" s="160">
        <f t="shared" si="4"/>
        <v>44542</v>
      </c>
      <c r="AB19" s="160">
        <f t="shared" si="5"/>
        <v>12</v>
      </c>
      <c r="AC19" s="81">
        <f t="shared" si="6"/>
        <v>1</v>
      </c>
      <c r="AD19" s="160">
        <f t="shared" si="7"/>
        <v>0</v>
      </c>
      <c r="AF19" s="27" t="s">
        <v>119</v>
      </c>
      <c r="AG19" s="100"/>
      <c r="AH19" s="82">
        <f t="shared" si="54"/>
        <v>0</v>
      </c>
      <c r="AI19" s="82">
        <f t="shared" si="54"/>
        <v>0</v>
      </c>
      <c r="AJ19" s="82">
        <f t="shared" si="54"/>
        <v>0</v>
      </c>
      <c r="AK19" s="82">
        <f t="shared" si="54"/>
        <v>0</v>
      </c>
      <c r="AL19" s="82">
        <f t="shared" si="54"/>
        <v>0</v>
      </c>
      <c r="AM19" s="82">
        <f t="shared" si="54"/>
        <v>0</v>
      </c>
      <c r="AN19" s="82">
        <f t="shared" si="54"/>
        <v>0</v>
      </c>
      <c r="AO19" s="82">
        <f t="shared" si="54"/>
        <v>0</v>
      </c>
      <c r="AP19" s="82">
        <f t="shared" si="54"/>
        <v>0</v>
      </c>
      <c r="AQ19" s="82">
        <f t="shared" si="54"/>
        <v>0</v>
      </c>
      <c r="AR19" s="82">
        <f t="shared" si="55"/>
        <v>0</v>
      </c>
      <c r="AS19" s="82">
        <f t="shared" si="55"/>
        <v>0</v>
      </c>
      <c r="AT19" s="82">
        <f t="shared" si="55"/>
        <v>0</v>
      </c>
      <c r="AU19" s="82">
        <f t="shared" si="55"/>
        <v>0</v>
      </c>
      <c r="AV19" s="82">
        <f t="shared" si="55"/>
        <v>0</v>
      </c>
      <c r="AW19" s="82">
        <f t="shared" si="55"/>
        <v>0</v>
      </c>
      <c r="AX19" s="82">
        <f t="shared" si="55"/>
        <v>0</v>
      </c>
      <c r="AY19" s="82">
        <f t="shared" si="55"/>
        <v>0</v>
      </c>
      <c r="AZ19" s="82">
        <f t="shared" si="55"/>
        <v>0</v>
      </c>
      <c r="BA19" s="82">
        <f t="shared" si="55"/>
        <v>0</v>
      </c>
      <c r="BB19" s="82">
        <f t="shared" si="56"/>
        <v>0</v>
      </c>
      <c r="BC19" s="82">
        <f t="shared" si="56"/>
        <v>0</v>
      </c>
      <c r="BD19" s="82">
        <f t="shared" si="56"/>
        <v>0</v>
      </c>
      <c r="BE19" s="82">
        <f t="shared" si="56"/>
        <v>0</v>
      </c>
      <c r="BF19" s="82">
        <f t="shared" si="56"/>
        <v>0</v>
      </c>
      <c r="BG19" s="82">
        <f t="shared" si="56"/>
        <v>0</v>
      </c>
      <c r="BH19" s="82">
        <f t="shared" si="56"/>
        <v>0</v>
      </c>
      <c r="BI19" s="82">
        <f t="shared" si="56"/>
        <v>0</v>
      </c>
      <c r="BJ19" s="82">
        <f t="shared" si="56"/>
        <v>0</v>
      </c>
      <c r="BK19" s="83">
        <f t="shared" si="56"/>
        <v>0</v>
      </c>
      <c r="BM19" s="84">
        <f t="shared" si="33"/>
        <v>0</v>
      </c>
      <c r="BN19" s="85">
        <f t="shared" si="34"/>
        <v>0</v>
      </c>
      <c r="BO19" s="84">
        <f t="shared" si="11"/>
        <v>0</v>
      </c>
      <c r="BP19" s="85">
        <f t="shared" si="12"/>
        <v>0</v>
      </c>
      <c r="BQ19" s="186">
        <f t="shared" si="13"/>
        <v>0</v>
      </c>
      <c r="BR19" s="191">
        <f t="shared" si="14"/>
        <v>0</v>
      </c>
      <c r="BS19" s="186">
        <f t="shared" si="15"/>
        <v>0</v>
      </c>
      <c r="BT19" s="195">
        <f t="shared" si="16"/>
        <v>0</v>
      </c>
      <c r="BU19" s="18"/>
      <c r="BV19" s="27" t="s">
        <v>275</v>
      </c>
      <c r="BW19" s="255">
        <v>0.33333333333333331</v>
      </c>
      <c r="BX19" s="254"/>
      <c r="BY19" s="21"/>
      <c r="BZ19" s="86">
        <f t="shared" si="35"/>
        <v>12</v>
      </c>
      <c r="CA19" s="87" t="str">
        <f t="shared" si="17"/>
        <v/>
      </c>
      <c r="CB19" s="87" t="str">
        <f t="shared" si="36"/>
        <v/>
      </c>
      <c r="CC19" s="88">
        <f t="shared" si="18"/>
        <v>0.31666666666666698</v>
      </c>
      <c r="CD19" s="88" t="str">
        <f t="shared" si="19"/>
        <v/>
      </c>
      <c r="CE19" s="89">
        <f t="shared" si="20"/>
        <v>0</v>
      </c>
      <c r="CF19" s="90">
        <f t="shared" si="37"/>
        <v>0.31666666666666698</v>
      </c>
      <c r="CG19" s="91">
        <f t="shared" si="38"/>
        <v>0</v>
      </c>
      <c r="CH19" s="87">
        <f t="shared" si="39"/>
        <v>0</v>
      </c>
      <c r="CI19" s="92">
        <f t="shared" si="40"/>
        <v>0</v>
      </c>
      <c r="CJ19" s="93">
        <f t="shared" si="41"/>
        <v>0</v>
      </c>
      <c r="CK19" s="89">
        <f t="shared" si="42"/>
        <v>0</v>
      </c>
      <c r="CL19" s="90">
        <f t="shared" si="43"/>
        <v>0</v>
      </c>
      <c r="CM19" s="185">
        <f t="shared" si="44"/>
        <v>0</v>
      </c>
      <c r="CN19" s="185">
        <f t="shared" si="45"/>
        <v>0</v>
      </c>
      <c r="CO19" s="185">
        <f t="shared" si="46"/>
        <v>0</v>
      </c>
      <c r="CP19" s="185">
        <f t="shared" si="47"/>
        <v>0</v>
      </c>
      <c r="CQ19" s="91" t="str">
        <f t="shared" si="21"/>
        <v/>
      </c>
      <c r="CR19" s="87">
        <f t="shared" si="22"/>
        <v>0</v>
      </c>
      <c r="CS19" s="87">
        <f t="shared" si="23"/>
        <v>0</v>
      </c>
      <c r="CT19" s="87">
        <f t="shared" si="48"/>
        <v>0.31666666666666698</v>
      </c>
      <c r="CU19" s="92">
        <f t="shared" si="24"/>
        <v>0.31666666666666698</v>
      </c>
      <c r="CV19" s="326">
        <f t="shared" si="49"/>
        <v>0.31666666666666698</v>
      </c>
      <c r="CW19" s="328">
        <f t="shared" si="25"/>
        <v>3.3306690738754696E-16</v>
      </c>
      <c r="CX19" s="330">
        <f t="shared" si="50"/>
        <v>0.116666667333367</v>
      </c>
      <c r="CY19" s="94" t="str">
        <f t="shared" si="51"/>
        <v>+</v>
      </c>
      <c r="CZ19" s="95">
        <f t="shared" si="52"/>
        <v>0.116666667333367</v>
      </c>
      <c r="DA19" s="96">
        <f t="shared" si="27"/>
        <v>0</v>
      </c>
      <c r="DB19" s="215">
        <f t="shared" si="28"/>
        <v>0</v>
      </c>
      <c r="DC19" s="58"/>
      <c r="DD19" s="18"/>
      <c r="DE19" s="18"/>
      <c r="DF19" s="206"/>
      <c r="DG19" s="207"/>
      <c r="DH19" s="18"/>
      <c r="DI19" s="18"/>
      <c r="DJ19" s="18"/>
      <c r="DK19" s="27"/>
      <c r="DL19" s="300">
        <v>12</v>
      </c>
      <c r="DM19" s="301" t="s">
        <v>48</v>
      </c>
      <c r="DN19" s="302">
        <f>IF(Arbeidsstelsel=4,0.33333333333,0.316666666666667)</f>
        <v>0.31666666666666698</v>
      </c>
      <c r="DO19" s="303">
        <f t="shared" si="53"/>
        <v>0.15833333333333349</v>
      </c>
      <c r="DP19" s="104">
        <v>0</v>
      </c>
      <c r="DQ19" s="179" t="s">
        <v>168</v>
      </c>
      <c r="DR19" s="22"/>
    </row>
    <row r="20" spans="1:122" ht="15" x14ac:dyDescent="0.25">
      <c r="A20" s="322">
        <f t="shared" si="0"/>
        <v>13</v>
      </c>
      <c r="B20" s="323">
        <f t="shared" si="1"/>
        <v>44543</v>
      </c>
      <c r="C20" s="239"/>
      <c r="D20" s="240"/>
      <c r="E20" s="240"/>
      <c r="F20" s="240"/>
      <c r="G20" s="278"/>
      <c r="H20" s="305" t="str">
        <f t="shared" si="29"/>
        <v/>
      </c>
      <c r="I20" s="273" t="str">
        <f t="shared" si="30"/>
        <v/>
      </c>
      <c r="J20" s="312">
        <f t="shared" si="2"/>
        <v>0</v>
      </c>
      <c r="K20" s="313" t="str">
        <f t="shared" si="3"/>
        <v>+</v>
      </c>
      <c r="L20" s="314">
        <f t="shared" si="3"/>
        <v>0.116666667333367</v>
      </c>
      <c r="M20" s="315">
        <f t="shared" si="31"/>
        <v>2.8000000188008083</v>
      </c>
      <c r="N20" s="242"/>
      <c r="O20" s="241"/>
      <c r="P20" s="240"/>
      <c r="Q20" s="241"/>
      <c r="R20" s="243"/>
      <c r="S20" s="231">
        <v>13</v>
      </c>
      <c r="T20" s="213"/>
      <c r="U20" s="383" t="str">
        <f>IF(TRIM(T20)="","",IF(Werklijst_nr=1,INDEX([1]Werklijst!$D$16:$D$2000,MATCH(TRIM(T20),[1]Werklijst!$A$16:$A$1000,0)),INDEX('[2] Werklijst ES'!$B$7:$B$2000,MATCH(TRIM(T20),'[2] Werklijst ES'!$A$7:$A$2000,0))))</f>
        <v/>
      </c>
      <c r="V20" s="384"/>
      <c r="W20" s="359" t="str">
        <f>IF(TRIM(T20)="","",IF(Werklijst_nr=1,INDEX([1]Werklijst!$K$16:$K$2000,MATCH(TRIM(T20),[1]Werklijst!$A$16:$A$2000,0)),INDEX('[2] Werklijst ES'!$B$7:$B$2000,MATCH(TRIM(T20),'[2] Werklijst ES'!$A$7:$A$2000,0))))</f>
        <v/>
      </c>
      <c r="X20" s="377">
        <f>AS$52</f>
        <v>0</v>
      </c>
      <c r="Y20" s="378" t="e">
        <f>AS$49</f>
        <v>#DIV/0!</v>
      </c>
      <c r="Z20" s="80">
        <f t="shared" si="32"/>
        <v>44543</v>
      </c>
      <c r="AA20" s="160">
        <f t="shared" si="4"/>
        <v>44543</v>
      </c>
      <c r="AB20" s="160">
        <f t="shared" si="5"/>
        <v>12</v>
      </c>
      <c r="AC20" s="81">
        <f t="shared" si="6"/>
        <v>2</v>
      </c>
      <c r="AD20" s="160">
        <f t="shared" si="7"/>
        <v>0</v>
      </c>
      <c r="AF20" s="27" t="s">
        <v>119</v>
      </c>
      <c r="AG20" s="100"/>
      <c r="AH20" s="82">
        <f t="shared" si="54"/>
        <v>0</v>
      </c>
      <c r="AI20" s="82">
        <f t="shared" si="54"/>
        <v>0</v>
      </c>
      <c r="AJ20" s="82">
        <f t="shared" si="54"/>
        <v>0</v>
      </c>
      <c r="AK20" s="82">
        <f t="shared" si="54"/>
        <v>0</v>
      </c>
      <c r="AL20" s="82">
        <f t="shared" si="54"/>
        <v>0</v>
      </c>
      <c r="AM20" s="82">
        <f t="shared" si="54"/>
        <v>0</v>
      </c>
      <c r="AN20" s="82">
        <f t="shared" si="54"/>
        <v>0</v>
      </c>
      <c r="AO20" s="82">
        <f t="shared" si="54"/>
        <v>0</v>
      </c>
      <c r="AP20" s="82">
        <f t="shared" si="54"/>
        <v>0</v>
      </c>
      <c r="AQ20" s="82">
        <f t="shared" si="54"/>
        <v>0</v>
      </c>
      <c r="AR20" s="82">
        <f t="shared" si="55"/>
        <v>0</v>
      </c>
      <c r="AS20" s="82">
        <f t="shared" si="55"/>
        <v>0</v>
      </c>
      <c r="AT20" s="82">
        <f t="shared" si="55"/>
        <v>0</v>
      </c>
      <c r="AU20" s="82">
        <f t="shared" si="55"/>
        <v>0</v>
      </c>
      <c r="AV20" s="82">
        <f t="shared" si="55"/>
        <v>0</v>
      </c>
      <c r="AW20" s="82">
        <f t="shared" si="55"/>
        <v>0</v>
      </c>
      <c r="AX20" s="82">
        <f t="shared" si="55"/>
        <v>0</v>
      </c>
      <c r="AY20" s="82">
        <f t="shared" si="55"/>
        <v>0</v>
      </c>
      <c r="AZ20" s="82">
        <f t="shared" si="55"/>
        <v>0</v>
      </c>
      <c r="BA20" s="82">
        <f t="shared" si="55"/>
        <v>0</v>
      </c>
      <c r="BB20" s="82">
        <f t="shared" si="56"/>
        <v>0</v>
      </c>
      <c r="BC20" s="82">
        <f t="shared" si="56"/>
        <v>0</v>
      </c>
      <c r="BD20" s="82">
        <f t="shared" si="56"/>
        <v>0</v>
      </c>
      <c r="BE20" s="82">
        <f t="shared" si="56"/>
        <v>0</v>
      </c>
      <c r="BF20" s="82">
        <f t="shared" si="56"/>
        <v>0</v>
      </c>
      <c r="BG20" s="82">
        <f t="shared" si="56"/>
        <v>0</v>
      </c>
      <c r="BH20" s="82">
        <f t="shared" si="56"/>
        <v>0</v>
      </c>
      <c r="BI20" s="82">
        <f t="shared" si="56"/>
        <v>0</v>
      </c>
      <c r="BJ20" s="82">
        <f t="shared" si="56"/>
        <v>0</v>
      </c>
      <c r="BK20" s="83">
        <f t="shared" si="56"/>
        <v>0</v>
      </c>
      <c r="BM20" s="84">
        <f t="shared" si="33"/>
        <v>0</v>
      </c>
      <c r="BN20" s="85">
        <f t="shared" si="34"/>
        <v>0</v>
      </c>
      <c r="BO20" s="84">
        <f t="shared" si="11"/>
        <v>0</v>
      </c>
      <c r="BP20" s="85">
        <f t="shared" si="12"/>
        <v>0</v>
      </c>
      <c r="BQ20" s="186">
        <f t="shared" si="13"/>
        <v>0</v>
      </c>
      <c r="BR20" s="191">
        <f t="shared" si="14"/>
        <v>0</v>
      </c>
      <c r="BS20" s="186">
        <f t="shared" si="15"/>
        <v>0</v>
      </c>
      <c r="BT20" s="195">
        <f t="shared" si="16"/>
        <v>0</v>
      </c>
      <c r="BU20" s="18"/>
      <c r="BV20" s="27" t="s">
        <v>275</v>
      </c>
      <c r="BW20" s="255">
        <v>0.16666666666666666</v>
      </c>
      <c r="BX20" s="254"/>
      <c r="BY20" s="21"/>
      <c r="BZ20" s="86">
        <f t="shared" si="35"/>
        <v>13</v>
      </c>
      <c r="CA20" s="87" t="str">
        <f t="shared" si="17"/>
        <v/>
      </c>
      <c r="CB20" s="87" t="str">
        <f t="shared" si="36"/>
        <v/>
      </c>
      <c r="CC20" s="88" t="str">
        <f t="shared" si="18"/>
        <v/>
      </c>
      <c r="CD20" s="88" t="str">
        <f t="shared" si="19"/>
        <v/>
      </c>
      <c r="CE20" s="89">
        <f t="shared" si="20"/>
        <v>0</v>
      </c>
      <c r="CF20" s="90">
        <f t="shared" si="37"/>
        <v>0</v>
      </c>
      <c r="CG20" s="91">
        <f t="shared" si="38"/>
        <v>0</v>
      </c>
      <c r="CH20" s="87">
        <f t="shared" si="39"/>
        <v>0</v>
      </c>
      <c r="CI20" s="92">
        <f t="shared" si="40"/>
        <v>2.0833333333333332E-2</v>
      </c>
      <c r="CJ20" s="93">
        <f t="shared" si="41"/>
        <v>0</v>
      </c>
      <c r="CK20" s="89">
        <f t="shared" si="42"/>
        <v>0</v>
      </c>
      <c r="CL20" s="90">
        <f t="shared" si="43"/>
        <v>0</v>
      </c>
      <c r="CM20" s="185">
        <f t="shared" si="44"/>
        <v>0</v>
      </c>
      <c r="CN20" s="185">
        <f t="shared" si="45"/>
        <v>0</v>
      </c>
      <c r="CO20" s="185">
        <f t="shared" si="46"/>
        <v>0</v>
      </c>
      <c r="CP20" s="185">
        <f t="shared" si="47"/>
        <v>0</v>
      </c>
      <c r="CQ20" s="91" t="str">
        <f t="shared" si="21"/>
        <v/>
      </c>
      <c r="CR20" s="87">
        <f t="shared" si="22"/>
        <v>0</v>
      </c>
      <c r="CS20" s="87">
        <f t="shared" si="23"/>
        <v>0</v>
      </c>
      <c r="CT20" s="87">
        <f t="shared" si="48"/>
        <v>0</v>
      </c>
      <c r="CU20" s="92">
        <f t="shared" si="24"/>
        <v>0</v>
      </c>
      <c r="CV20" s="326">
        <f t="shared" si="49"/>
        <v>0</v>
      </c>
      <c r="CW20" s="328">
        <f t="shared" si="25"/>
        <v>0</v>
      </c>
      <c r="CX20" s="330">
        <f t="shared" si="50"/>
        <v>0.116666667333367</v>
      </c>
      <c r="CY20" s="94" t="str">
        <f t="shared" si="51"/>
        <v>+</v>
      </c>
      <c r="CZ20" s="95">
        <f t="shared" si="52"/>
        <v>0.116666667333367</v>
      </c>
      <c r="DA20" s="96">
        <f t="shared" si="27"/>
        <v>0</v>
      </c>
      <c r="DB20" s="215">
        <f t="shared" si="28"/>
        <v>0</v>
      </c>
      <c r="DC20" s="58"/>
      <c r="DD20" s="18"/>
      <c r="DE20" s="18"/>
      <c r="DF20" s="197"/>
      <c r="DG20" s="18"/>
      <c r="DH20" s="18"/>
      <c r="DI20" s="18"/>
      <c r="DJ20" s="18"/>
      <c r="DK20" s="27"/>
      <c r="DL20" s="300">
        <v>13</v>
      </c>
      <c r="DM20" s="301" t="s">
        <v>50</v>
      </c>
      <c r="DN20" s="302">
        <f>IF(Arbeidsstelsel=4,0.33333333333,0.316666666666667)</f>
        <v>0.31666666666666698</v>
      </c>
      <c r="DO20" s="303">
        <f t="shared" si="53"/>
        <v>0.15833333333333349</v>
      </c>
      <c r="DP20" s="104">
        <v>0</v>
      </c>
      <c r="DQ20" s="179" t="s">
        <v>169</v>
      </c>
      <c r="DR20" s="22"/>
    </row>
    <row r="21" spans="1:122" ht="15" x14ac:dyDescent="0.2">
      <c r="A21" s="322">
        <f t="shared" si="0"/>
        <v>14</v>
      </c>
      <c r="B21" s="323">
        <f t="shared" si="1"/>
        <v>44544</v>
      </c>
      <c r="C21" s="239"/>
      <c r="D21" s="240"/>
      <c r="E21" s="240"/>
      <c r="F21" s="240"/>
      <c r="G21" s="278"/>
      <c r="H21" s="305" t="str">
        <f t="shared" si="29"/>
        <v/>
      </c>
      <c r="I21" s="273" t="str">
        <f t="shared" si="30"/>
        <v/>
      </c>
      <c r="J21" s="312">
        <f t="shared" si="2"/>
        <v>0</v>
      </c>
      <c r="K21" s="313" t="str">
        <f t="shared" si="3"/>
        <v>+</v>
      </c>
      <c r="L21" s="314">
        <f t="shared" si="3"/>
        <v>0.116666667333367</v>
      </c>
      <c r="M21" s="315">
        <f t="shared" si="31"/>
        <v>2.8000000188008083</v>
      </c>
      <c r="N21" s="242"/>
      <c r="O21" s="241"/>
      <c r="P21" s="240"/>
      <c r="Q21" s="241"/>
      <c r="R21" s="243"/>
      <c r="S21" s="231">
        <v>14</v>
      </c>
      <c r="T21" s="213"/>
      <c r="U21" s="383" t="str">
        <f>IF(TRIM(T21)="","",IF(Werklijst_nr=1,INDEX([1]Werklijst!$D$16:$D$2000,MATCH(TRIM(T21),[1]Werklijst!$A$16:$A$1000,0)),INDEX('[2] Werklijst ES'!$B$7:$B$2000,MATCH(TRIM(T21),'[2] Werklijst ES'!$A$7:$A$2000,0))))</f>
        <v/>
      </c>
      <c r="V21" s="384"/>
      <c r="W21" s="359" t="str">
        <f>IF(TRIM(T21)="","",IF(Werklijst_nr=1,INDEX([1]Werklijst!$K$16:$K$2000,MATCH(TRIM(T21),[1]Werklijst!$A$16:$A$2000,0)),INDEX('[2] Werklijst ES'!$B$7:$B$2000,MATCH(TRIM(T21),'[2] Werklijst ES'!$A$7:$A$2000,0))))</f>
        <v/>
      </c>
      <c r="X21" s="377">
        <f>AT$52</f>
        <v>0</v>
      </c>
      <c r="Y21" s="378" t="e">
        <f>AT$49</f>
        <v>#DIV/0!</v>
      </c>
      <c r="Z21" s="80">
        <f t="shared" si="32"/>
        <v>44544</v>
      </c>
      <c r="AA21" s="160">
        <f t="shared" si="4"/>
        <v>44544</v>
      </c>
      <c r="AB21" s="160">
        <f t="shared" si="5"/>
        <v>12</v>
      </c>
      <c r="AC21" s="81">
        <f t="shared" si="6"/>
        <v>3</v>
      </c>
      <c r="AD21" s="160">
        <f t="shared" si="7"/>
        <v>0</v>
      </c>
      <c r="AF21" s="27" t="s">
        <v>119</v>
      </c>
      <c r="AG21" s="100"/>
      <c r="AH21" s="82">
        <f t="shared" si="54"/>
        <v>0</v>
      </c>
      <c r="AI21" s="82">
        <f t="shared" si="54"/>
        <v>0</v>
      </c>
      <c r="AJ21" s="82">
        <f t="shared" si="54"/>
        <v>0</v>
      </c>
      <c r="AK21" s="82">
        <f t="shared" si="54"/>
        <v>0</v>
      </c>
      <c r="AL21" s="82">
        <f t="shared" si="54"/>
        <v>0</v>
      </c>
      <c r="AM21" s="82">
        <f t="shared" si="54"/>
        <v>0</v>
      </c>
      <c r="AN21" s="82">
        <f t="shared" si="54"/>
        <v>0</v>
      </c>
      <c r="AO21" s="82">
        <f t="shared" si="54"/>
        <v>0</v>
      </c>
      <c r="AP21" s="82">
        <f t="shared" si="54"/>
        <v>0</v>
      </c>
      <c r="AQ21" s="82">
        <f t="shared" si="54"/>
        <v>0</v>
      </c>
      <c r="AR21" s="82">
        <f t="shared" si="55"/>
        <v>0</v>
      </c>
      <c r="AS21" s="82">
        <f t="shared" si="55"/>
        <v>0</v>
      </c>
      <c r="AT21" s="82">
        <f t="shared" si="55"/>
        <v>0</v>
      </c>
      <c r="AU21" s="82">
        <f t="shared" si="55"/>
        <v>0</v>
      </c>
      <c r="AV21" s="82">
        <f t="shared" si="55"/>
        <v>0</v>
      </c>
      <c r="AW21" s="82">
        <f t="shared" si="55"/>
        <v>0</v>
      </c>
      <c r="AX21" s="82">
        <f t="shared" si="55"/>
        <v>0</v>
      </c>
      <c r="AY21" s="82">
        <f t="shared" si="55"/>
        <v>0</v>
      </c>
      <c r="AZ21" s="82">
        <f t="shared" si="55"/>
        <v>0</v>
      </c>
      <c r="BA21" s="82">
        <f t="shared" si="55"/>
        <v>0</v>
      </c>
      <c r="BB21" s="82">
        <f t="shared" si="56"/>
        <v>0</v>
      </c>
      <c r="BC21" s="82">
        <f t="shared" si="56"/>
        <v>0</v>
      </c>
      <c r="BD21" s="82">
        <f t="shared" si="56"/>
        <v>0</v>
      </c>
      <c r="BE21" s="82">
        <f t="shared" si="56"/>
        <v>0</v>
      </c>
      <c r="BF21" s="82">
        <f t="shared" si="56"/>
        <v>0</v>
      </c>
      <c r="BG21" s="82">
        <f t="shared" si="56"/>
        <v>0</v>
      </c>
      <c r="BH21" s="82">
        <f t="shared" si="56"/>
        <v>0</v>
      </c>
      <c r="BI21" s="82">
        <f t="shared" si="56"/>
        <v>0</v>
      </c>
      <c r="BJ21" s="82">
        <f t="shared" si="56"/>
        <v>0</v>
      </c>
      <c r="BK21" s="83">
        <f t="shared" si="56"/>
        <v>0</v>
      </c>
      <c r="BM21" s="84">
        <f t="shared" si="33"/>
        <v>0</v>
      </c>
      <c r="BN21" s="85">
        <f t="shared" si="34"/>
        <v>0</v>
      </c>
      <c r="BO21" s="84">
        <f t="shared" si="11"/>
        <v>0</v>
      </c>
      <c r="BP21" s="85">
        <f t="shared" si="12"/>
        <v>0</v>
      </c>
      <c r="BQ21" s="186">
        <f t="shared" si="13"/>
        <v>0</v>
      </c>
      <c r="BR21" s="191">
        <f t="shared" si="14"/>
        <v>0</v>
      </c>
      <c r="BS21" s="186">
        <f t="shared" si="15"/>
        <v>0</v>
      </c>
      <c r="BT21" s="195">
        <f t="shared" si="16"/>
        <v>0</v>
      </c>
      <c r="BU21" s="18"/>
      <c r="BV21" s="27"/>
      <c r="BW21" s="21"/>
      <c r="BX21" s="21"/>
      <c r="BY21" s="21"/>
      <c r="BZ21" s="86">
        <f t="shared" si="35"/>
        <v>14</v>
      </c>
      <c r="CA21" s="87" t="str">
        <f t="shared" si="17"/>
        <v/>
      </c>
      <c r="CB21" s="87" t="str">
        <f t="shared" si="36"/>
        <v/>
      </c>
      <c r="CC21" s="88" t="str">
        <f t="shared" si="18"/>
        <v/>
      </c>
      <c r="CD21" s="88" t="str">
        <f t="shared" si="19"/>
        <v/>
      </c>
      <c r="CE21" s="89">
        <f t="shared" si="20"/>
        <v>0</v>
      </c>
      <c r="CF21" s="90">
        <f t="shared" si="37"/>
        <v>0</v>
      </c>
      <c r="CG21" s="91">
        <f t="shared" si="38"/>
        <v>0</v>
      </c>
      <c r="CH21" s="87">
        <f t="shared" si="39"/>
        <v>0</v>
      </c>
      <c r="CI21" s="92">
        <f t="shared" si="40"/>
        <v>2.0833333333333332E-2</v>
      </c>
      <c r="CJ21" s="93">
        <f t="shared" si="41"/>
        <v>0</v>
      </c>
      <c r="CK21" s="89">
        <f t="shared" si="42"/>
        <v>0</v>
      </c>
      <c r="CL21" s="90">
        <f t="shared" si="43"/>
        <v>0</v>
      </c>
      <c r="CM21" s="185">
        <f t="shared" si="44"/>
        <v>0</v>
      </c>
      <c r="CN21" s="185">
        <f t="shared" si="45"/>
        <v>0</v>
      </c>
      <c r="CO21" s="185">
        <f t="shared" si="46"/>
        <v>0</v>
      </c>
      <c r="CP21" s="185">
        <f t="shared" si="47"/>
        <v>0</v>
      </c>
      <c r="CQ21" s="91" t="str">
        <f t="shared" si="21"/>
        <v/>
      </c>
      <c r="CR21" s="87">
        <f t="shared" si="22"/>
        <v>0</v>
      </c>
      <c r="CS21" s="87">
        <f t="shared" si="23"/>
        <v>0</v>
      </c>
      <c r="CT21" s="87">
        <f t="shared" si="48"/>
        <v>0</v>
      </c>
      <c r="CU21" s="92">
        <f t="shared" si="24"/>
        <v>0</v>
      </c>
      <c r="CV21" s="326">
        <f t="shared" si="49"/>
        <v>0</v>
      </c>
      <c r="CW21" s="328">
        <f t="shared" si="25"/>
        <v>0</v>
      </c>
      <c r="CX21" s="330">
        <f t="shared" si="50"/>
        <v>0.116666667333367</v>
      </c>
      <c r="CY21" s="94" t="str">
        <f t="shared" si="51"/>
        <v>+</v>
      </c>
      <c r="CZ21" s="95">
        <f t="shared" si="52"/>
        <v>0.116666667333367</v>
      </c>
      <c r="DA21" s="96">
        <f t="shared" si="27"/>
        <v>0</v>
      </c>
      <c r="DB21" s="215">
        <f t="shared" si="28"/>
        <v>0</v>
      </c>
      <c r="DC21" s="58"/>
      <c r="DD21" s="18"/>
      <c r="DE21" s="18"/>
      <c r="DF21" s="197"/>
      <c r="DG21" s="18"/>
      <c r="DH21" s="18"/>
      <c r="DI21" s="18"/>
      <c r="DJ21" s="18"/>
      <c r="DK21" s="27"/>
      <c r="DL21" s="300">
        <v>14</v>
      </c>
      <c r="DM21" s="301" t="s">
        <v>188</v>
      </c>
      <c r="DN21" s="302">
        <f>IF(Arbeidsstelsel=4,0.33333333333,0.316666666666667)</f>
        <v>0.31666666666666698</v>
      </c>
      <c r="DO21" s="303">
        <f t="shared" si="53"/>
        <v>0.15833333333333349</v>
      </c>
      <c r="DP21" s="104">
        <v>0</v>
      </c>
      <c r="DQ21" s="179" t="s">
        <v>170</v>
      </c>
      <c r="DR21" s="22"/>
    </row>
    <row r="22" spans="1:122" ht="15" x14ac:dyDescent="0.2">
      <c r="A22" s="322">
        <f t="shared" si="0"/>
        <v>15</v>
      </c>
      <c r="B22" s="323">
        <f t="shared" si="1"/>
        <v>44545</v>
      </c>
      <c r="C22" s="239"/>
      <c r="D22" s="240"/>
      <c r="E22" s="240"/>
      <c r="F22" s="240"/>
      <c r="G22" s="278"/>
      <c r="H22" s="305" t="str">
        <f t="shared" si="29"/>
        <v/>
      </c>
      <c r="I22" s="273" t="str">
        <f t="shared" si="30"/>
        <v/>
      </c>
      <c r="J22" s="312">
        <f t="shared" si="2"/>
        <v>0</v>
      </c>
      <c r="K22" s="313" t="str">
        <f t="shared" si="3"/>
        <v>+</v>
      </c>
      <c r="L22" s="314">
        <f t="shared" si="3"/>
        <v>0.116666667333367</v>
      </c>
      <c r="M22" s="315">
        <f t="shared" si="31"/>
        <v>2.8000000188008083</v>
      </c>
      <c r="N22" s="242"/>
      <c r="O22" s="241"/>
      <c r="P22" s="240"/>
      <c r="Q22" s="241"/>
      <c r="R22" s="243"/>
      <c r="S22" s="231">
        <v>15</v>
      </c>
      <c r="T22" s="213"/>
      <c r="U22" s="383" t="str">
        <f>IF(TRIM(T22)="","",IF(Werklijst_nr=1,INDEX([1]Werklijst!$D$16:$D$2000,MATCH(TRIM(T22),[1]Werklijst!$A$16:$A$1000,0)),INDEX('[2] Werklijst ES'!$B$7:$B$2000,MATCH(TRIM(T22),'[2] Werklijst ES'!$A$7:$A$2000,0))))</f>
        <v/>
      </c>
      <c r="V22" s="384"/>
      <c r="W22" s="359" t="str">
        <f>IF(TRIM(T22)="","",IF(Werklijst_nr=1,INDEX([1]Werklijst!$K$16:$K$2000,MATCH(TRIM(T22),[1]Werklijst!$A$16:$A$2000,0)),INDEX('[2] Werklijst ES'!$B$7:$B$2000,MATCH(TRIM(T22),'[2] Werklijst ES'!$A$7:$A$2000,0))))</f>
        <v/>
      </c>
      <c r="X22" s="377">
        <f>AU$52</f>
        <v>0</v>
      </c>
      <c r="Y22" s="378" t="e">
        <f>AU$49</f>
        <v>#DIV/0!</v>
      </c>
      <c r="Z22" s="80">
        <f t="shared" si="32"/>
        <v>44545</v>
      </c>
      <c r="AA22" s="160">
        <f t="shared" si="4"/>
        <v>44545</v>
      </c>
      <c r="AB22" s="160">
        <f t="shared" si="5"/>
        <v>12</v>
      </c>
      <c r="AC22" s="81">
        <f t="shared" si="6"/>
        <v>4</v>
      </c>
      <c r="AD22" s="160">
        <f t="shared" si="7"/>
        <v>0</v>
      </c>
      <c r="AF22" s="27" t="s">
        <v>119</v>
      </c>
      <c r="AG22" s="100"/>
      <c r="AH22" s="82">
        <f t="shared" si="54"/>
        <v>0</v>
      </c>
      <c r="AI22" s="82">
        <f t="shared" si="54"/>
        <v>0</v>
      </c>
      <c r="AJ22" s="82">
        <f t="shared" si="54"/>
        <v>0</v>
      </c>
      <c r="AK22" s="82">
        <f t="shared" si="54"/>
        <v>0</v>
      </c>
      <c r="AL22" s="82">
        <f t="shared" si="54"/>
        <v>0</v>
      </c>
      <c r="AM22" s="82">
        <f t="shared" si="54"/>
        <v>0</v>
      </c>
      <c r="AN22" s="82">
        <f t="shared" si="54"/>
        <v>0</v>
      </c>
      <c r="AO22" s="82">
        <f t="shared" si="54"/>
        <v>0</v>
      </c>
      <c r="AP22" s="82">
        <f t="shared" si="54"/>
        <v>0</v>
      </c>
      <c r="AQ22" s="82">
        <f t="shared" si="54"/>
        <v>0</v>
      </c>
      <c r="AR22" s="82">
        <f t="shared" si="55"/>
        <v>0</v>
      </c>
      <c r="AS22" s="82">
        <f t="shared" si="55"/>
        <v>0</v>
      </c>
      <c r="AT22" s="82">
        <f t="shared" si="55"/>
        <v>0</v>
      </c>
      <c r="AU22" s="82">
        <f t="shared" si="55"/>
        <v>0</v>
      </c>
      <c r="AV22" s="82">
        <f t="shared" si="55"/>
        <v>0</v>
      </c>
      <c r="AW22" s="82">
        <f t="shared" si="55"/>
        <v>0</v>
      </c>
      <c r="AX22" s="82">
        <f t="shared" si="55"/>
        <v>0</v>
      </c>
      <c r="AY22" s="82">
        <f t="shared" si="55"/>
        <v>0</v>
      </c>
      <c r="AZ22" s="82">
        <f t="shared" si="55"/>
        <v>0</v>
      </c>
      <c r="BA22" s="82">
        <f t="shared" si="55"/>
        <v>0</v>
      </c>
      <c r="BB22" s="82">
        <f t="shared" si="56"/>
        <v>0</v>
      </c>
      <c r="BC22" s="82">
        <f t="shared" si="56"/>
        <v>0</v>
      </c>
      <c r="BD22" s="82">
        <f t="shared" si="56"/>
        <v>0</v>
      </c>
      <c r="BE22" s="82">
        <f t="shared" si="56"/>
        <v>0</v>
      </c>
      <c r="BF22" s="82">
        <f t="shared" si="56"/>
        <v>0</v>
      </c>
      <c r="BG22" s="82">
        <f t="shared" si="56"/>
        <v>0</v>
      </c>
      <c r="BH22" s="82">
        <f t="shared" si="56"/>
        <v>0</v>
      </c>
      <c r="BI22" s="82">
        <f t="shared" si="56"/>
        <v>0</v>
      </c>
      <c r="BJ22" s="82">
        <f t="shared" si="56"/>
        <v>0</v>
      </c>
      <c r="BK22" s="83">
        <f t="shared" si="56"/>
        <v>0</v>
      </c>
      <c r="BM22" s="84">
        <f t="shared" si="33"/>
        <v>0</v>
      </c>
      <c r="BN22" s="85">
        <f t="shared" si="34"/>
        <v>0</v>
      </c>
      <c r="BO22" s="84">
        <f t="shared" si="11"/>
        <v>0</v>
      </c>
      <c r="BP22" s="85">
        <f t="shared" si="12"/>
        <v>0</v>
      </c>
      <c r="BQ22" s="186">
        <f t="shared" si="13"/>
        <v>0</v>
      </c>
      <c r="BR22" s="191">
        <f t="shared" si="14"/>
        <v>0</v>
      </c>
      <c r="BS22" s="186">
        <f t="shared" si="15"/>
        <v>0</v>
      </c>
      <c r="BT22" s="195">
        <f t="shared" si="16"/>
        <v>0</v>
      </c>
      <c r="BU22" s="18"/>
      <c r="BV22" s="27"/>
      <c r="BW22" s="21"/>
      <c r="BX22" s="21"/>
      <c r="BY22" s="21"/>
      <c r="BZ22" s="86">
        <f t="shared" si="35"/>
        <v>15</v>
      </c>
      <c r="CA22" s="87" t="str">
        <f>IF(TRIM(C22)="","",IF(C22&lt;$BW$8,$BW$8,C22))</f>
        <v/>
      </c>
      <c r="CB22" s="87" t="str">
        <f t="shared" si="36"/>
        <v/>
      </c>
      <c r="CC22" s="88" t="str">
        <f t="shared" si="18"/>
        <v/>
      </c>
      <c r="CD22" s="88" t="str">
        <f t="shared" si="19"/>
        <v/>
      </c>
      <c r="CE22" s="89">
        <f t="shared" si="20"/>
        <v>0</v>
      </c>
      <c r="CF22" s="90">
        <f t="shared" si="37"/>
        <v>0</v>
      </c>
      <c r="CG22" s="91">
        <f t="shared" si="38"/>
        <v>0</v>
      </c>
      <c r="CH22" s="87">
        <f t="shared" si="39"/>
        <v>0</v>
      </c>
      <c r="CI22" s="92">
        <f t="shared" si="40"/>
        <v>2.0833333333333332E-2</v>
      </c>
      <c r="CJ22" s="93">
        <f t="shared" si="41"/>
        <v>0</v>
      </c>
      <c r="CK22" s="89">
        <f t="shared" si="42"/>
        <v>0</v>
      </c>
      <c r="CL22" s="90">
        <f t="shared" si="43"/>
        <v>0</v>
      </c>
      <c r="CM22" s="185">
        <f>IF(AND(TRIM(C22)="",TRIM(I22)="",H22=22),1,IF(AND(H22=22,(OR(TRIM(C22)&lt;&gt;"",TRIM(I22)&lt;&gt;""))),0.5,0))</f>
        <v>0</v>
      </c>
      <c r="CN22" s="185">
        <f>IF(AND(TRIM(C22)="",TRIM(H22)="",I22=22),1,IF(AND(I22=22,(OR(TRIM(C22)&lt;&gt;"",TRIM(H22)&lt;&gt;""))),0.5,0))</f>
        <v>0</v>
      </c>
      <c r="CO22" s="185">
        <f>IF(AND(TRIM(C22)="",TRIM(I22)="",H22=27),1,IF(AND(H22=27,(OR(TRIM(C22)&lt;&gt;"",TRIM(I22)&lt;&gt;""))),0.5,0))</f>
        <v>0</v>
      </c>
      <c r="CP22" s="185">
        <f>IF(AND(TRIM(C22)="",TRIM(H22)="",I22=27),1,IF(AND(I22=27,(OR(TRIM(C22)&lt;&gt;"",TRIM(H22)&lt;&gt;""))),0.5,0))</f>
        <v>0</v>
      </c>
      <c r="CQ22" s="91" t="str">
        <f t="shared" si="21"/>
        <v/>
      </c>
      <c r="CR22" s="87">
        <f t="shared" si="22"/>
        <v>0</v>
      </c>
      <c r="CS22" s="87">
        <f t="shared" si="23"/>
        <v>0</v>
      </c>
      <c r="CT22" s="87">
        <f t="shared" si="48"/>
        <v>0</v>
      </c>
      <c r="CU22" s="92">
        <f t="shared" si="24"/>
        <v>0</v>
      </c>
      <c r="CV22" s="326">
        <f t="shared" si="49"/>
        <v>0</v>
      </c>
      <c r="CW22" s="328">
        <f t="shared" si="25"/>
        <v>0</v>
      </c>
      <c r="CX22" s="330">
        <f t="shared" si="50"/>
        <v>0.116666667333367</v>
      </c>
      <c r="CY22" s="94" t="str">
        <f t="shared" si="51"/>
        <v>+</v>
      </c>
      <c r="CZ22" s="95">
        <f t="shared" si="52"/>
        <v>0.116666667333367</v>
      </c>
      <c r="DA22" s="96">
        <f t="shared" si="27"/>
        <v>0</v>
      </c>
      <c r="DB22" s="215">
        <f t="shared" si="28"/>
        <v>0</v>
      </c>
      <c r="DC22" s="58"/>
      <c r="DD22" s="18"/>
      <c r="DE22" s="18"/>
      <c r="DF22" s="197"/>
      <c r="DG22" s="18"/>
      <c r="DH22" s="18"/>
      <c r="DI22" s="18"/>
      <c r="DJ22" s="18"/>
      <c r="DK22" s="27"/>
      <c r="DL22" s="183">
        <v>19</v>
      </c>
      <c r="DM22" s="102" t="s">
        <v>69</v>
      </c>
      <c r="DN22" s="103">
        <v>0.33333333333333331</v>
      </c>
      <c r="DO22" s="172">
        <f t="shared" si="53"/>
        <v>0.16666666666666666</v>
      </c>
      <c r="DP22" s="104">
        <v>0</v>
      </c>
      <c r="DQ22" s="179" t="s">
        <v>171</v>
      </c>
      <c r="DR22" s="22"/>
    </row>
    <row r="23" spans="1:122" ht="15" x14ac:dyDescent="0.2">
      <c r="A23" s="322">
        <f t="shared" si="0"/>
        <v>16</v>
      </c>
      <c r="B23" s="323">
        <f t="shared" si="1"/>
        <v>44546</v>
      </c>
      <c r="C23" s="239"/>
      <c r="D23" s="240"/>
      <c r="E23" s="240"/>
      <c r="F23" s="240"/>
      <c r="G23" s="278"/>
      <c r="H23" s="305" t="str">
        <f t="shared" si="29"/>
        <v/>
      </c>
      <c r="I23" s="273" t="str">
        <f t="shared" si="30"/>
        <v/>
      </c>
      <c r="J23" s="312">
        <f t="shared" si="2"/>
        <v>0</v>
      </c>
      <c r="K23" s="313" t="str">
        <f t="shared" si="3"/>
        <v>+</v>
      </c>
      <c r="L23" s="314">
        <f t="shared" si="3"/>
        <v>0.116666667333367</v>
      </c>
      <c r="M23" s="315">
        <f t="shared" si="31"/>
        <v>2.8000000188008083</v>
      </c>
      <c r="N23" s="242"/>
      <c r="O23" s="241"/>
      <c r="P23" s="240"/>
      <c r="Q23" s="241"/>
      <c r="R23" s="243"/>
      <c r="S23" s="231">
        <v>16</v>
      </c>
      <c r="T23" s="213"/>
      <c r="U23" s="383" t="str">
        <f>IF(TRIM(T23)="","",IF(Werklijst_nr=1,INDEX([1]Werklijst!$D$16:$D$2000,MATCH(TRIM(T23),[1]Werklijst!$A$16:$A$1000,0)),INDEX('[2] Werklijst ES'!$B$7:$B$2000,MATCH(TRIM(T23),'[2] Werklijst ES'!$A$7:$A$2000,0))))</f>
        <v/>
      </c>
      <c r="V23" s="384"/>
      <c r="W23" s="359" t="str">
        <f>IF(TRIM(T23)="","",IF(Werklijst_nr=1,INDEX([1]Werklijst!$K$16:$K$2000,MATCH(TRIM(T23),[1]Werklijst!$A$16:$A$2000,0)),INDEX('[2] Werklijst ES'!$B$7:$B$2000,MATCH(TRIM(T23),'[2] Werklijst ES'!$A$7:$A$2000,0))))</f>
        <v/>
      </c>
      <c r="X23" s="377">
        <f>AV$52</f>
        <v>0</v>
      </c>
      <c r="Y23" s="378" t="e">
        <f>AV$49</f>
        <v>#DIV/0!</v>
      </c>
      <c r="Z23" s="80">
        <f t="shared" si="32"/>
        <v>44546</v>
      </c>
      <c r="AA23" s="160">
        <f t="shared" si="4"/>
        <v>44546</v>
      </c>
      <c r="AB23" s="160">
        <f t="shared" si="5"/>
        <v>12</v>
      </c>
      <c r="AC23" s="81">
        <f t="shared" si="6"/>
        <v>5</v>
      </c>
      <c r="AD23" s="160">
        <f t="shared" si="7"/>
        <v>0</v>
      </c>
      <c r="AF23" s="27" t="s">
        <v>119</v>
      </c>
      <c r="AG23" s="100"/>
      <c r="AH23" s="82">
        <f t="shared" si="54"/>
        <v>0</v>
      </c>
      <c r="AI23" s="82">
        <f t="shared" si="54"/>
        <v>0</v>
      </c>
      <c r="AJ23" s="82">
        <f t="shared" si="54"/>
        <v>0</v>
      </c>
      <c r="AK23" s="82">
        <f t="shared" si="54"/>
        <v>0</v>
      </c>
      <c r="AL23" s="82">
        <f t="shared" si="54"/>
        <v>0</v>
      </c>
      <c r="AM23" s="82">
        <f t="shared" si="54"/>
        <v>0</v>
      </c>
      <c r="AN23" s="82">
        <f t="shared" si="54"/>
        <v>0</v>
      </c>
      <c r="AO23" s="82">
        <f t="shared" si="54"/>
        <v>0</v>
      </c>
      <c r="AP23" s="82">
        <f t="shared" si="54"/>
        <v>0</v>
      </c>
      <c r="AQ23" s="82">
        <f t="shared" si="54"/>
        <v>0</v>
      </c>
      <c r="AR23" s="82">
        <f t="shared" si="55"/>
        <v>0</v>
      </c>
      <c r="AS23" s="82">
        <f t="shared" si="55"/>
        <v>0</v>
      </c>
      <c r="AT23" s="82">
        <f t="shared" si="55"/>
        <v>0</v>
      </c>
      <c r="AU23" s="82">
        <f t="shared" si="55"/>
        <v>0</v>
      </c>
      <c r="AV23" s="82">
        <f t="shared" si="55"/>
        <v>0</v>
      </c>
      <c r="AW23" s="82">
        <f t="shared" si="55"/>
        <v>0</v>
      </c>
      <c r="AX23" s="82">
        <f t="shared" si="55"/>
        <v>0</v>
      </c>
      <c r="AY23" s="82">
        <f t="shared" si="55"/>
        <v>0</v>
      </c>
      <c r="AZ23" s="82">
        <f t="shared" si="55"/>
        <v>0</v>
      </c>
      <c r="BA23" s="82">
        <f t="shared" si="55"/>
        <v>0</v>
      </c>
      <c r="BB23" s="82">
        <f t="shared" si="56"/>
        <v>0</v>
      </c>
      <c r="BC23" s="82">
        <f t="shared" si="56"/>
        <v>0</v>
      </c>
      <c r="BD23" s="82">
        <f t="shared" si="56"/>
        <v>0</v>
      </c>
      <c r="BE23" s="82">
        <f t="shared" si="56"/>
        <v>0</v>
      </c>
      <c r="BF23" s="82">
        <f t="shared" si="56"/>
        <v>0</v>
      </c>
      <c r="BG23" s="82">
        <f t="shared" si="56"/>
        <v>0</v>
      </c>
      <c r="BH23" s="82">
        <f t="shared" si="56"/>
        <v>0</v>
      </c>
      <c r="BI23" s="82">
        <f t="shared" si="56"/>
        <v>0</v>
      </c>
      <c r="BJ23" s="82">
        <f t="shared" si="56"/>
        <v>0</v>
      </c>
      <c r="BK23" s="83">
        <f t="shared" si="56"/>
        <v>0</v>
      </c>
      <c r="BM23" s="84">
        <f t="shared" si="33"/>
        <v>0</v>
      </c>
      <c r="BN23" s="85">
        <f t="shared" si="34"/>
        <v>0</v>
      </c>
      <c r="BO23" s="84">
        <f t="shared" si="11"/>
        <v>0</v>
      </c>
      <c r="BP23" s="85">
        <f t="shared" si="12"/>
        <v>0</v>
      </c>
      <c r="BQ23" s="186">
        <f t="shared" si="13"/>
        <v>0</v>
      </c>
      <c r="BR23" s="191">
        <f t="shared" si="14"/>
        <v>0</v>
      </c>
      <c r="BS23" s="186">
        <f t="shared" si="15"/>
        <v>0</v>
      </c>
      <c r="BT23" s="195">
        <f t="shared" si="16"/>
        <v>0</v>
      </c>
      <c r="BU23" s="18"/>
      <c r="BV23" s="27"/>
      <c r="BW23" s="21"/>
      <c r="BX23" s="21"/>
      <c r="BY23" s="21"/>
      <c r="BZ23" s="86">
        <f t="shared" si="35"/>
        <v>16</v>
      </c>
      <c r="CA23" s="87" t="str">
        <f t="shared" si="17"/>
        <v/>
      </c>
      <c r="CB23" s="87" t="str">
        <f t="shared" si="36"/>
        <v/>
      </c>
      <c r="CC23" s="88" t="str">
        <f t="shared" si="18"/>
        <v/>
      </c>
      <c r="CD23" s="88" t="str">
        <f t="shared" si="19"/>
        <v/>
      </c>
      <c r="CE23" s="89">
        <f t="shared" si="20"/>
        <v>0</v>
      </c>
      <c r="CF23" s="90">
        <f t="shared" si="37"/>
        <v>0</v>
      </c>
      <c r="CG23" s="91">
        <f t="shared" si="38"/>
        <v>0</v>
      </c>
      <c r="CH23" s="87">
        <f t="shared" si="39"/>
        <v>0</v>
      </c>
      <c r="CI23" s="92">
        <f t="shared" si="40"/>
        <v>2.0833333333333332E-2</v>
      </c>
      <c r="CJ23" s="93">
        <f t="shared" si="41"/>
        <v>0</v>
      </c>
      <c r="CK23" s="89">
        <f t="shared" si="42"/>
        <v>0</v>
      </c>
      <c r="CL23" s="90">
        <f t="shared" si="43"/>
        <v>0</v>
      </c>
      <c r="CM23" s="185">
        <f t="shared" si="44"/>
        <v>0</v>
      </c>
      <c r="CN23" s="185">
        <f t="shared" si="45"/>
        <v>0</v>
      </c>
      <c r="CO23" s="185">
        <f t="shared" si="46"/>
        <v>0</v>
      </c>
      <c r="CP23" s="185">
        <f t="shared" si="47"/>
        <v>0</v>
      </c>
      <c r="CQ23" s="91" t="str">
        <f t="shared" si="21"/>
        <v/>
      </c>
      <c r="CR23" s="87">
        <f t="shared" si="22"/>
        <v>0</v>
      </c>
      <c r="CS23" s="87">
        <f t="shared" si="23"/>
        <v>0</v>
      </c>
      <c r="CT23" s="87">
        <f t="shared" si="48"/>
        <v>0</v>
      </c>
      <c r="CU23" s="92">
        <f t="shared" si="24"/>
        <v>0</v>
      </c>
      <c r="CV23" s="326">
        <f t="shared" si="49"/>
        <v>0</v>
      </c>
      <c r="CW23" s="328">
        <f t="shared" si="25"/>
        <v>0</v>
      </c>
      <c r="CX23" s="330">
        <f t="shared" si="50"/>
        <v>0.116666667333367</v>
      </c>
      <c r="CY23" s="94" t="str">
        <f t="shared" si="51"/>
        <v>+</v>
      </c>
      <c r="CZ23" s="95">
        <f t="shared" si="52"/>
        <v>0.116666667333367</v>
      </c>
      <c r="DA23" s="96">
        <f t="shared" si="27"/>
        <v>0</v>
      </c>
      <c r="DB23" s="215">
        <f t="shared" si="28"/>
        <v>0</v>
      </c>
      <c r="DC23" s="58"/>
      <c r="DD23" s="18"/>
      <c r="DE23" s="18"/>
      <c r="DF23" s="197"/>
      <c r="DG23" s="18"/>
      <c r="DH23" s="18"/>
      <c r="DI23" s="18"/>
      <c r="DJ23" s="18"/>
      <c r="DK23" s="27"/>
      <c r="DL23" s="300">
        <v>21</v>
      </c>
      <c r="DM23" s="301" t="s">
        <v>40</v>
      </c>
      <c r="DN23" s="302">
        <f>IF(Arbeidsstelsel=4,0.33333333333,0.316666666666667)</f>
        <v>0.31666666666666698</v>
      </c>
      <c r="DO23" s="303">
        <f t="shared" si="53"/>
        <v>0.15833333333333349</v>
      </c>
      <c r="DP23" s="104">
        <v>0</v>
      </c>
      <c r="DQ23" s="179" t="s">
        <v>191</v>
      </c>
      <c r="DR23" s="22"/>
    </row>
    <row r="24" spans="1:122" ht="15" x14ac:dyDescent="0.2">
      <c r="A24" s="322">
        <f t="shared" si="0"/>
        <v>17</v>
      </c>
      <c r="B24" s="323">
        <f t="shared" si="1"/>
        <v>44547</v>
      </c>
      <c r="C24" s="239"/>
      <c r="D24" s="240"/>
      <c r="E24" s="240"/>
      <c r="F24" s="240"/>
      <c r="G24" s="278"/>
      <c r="H24" s="305" t="str">
        <f t="shared" si="29"/>
        <v/>
      </c>
      <c r="I24" s="273" t="str">
        <f t="shared" si="30"/>
        <v/>
      </c>
      <c r="J24" s="312">
        <f t="shared" si="2"/>
        <v>0</v>
      </c>
      <c r="K24" s="313" t="str">
        <f t="shared" si="3"/>
        <v>+</v>
      </c>
      <c r="L24" s="314">
        <f t="shared" si="3"/>
        <v>0.116666667333367</v>
      </c>
      <c r="M24" s="315">
        <f t="shared" si="31"/>
        <v>2.8000000188008083</v>
      </c>
      <c r="N24" s="242"/>
      <c r="O24" s="241"/>
      <c r="P24" s="240"/>
      <c r="Q24" s="241"/>
      <c r="R24" s="243"/>
      <c r="S24" s="244">
        <v>17</v>
      </c>
      <c r="T24" s="213"/>
      <c r="U24" s="383" t="str">
        <f>IF(TRIM(T24)="","",IF(Werklijst_nr=1,INDEX([1]Werklijst!$D$16:$D$2000,MATCH(TRIM(T24),[1]Werklijst!$A$16:$A$1000,0)),INDEX('[2] Werklijst ES'!$B$7:$B$2000,MATCH(TRIM(T24),'[2] Werklijst ES'!$A$7:$A$2000,0))))</f>
        <v/>
      </c>
      <c r="V24" s="384"/>
      <c r="W24" s="359" t="str">
        <f>IF(TRIM(T24)="","",IF(Werklijst_nr=1,INDEX([1]Werklijst!$K$16:$K$2000,MATCH(TRIM(T24),[1]Werklijst!$A$16:$A$2000,0)),INDEX('[2] Werklijst ES'!$B$7:$B$2000,MATCH(TRIM(T24),'[2] Werklijst ES'!$A$7:$A$2000,0))))</f>
        <v/>
      </c>
      <c r="X24" s="377">
        <f>AW$52</f>
        <v>0</v>
      </c>
      <c r="Y24" s="378" t="e">
        <f>AW$49</f>
        <v>#DIV/0!</v>
      </c>
      <c r="Z24" s="80">
        <f t="shared" si="32"/>
        <v>44547</v>
      </c>
      <c r="AA24" s="160">
        <f t="shared" si="4"/>
        <v>44547</v>
      </c>
      <c r="AB24" s="160">
        <f t="shared" si="5"/>
        <v>12</v>
      </c>
      <c r="AC24" s="81">
        <f t="shared" si="6"/>
        <v>6</v>
      </c>
      <c r="AD24" s="160">
        <f t="shared" si="7"/>
        <v>0</v>
      </c>
      <c r="AF24" s="27" t="s">
        <v>119</v>
      </c>
      <c r="AG24" s="100"/>
      <c r="AH24" s="82">
        <f t="shared" si="54"/>
        <v>0</v>
      </c>
      <c r="AI24" s="82">
        <f t="shared" si="54"/>
        <v>0</v>
      </c>
      <c r="AJ24" s="82">
        <f t="shared" si="54"/>
        <v>0</v>
      </c>
      <c r="AK24" s="82">
        <f t="shared" si="54"/>
        <v>0</v>
      </c>
      <c r="AL24" s="82">
        <f t="shared" si="54"/>
        <v>0</v>
      </c>
      <c r="AM24" s="82">
        <f t="shared" si="54"/>
        <v>0</v>
      </c>
      <c r="AN24" s="82">
        <f t="shared" si="54"/>
        <v>0</v>
      </c>
      <c r="AO24" s="82">
        <f t="shared" si="54"/>
        <v>0</v>
      </c>
      <c r="AP24" s="82">
        <f t="shared" si="54"/>
        <v>0</v>
      </c>
      <c r="AQ24" s="82">
        <f t="shared" si="54"/>
        <v>0</v>
      </c>
      <c r="AR24" s="82">
        <f t="shared" si="55"/>
        <v>0</v>
      </c>
      <c r="AS24" s="82">
        <f t="shared" si="55"/>
        <v>0</v>
      </c>
      <c r="AT24" s="82">
        <f t="shared" si="55"/>
        <v>0</v>
      </c>
      <c r="AU24" s="82">
        <f t="shared" si="55"/>
        <v>0</v>
      </c>
      <c r="AV24" s="82">
        <f t="shared" si="55"/>
        <v>0</v>
      </c>
      <c r="AW24" s="82">
        <f t="shared" si="55"/>
        <v>0</v>
      </c>
      <c r="AX24" s="82">
        <f t="shared" si="55"/>
        <v>0</v>
      </c>
      <c r="AY24" s="82">
        <f t="shared" si="55"/>
        <v>0</v>
      </c>
      <c r="AZ24" s="82">
        <f t="shared" si="55"/>
        <v>0</v>
      </c>
      <c r="BA24" s="82">
        <f t="shared" si="55"/>
        <v>0</v>
      </c>
      <c r="BB24" s="82">
        <f t="shared" si="56"/>
        <v>0</v>
      </c>
      <c r="BC24" s="82">
        <f t="shared" si="56"/>
        <v>0</v>
      </c>
      <c r="BD24" s="82">
        <f t="shared" si="56"/>
        <v>0</v>
      </c>
      <c r="BE24" s="82">
        <f t="shared" si="56"/>
        <v>0</v>
      </c>
      <c r="BF24" s="82">
        <f t="shared" si="56"/>
        <v>0</v>
      </c>
      <c r="BG24" s="82">
        <f t="shared" si="56"/>
        <v>0</v>
      </c>
      <c r="BH24" s="82">
        <f t="shared" si="56"/>
        <v>0</v>
      </c>
      <c r="BI24" s="82">
        <f t="shared" si="56"/>
        <v>0</v>
      </c>
      <c r="BJ24" s="82">
        <f t="shared" si="56"/>
        <v>0</v>
      </c>
      <c r="BK24" s="83">
        <f t="shared" si="56"/>
        <v>0</v>
      </c>
      <c r="BM24" s="84">
        <f t="shared" si="33"/>
        <v>0</v>
      </c>
      <c r="BN24" s="85">
        <f t="shared" si="34"/>
        <v>0</v>
      </c>
      <c r="BO24" s="84">
        <f t="shared" si="11"/>
        <v>0</v>
      </c>
      <c r="BP24" s="85">
        <f t="shared" si="12"/>
        <v>0</v>
      </c>
      <c r="BQ24" s="186">
        <f t="shared" si="13"/>
        <v>0</v>
      </c>
      <c r="BR24" s="191">
        <f t="shared" si="14"/>
        <v>0</v>
      </c>
      <c r="BS24" s="186">
        <f t="shared" si="15"/>
        <v>0</v>
      </c>
      <c r="BT24" s="195">
        <f t="shared" si="16"/>
        <v>0</v>
      </c>
      <c r="BU24" s="18"/>
      <c r="BV24" s="27"/>
      <c r="BW24" s="21"/>
      <c r="BX24" s="21"/>
      <c r="BY24" s="21"/>
      <c r="BZ24" s="86">
        <f t="shared" si="35"/>
        <v>17</v>
      </c>
      <c r="CA24" s="87" t="str">
        <f t="shared" si="17"/>
        <v/>
      </c>
      <c r="CB24" s="87" t="str">
        <f t="shared" si="36"/>
        <v/>
      </c>
      <c r="CC24" s="88" t="str">
        <f t="shared" si="18"/>
        <v/>
      </c>
      <c r="CD24" s="88" t="str">
        <f t="shared" si="19"/>
        <v/>
      </c>
      <c r="CE24" s="89">
        <f t="shared" si="20"/>
        <v>0</v>
      </c>
      <c r="CF24" s="90">
        <f t="shared" si="37"/>
        <v>0</v>
      </c>
      <c r="CG24" s="91">
        <f t="shared" si="38"/>
        <v>0</v>
      </c>
      <c r="CH24" s="87">
        <f t="shared" si="39"/>
        <v>0</v>
      </c>
      <c r="CI24" s="92">
        <f t="shared" si="40"/>
        <v>2.0833333333333332E-2</v>
      </c>
      <c r="CJ24" s="93">
        <f t="shared" si="41"/>
        <v>0</v>
      </c>
      <c r="CK24" s="89">
        <f t="shared" si="42"/>
        <v>0</v>
      </c>
      <c r="CL24" s="90">
        <f t="shared" si="43"/>
        <v>0</v>
      </c>
      <c r="CM24" s="185">
        <f t="shared" si="44"/>
        <v>0</v>
      </c>
      <c r="CN24" s="185">
        <f t="shared" si="45"/>
        <v>0</v>
      </c>
      <c r="CO24" s="185">
        <f t="shared" si="46"/>
        <v>0</v>
      </c>
      <c r="CP24" s="185">
        <f t="shared" si="47"/>
        <v>0</v>
      </c>
      <c r="CQ24" s="91" t="str">
        <f t="shared" si="21"/>
        <v/>
      </c>
      <c r="CR24" s="87">
        <f t="shared" si="22"/>
        <v>0</v>
      </c>
      <c r="CS24" s="87">
        <f t="shared" si="23"/>
        <v>0</v>
      </c>
      <c r="CT24" s="87">
        <f t="shared" si="48"/>
        <v>0</v>
      </c>
      <c r="CU24" s="92">
        <f t="shared" si="24"/>
        <v>0</v>
      </c>
      <c r="CV24" s="326">
        <f t="shared" si="49"/>
        <v>0</v>
      </c>
      <c r="CW24" s="328">
        <f t="shared" si="25"/>
        <v>0</v>
      </c>
      <c r="CX24" s="330">
        <f t="shared" si="50"/>
        <v>0.116666667333367</v>
      </c>
      <c r="CY24" s="94" t="str">
        <f t="shared" si="51"/>
        <v>+</v>
      </c>
      <c r="CZ24" s="95">
        <f t="shared" si="52"/>
        <v>0.116666667333367</v>
      </c>
      <c r="DA24" s="96">
        <f t="shared" si="27"/>
        <v>0</v>
      </c>
      <c r="DB24" s="215">
        <f t="shared" si="28"/>
        <v>0</v>
      </c>
      <c r="DC24" s="58"/>
      <c r="DD24" s="18"/>
      <c r="DE24" s="18"/>
      <c r="DF24" s="18"/>
      <c r="DG24" s="18"/>
      <c r="DH24" s="18"/>
      <c r="DI24" s="18"/>
      <c r="DJ24" s="18"/>
      <c r="DK24" s="27"/>
      <c r="DL24" s="183">
        <v>22</v>
      </c>
      <c r="DM24" s="102" t="s">
        <v>85</v>
      </c>
      <c r="DN24" s="103">
        <v>0</v>
      </c>
      <c r="DO24" s="172">
        <f t="shared" si="53"/>
        <v>0</v>
      </c>
      <c r="DP24" s="104">
        <v>0</v>
      </c>
      <c r="DQ24" s="179" t="s">
        <v>200</v>
      </c>
      <c r="DR24" s="22"/>
    </row>
    <row r="25" spans="1:122" ht="15.75" thickBot="1" x14ac:dyDescent="0.25">
      <c r="A25" s="322">
        <f t="shared" si="0"/>
        <v>18</v>
      </c>
      <c r="B25" s="323">
        <f t="shared" si="1"/>
        <v>44548</v>
      </c>
      <c r="C25" s="239"/>
      <c r="D25" s="240"/>
      <c r="E25" s="240"/>
      <c r="F25" s="240"/>
      <c r="G25" s="278"/>
      <c r="H25" s="305">
        <f t="shared" si="29"/>
        <v>21</v>
      </c>
      <c r="I25" s="273" t="str">
        <f t="shared" si="30"/>
        <v/>
      </c>
      <c r="J25" s="312">
        <f t="shared" si="2"/>
        <v>0.31666666666666698</v>
      </c>
      <c r="K25" s="313" t="str">
        <f t="shared" si="3"/>
        <v>+</v>
      </c>
      <c r="L25" s="314">
        <f t="shared" si="3"/>
        <v>0.11666666733336734</v>
      </c>
      <c r="M25" s="315">
        <f t="shared" si="31"/>
        <v>2.8000000188008163</v>
      </c>
      <c r="N25" s="242"/>
      <c r="O25" s="241"/>
      <c r="P25" s="240"/>
      <c r="Q25" s="241"/>
      <c r="R25" s="243"/>
      <c r="S25" s="231">
        <v>18</v>
      </c>
      <c r="T25" s="213"/>
      <c r="U25" s="383" t="str">
        <f>IF(TRIM(T25)="","",IF(Werklijst_nr=1,INDEX([1]Werklijst!$D$16:$D$2000,MATCH(TRIM(T25),[1]Werklijst!$A$16:$A$1000,0)),INDEX('[2] Werklijst ES'!$B$7:$B$2000,MATCH(TRIM(T25),'[2] Werklijst ES'!$A$7:$A$2000,0))))</f>
        <v/>
      </c>
      <c r="V25" s="384"/>
      <c r="W25" s="359" t="str">
        <f>IF(TRIM(T25)="","",IF(Werklijst_nr=1,INDEX([1]Werklijst!$K$16:$K$2000,MATCH(TRIM(T25),[1]Werklijst!$A$16:$A$2000,0)),INDEX('[2] Werklijst ES'!$B$7:$B$2000,MATCH(TRIM(T25),'[2] Werklijst ES'!$A$7:$A$2000,0))))</f>
        <v/>
      </c>
      <c r="X25" s="377">
        <f>AX$52</f>
        <v>0</v>
      </c>
      <c r="Y25" s="378" t="e">
        <f>AX$49</f>
        <v>#DIV/0!</v>
      </c>
      <c r="Z25" s="80">
        <f t="shared" si="32"/>
        <v>44548</v>
      </c>
      <c r="AA25" s="160">
        <f t="shared" si="4"/>
        <v>44548</v>
      </c>
      <c r="AB25" s="160">
        <f t="shared" si="5"/>
        <v>12</v>
      </c>
      <c r="AC25" s="81">
        <f t="shared" si="6"/>
        <v>0</v>
      </c>
      <c r="AD25" s="160">
        <f t="shared" si="7"/>
        <v>0</v>
      </c>
      <c r="AF25" s="27" t="s">
        <v>119</v>
      </c>
      <c r="AG25" s="100"/>
      <c r="AH25" s="82">
        <f t="shared" si="54"/>
        <v>0</v>
      </c>
      <c r="AI25" s="82">
        <f t="shared" si="54"/>
        <v>0</v>
      </c>
      <c r="AJ25" s="82">
        <f t="shared" si="54"/>
        <v>0</v>
      </c>
      <c r="AK25" s="82">
        <f t="shared" si="54"/>
        <v>0</v>
      </c>
      <c r="AL25" s="82">
        <f t="shared" si="54"/>
        <v>0</v>
      </c>
      <c r="AM25" s="82">
        <f t="shared" si="54"/>
        <v>0</v>
      </c>
      <c r="AN25" s="82">
        <f t="shared" si="54"/>
        <v>0</v>
      </c>
      <c r="AO25" s="82">
        <f t="shared" si="54"/>
        <v>0</v>
      </c>
      <c r="AP25" s="82">
        <f t="shared" si="54"/>
        <v>0</v>
      </c>
      <c r="AQ25" s="82">
        <f t="shared" si="54"/>
        <v>0</v>
      </c>
      <c r="AR25" s="82">
        <f t="shared" si="55"/>
        <v>0</v>
      </c>
      <c r="AS25" s="82">
        <f t="shared" si="55"/>
        <v>0</v>
      </c>
      <c r="AT25" s="82">
        <f t="shared" si="55"/>
        <v>0</v>
      </c>
      <c r="AU25" s="82">
        <f t="shared" si="55"/>
        <v>0</v>
      </c>
      <c r="AV25" s="82">
        <f t="shared" si="55"/>
        <v>0</v>
      </c>
      <c r="AW25" s="82">
        <f t="shared" si="55"/>
        <v>0</v>
      </c>
      <c r="AX25" s="82">
        <f t="shared" si="55"/>
        <v>0</v>
      </c>
      <c r="AY25" s="82">
        <f t="shared" si="55"/>
        <v>0</v>
      </c>
      <c r="AZ25" s="82">
        <f t="shared" si="55"/>
        <v>0</v>
      </c>
      <c r="BA25" s="82">
        <f t="shared" si="55"/>
        <v>0</v>
      </c>
      <c r="BB25" s="82">
        <f t="shared" si="56"/>
        <v>0</v>
      </c>
      <c r="BC25" s="82">
        <f t="shared" si="56"/>
        <v>0</v>
      </c>
      <c r="BD25" s="82">
        <f t="shared" si="56"/>
        <v>0</v>
      </c>
      <c r="BE25" s="82">
        <f t="shared" si="56"/>
        <v>0</v>
      </c>
      <c r="BF25" s="82">
        <f t="shared" si="56"/>
        <v>0</v>
      </c>
      <c r="BG25" s="82">
        <f t="shared" si="56"/>
        <v>0</v>
      </c>
      <c r="BH25" s="82">
        <f t="shared" si="56"/>
        <v>0</v>
      </c>
      <c r="BI25" s="82">
        <f t="shared" si="56"/>
        <v>0</v>
      </c>
      <c r="BJ25" s="82">
        <f t="shared" si="56"/>
        <v>0</v>
      </c>
      <c r="BK25" s="83">
        <f t="shared" si="56"/>
        <v>0</v>
      </c>
      <c r="BM25" s="84">
        <f t="shared" si="33"/>
        <v>0</v>
      </c>
      <c r="BN25" s="85">
        <f t="shared" si="34"/>
        <v>0</v>
      </c>
      <c r="BO25" s="84">
        <f t="shared" si="11"/>
        <v>0</v>
      </c>
      <c r="BP25" s="85">
        <f t="shared" si="12"/>
        <v>0</v>
      </c>
      <c r="BQ25" s="186">
        <f t="shared" si="13"/>
        <v>0</v>
      </c>
      <c r="BR25" s="191">
        <f t="shared" si="14"/>
        <v>0</v>
      </c>
      <c r="BS25" s="186">
        <f t="shared" si="15"/>
        <v>0</v>
      </c>
      <c r="BT25" s="195">
        <f t="shared" si="16"/>
        <v>0</v>
      </c>
      <c r="BU25" s="18"/>
      <c r="BV25" s="27"/>
      <c r="BW25" s="21"/>
      <c r="BX25" s="21"/>
      <c r="BY25" s="21"/>
      <c r="BZ25" s="86">
        <f t="shared" si="35"/>
        <v>18</v>
      </c>
      <c r="CA25" s="87" t="str">
        <f t="shared" si="17"/>
        <v/>
      </c>
      <c r="CB25" s="87" t="str">
        <f t="shared" si="36"/>
        <v/>
      </c>
      <c r="CC25" s="88">
        <f t="shared" si="18"/>
        <v>0.31666666666666698</v>
      </c>
      <c r="CD25" s="88" t="str">
        <f t="shared" si="19"/>
        <v/>
      </c>
      <c r="CE25" s="89">
        <f t="shared" si="20"/>
        <v>0</v>
      </c>
      <c r="CF25" s="90">
        <f t="shared" si="37"/>
        <v>0.31666666666666698</v>
      </c>
      <c r="CG25" s="91">
        <f t="shared" si="38"/>
        <v>0</v>
      </c>
      <c r="CH25" s="87">
        <f t="shared" si="39"/>
        <v>0</v>
      </c>
      <c r="CI25" s="92">
        <f t="shared" si="40"/>
        <v>0</v>
      </c>
      <c r="CJ25" s="93">
        <f t="shared" si="41"/>
        <v>0</v>
      </c>
      <c r="CK25" s="89">
        <f t="shared" si="42"/>
        <v>0</v>
      </c>
      <c r="CL25" s="90">
        <f t="shared" si="43"/>
        <v>0</v>
      </c>
      <c r="CM25" s="185">
        <f t="shared" si="44"/>
        <v>0</v>
      </c>
      <c r="CN25" s="185">
        <f t="shared" si="45"/>
        <v>0</v>
      </c>
      <c r="CO25" s="185">
        <f t="shared" si="46"/>
        <v>0</v>
      </c>
      <c r="CP25" s="185">
        <f t="shared" si="47"/>
        <v>0</v>
      </c>
      <c r="CQ25" s="91" t="str">
        <f t="shared" si="21"/>
        <v/>
      </c>
      <c r="CR25" s="87">
        <f t="shared" si="22"/>
        <v>0</v>
      </c>
      <c r="CS25" s="87">
        <f t="shared" si="23"/>
        <v>0</v>
      </c>
      <c r="CT25" s="87">
        <f t="shared" si="48"/>
        <v>0.31666666666666698</v>
      </c>
      <c r="CU25" s="92">
        <f t="shared" si="24"/>
        <v>0.31666666666666698</v>
      </c>
      <c r="CV25" s="326">
        <f t="shared" si="49"/>
        <v>0.31666666666666698</v>
      </c>
      <c r="CW25" s="328">
        <f t="shared" si="25"/>
        <v>3.3306690738754696E-16</v>
      </c>
      <c r="CX25" s="330">
        <f t="shared" si="50"/>
        <v>0.11666666733336734</v>
      </c>
      <c r="CY25" s="94" t="str">
        <f t="shared" si="51"/>
        <v>+</v>
      </c>
      <c r="CZ25" s="95">
        <f t="shared" si="52"/>
        <v>0.11666666733336734</v>
      </c>
      <c r="DA25" s="96">
        <f t="shared" si="27"/>
        <v>0</v>
      </c>
      <c r="DB25" s="215">
        <f t="shared" si="28"/>
        <v>0</v>
      </c>
      <c r="DC25" s="58"/>
      <c r="DD25" s="18"/>
      <c r="DE25" s="18"/>
      <c r="DF25" s="18"/>
      <c r="DG25" s="18"/>
      <c r="DH25" s="18"/>
      <c r="DI25" s="18"/>
      <c r="DJ25" s="18"/>
      <c r="DK25" s="27"/>
      <c r="DL25" s="183">
        <v>23</v>
      </c>
      <c r="DM25" s="102" t="s">
        <v>84</v>
      </c>
      <c r="DN25" s="103">
        <v>0</v>
      </c>
      <c r="DO25" s="172">
        <f t="shared" si="53"/>
        <v>0</v>
      </c>
      <c r="DP25" s="104">
        <v>1</v>
      </c>
      <c r="DQ25" s="179" t="s">
        <v>172</v>
      </c>
      <c r="DR25" s="22"/>
    </row>
    <row r="26" spans="1:122" ht="15" x14ac:dyDescent="0.25">
      <c r="A26" s="322">
        <f t="shared" si="0"/>
        <v>19</v>
      </c>
      <c r="B26" s="323">
        <f t="shared" si="1"/>
        <v>44549</v>
      </c>
      <c r="C26" s="239"/>
      <c r="D26" s="240"/>
      <c r="E26" s="240"/>
      <c r="F26" s="240"/>
      <c r="G26" s="278"/>
      <c r="H26" s="305">
        <f t="shared" si="29"/>
        <v>1</v>
      </c>
      <c r="I26" s="273" t="str">
        <f t="shared" si="30"/>
        <v/>
      </c>
      <c r="J26" s="312">
        <f t="shared" si="2"/>
        <v>0.31666666666666698</v>
      </c>
      <c r="K26" s="313" t="str">
        <f t="shared" si="3"/>
        <v>+</v>
      </c>
      <c r="L26" s="314">
        <f t="shared" si="3"/>
        <v>0.11666666733336767</v>
      </c>
      <c r="M26" s="315">
        <f t="shared" si="31"/>
        <v>2.8000000188008243</v>
      </c>
      <c r="N26" s="242"/>
      <c r="O26" s="241"/>
      <c r="P26" s="240"/>
      <c r="Q26" s="241"/>
      <c r="R26" s="243"/>
      <c r="S26" s="231">
        <v>19</v>
      </c>
      <c r="T26" s="213"/>
      <c r="U26" s="383" t="str">
        <f>IF(TRIM(T26)="","",IF(Werklijst_nr=1,INDEX([1]Werklijst!$D$16:$D$2000,MATCH(TRIM(T26),[1]Werklijst!$A$16:$A$1000,0)),INDEX('[2] Werklijst ES'!$B$7:$B$2000,MATCH(TRIM(T26),'[2] Werklijst ES'!$A$7:$A$2000,0))))</f>
        <v/>
      </c>
      <c r="V26" s="384"/>
      <c r="W26" s="359" t="str">
        <f>IF(TRIM(T26)="","",IF(Werklijst_nr=1,INDEX([1]Werklijst!$K$16:$K$2000,MATCH(TRIM(T26),[1]Werklijst!$A$16:$A$2000,0)),INDEX('[2] Werklijst ES'!$B$7:$B$2000,MATCH(TRIM(T26),'[2] Werklijst ES'!$A$7:$A$2000,0))))</f>
        <v/>
      </c>
      <c r="X26" s="377">
        <f>AY$52</f>
        <v>0</v>
      </c>
      <c r="Y26" s="378" t="e">
        <f>AY$49</f>
        <v>#DIV/0!</v>
      </c>
      <c r="Z26" s="80">
        <f t="shared" si="32"/>
        <v>44549</v>
      </c>
      <c r="AA26" s="160">
        <f t="shared" si="4"/>
        <v>44549</v>
      </c>
      <c r="AB26" s="160">
        <f t="shared" si="5"/>
        <v>12</v>
      </c>
      <c r="AC26" s="81">
        <f t="shared" si="6"/>
        <v>1</v>
      </c>
      <c r="AD26" s="160">
        <f t="shared" si="7"/>
        <v>0</v>
      </c>
      <c r="AF26" s="27" t="s">
        <v>119</v>
      </c>
      <c r="AG26" s="100"/>
      <c r="AH26" s="82">
        <f t="shared" si="54"/>
        <v>0</v>
      </c>
      <c r="AI26" s="82">
        <f t="shared" si="54"/>
        <v>0</v>
      </c>
      <c r="AJ26" s="82">
        <f t="shared" si="54"/>
        <v>0</v>
      </c>
      <c r="AK26" s="82">
        <f t="shared" si="54"/>
        <v>0</v>
      </c>
      <c r="AL26" s="82">
        <f t="shared" si="54"/>
        <v>0</v>
      </c>
      <c r="AM26" s="82">
        <f t="shared" si="54"/>
        <v>0</v>
      </c>
      <c r="AN26" s="82">
        <f t="shared" si="54"/>
        <v>0</v>
      </c>
      <c r="AO26" s="82">
        <f t="shared" si="54"/>
        <v>0</v>
      </c>
      <c r="AP26" s="82">
        <f t="shared" si="54"/>
        <v>0</v>
      </c>
      <c r="AQ26" s="82">
        <f t="shared" si="54"/>
        <v>0</v>
      </c>
      <c r="AR26" s="82">
        <f t="shared" si="55"/>
        <v>0</v>
      </c>
      <c r="AS26" s="82">
        <f t="shared" si="55"/>
        <v>0</v>
      </c>
      <c r="AT26" s="82">
        <f t="shared" si="55"/>
        <v>0</v>
      </c>
      <c r="AU26" s="82">
        <f t="shared" si="55"/>
        <v>0</v>
      </c>
      <c r="AV26" s="82">
        <f t="shared" si="55"/>
        <v>0</v>
      </c>
      <c r="AW26" s="82">
        <f t="shared" si="55"/>
        <v>0</v>
      </c>
      <c r="AX26" s="82">
        <f t="shared" si="55"/>
        <v>0</v>
      </c>
      <c r="AY26" s="82">
        <f t="shared" si="55"/>
        <v>0</v>
      </c>
      <c r="AZ26" s="82">
        <f t="shared" si="55"/>
        <v>0</v>
      </c>
      <c r="BA26" s="82">
        <f t="shared" si="55"/>
        <v>0</v>
      </c>
      <c r="BB26" s="82">
        <f t="shared" si="56"/>
        <v>0</v>
      </c>
      <c r="BC26" s="82">
        <f t="shared" si="56"/>
        <v>0</v>
      </c>
      <c r="BD26" s="82">
        <f t="shared" si="56"/>
        <v>0</v>
      </c>
      <c r="BE26" s="82">
        <f t="shared" si="56"/>
        <v>0</v>
      </c>
      <c r="BF26" s="82">
        <f t="shared" si="56"/>
        <v>0</v>
      </c>
      <c r="BG26" s="82">
        <f t="shared" si="56"/>
        <v>0</v>
      </c>
      <c r="BH26" s="82">
        <f t="shared" si="56"/>
        <v>0</v>
      </c>
      <c r="BI26" s="82">
        <f t="shared" si="56"/>
        <v>0</v>
      </c>
      <c r="BJ26" s="82">
        <f t="shared" si="56"/>
        <v>0</v>
      </c>
      <c r="BK26" s="83">
        <f t="shared" si="56"/>
        <v>0</v>
      </c>
      <c r="BM26" s="84">
        <f t="shared" si="33"/>
        <v>0</v>
      </c>
      <c r="BN26" s="85">
        <f t="shared" si="34"/>
        <v>0</v>
      </c>
      <c r="BO26" s="84">
        <f t="shared" si="11"/>
        <v>0</v>
      </c>
      <c r="BP26" s="85">
        <f t="shared" si="12"/>
        <v>0</v>
      </c>
      <c r="BQ26" s="186">
        <f t="shared" si="13"/>
        <v>0</v>
      </c>
      <c r="BR26" s="191">
        <f t="shared" si="14"/>
        <v>0</v>
      </c>
      <c r="BS26" s="186">
        <f t="shared" si="15"/>
        <v>0</v>
      </c>
      <c r="BT26" s="195">
        <f t="shared" si="16"/>
        <v>0</v>
      </c>
      <c r="BU26" s="18"/>
      <c r="BV26" s="124">
        <v>1</v>
      </c>
      <c r="BW26" s="14" t="s">
        <v>296</v>
      </c>
      <c r="BX26" s="270">
        <v>0.31666666666666665</v>
      </c>
      <c r="BZ26" s="269">
        <f t="shared" si="35"/>
        <v>19</v>
      </c>
      <c r="CA26" s="87" t="str">
        <f t="shared" si="17"/>
        <v/>
      </c>
      <c r="CB26" s="87" t="str">
        <f t="shared" si="36"/>
        <v/>
      </c>
      <c r="CC26" s="88">
        <f t="shared" si="18"/>
        <v>0.31666666666666698</v>
      </c>
      <c r="CD26" s="88" t="str">
        <f t="shared" si="19"/>
        <v/>
      </c>
      <c r="CE26" s="89">
        <f t="shared" si="20"/>
        <v>0</v>
      </c>
      <c r="CF26" s="90">
        <f t="shared" si="37"/>
        <v>0.31666666666666698</v>
      </c>
      <c r="CG26" s="91">
        <f t="shared" si="38"/>
        <v>0</v>
      </c>
      <c r="CH26" s="87">
        <f t="shared" si="39"/>
        <v>0</v>
      </c>
      <c r="CI26" s="92">
        <f t="shared" si="40"/>
        <v>0</v>
      </c>
      <c r="CJ26" s="93">
        <f t="shared" si="41"/>
        <v>0</v>
      </c>
      <c r="CK26" s="89">
        <f t="shared" si="42"/>
        <v>0</v>
      </c>
      <c r="CL26" s="90">
        <f t="shared" si="43"/>
        <v>0</v>
      </c>
      <c r="CM26" s="185">
        <f t="shared" si="44"/>
        <v>0</v>
      </c>
      <c r="CN26" s="185">
        <f t="shared" si="45"/>
        <v>0</v>
      </c>
      <c r="CO26" s="185">
        <f t="shared" si="46"/>
        <v>0</v>
      </c>
      <c r="CP26" s="185">
        <f t="shared" si="47"/>
        <v>0</v>
      </c>
      <c r="CQ26" s="91" t="str">
        <f t="shared" si="21"/>
        <v/>
      </c>
      <c r="CR26" s="87">
        <f t="shared" si="22"/>
        <v>0</v>
      </c>
      <c r="CS26" s="87">
        <f t="shared" si="23"/>
        <v>0</v>
      </c>
      <c r="CT26" s="87">
        <f t="shared" si="48"/>
        <v>0.31666666666666698</v>
      </c>
      <c r="CU26" s="92">
        <f t="shared" si="24"/>
        <v>0.31666666666666698</v>
      </c>
      <c r="CV26" s="326">
        <f t="shared" si="49"/>
        <v>0.31666666666666698</v>
      </c>
      <c r="CW26" s="328">
        <f t="shared" si="25"/>
        <v>3.3306690738754696E-16</v>
      </c>
      <c r="CX26" s="330">
        <f t="shared" si="50"/>
        <v>0.11666666733336767</v>
      </c>
      <c r="CY26" s="94" t="str">
        <f t="shared" si="51"/>
        <v>+</v>
      </c>
      <c r="CZ26" s="95">
        <f t="shared" si="52"/>
        <v>0.11666666733336767</v>
      </c>
      <c r="DA26" s="96">
        <f t="shared" si="27"/>
        <v>0</v>
      </c>
      <c r="DB26" s="215">
        <f t="shared" si="28"/>
        <v>0</v>
      </c>
      <c r="DC26" s="58"/>
      <c r="DD26" s="18"/>
      <c r="DE26" s="18"/>
      <c r="DF26" s="18"/>
      <c r="DG26" s="18"/>
      <c r="DH26" s="18"/>
      <c r="DI26" s="18"/>
      <c r="DJ26" s="18"/>
      <c r="DK26" s="27"/>
      <c r="DL26" s="183">
        <v>24</v>
      </c>
      <c r="DM26" s="102" t="s">
        <v>78</v>
      </c>
      <c r="DN26" s="103">
        <v>0.33333333333333331</v>
      </c>
      <c r="DO26" s="172">
        <f t="shared" si="53"/>
        <v>0.16666666666666666</v>
      </c>
      <c r="DP26" s="104">
        <v>0</v>
      </c>
      <c r="DQ26" s="179" t="s">
        <v>201</v>
      </c>
      <c r="DR26" s="22"/>
    </row>
    <row r="27" spans="1:122" ht="15" x14ac:dyDescent="0.25">
      <c r="A27" s="322">
        <f t="shared" si="0"/>
        <v>20</v>
      </c>
      <c r="B27" s="323">
        <f t="shared" si="1"/>
        <v>44550</v>
      </c>
      <c r="C27" s="239"/>
      <c r="D27" s="240"/>
      <c r="E27" s="240"/>
      <c r="F27" s="240"/>
      <c r="G27" s="278"/>
      <c r="H27" s="305" t="str">
        <f t="shared" si="29"/>
        <v/>
      </c>
      <c r="I27" s="273" t="str">
        <f t="shared" si="30"/>
        <v/>
      </c>
      <c r="J27" s="312">
        <f t="shared" si="2"/>
        <v>0</v>
      </c>
      <c r="K27" s="313" t="str">
        <f t="shared" si="3"/>
        <v>+</v>
      </c>
      <c r="L27" s="314">
        <f t="shared" si="3"/>
        <v>0.11666666733336767</v>
      </c>
      <c r="M27" s="315">
        <f t="shared" si="31"/>
        <v>2.8000000188008243</v>
      </c>
      <c r="N27" s="242"/>
      <c r="O27" s="241"/>
      <c r="P27" s="240"/>
      <c r="Q27" s="241"/>
      <c r="R27" s="243"/>
      <c r="S27" s="231">
        <v>20</v>
      </c>
      <c r="T27" s="213"/>
      <c r="U27" s="383" t="str">
        <f>IF(TRIM(T27)="","",IF(Werklijst_nr=1,INDEX([1]Werklijst!$D$16:$D$2000,MATCH(TRIM(T27),[1]Werklijst!$A$16:$A$1000,0)),INDEX('[2] Werklijst ES'!$B$7:$B$2000,MATCH(TRIM(T27),'[2] Werklijst ES'!$A$7:$A$2000,0))))</f>
        <v/>
      </c>
      <c r="V27" s="384"/>
      <c r="W27" s="359" t="str">
        <f>IF(TRIM(T27)="","",IF(Werklijst_nr=1,INDEX([1]Werklijst!$K$16:$K$2000,MATCH(TRIM(T27),[1]Werklijst!$A$16:$A$2000,0)),INDEX('[2] Werklijst ES'!$B$7:$B$2000,MATCH(TRIM(T27),'[2] Werklijst ES'!$A$7:$A$2000,0))))</f>
        <v/>
      </c>
      <c r="X27" s="377">
        <f>AZ$52</f>
        <v>0</v>
      </c>
      <c r="Y27" s="378" t="e">
        <f>AZ$49</f>
        <v>#DIV/0!</v>
      </c>
      <c r="Z27" s="80">
        <f t="shared" si="32"/>
        <v>44550</v>
      </c>
      <c r="AA27" s="160">
        <f t="shared" si="4"/>
        <v>44550</v>
      </c>
      <c r="AB27" s="160">
        <f t="shared" si="5"/>
        <v>12</v>
      </c>
      <c r="AC27" s="81">
        <f t="shared" si="6"/>
        <v>2</v>
      </c>
      <c r="AD27" s="160">
        <f t="shared" si="7"/>
        <v>0</v>
      </c>
      <c r="AF27" s="27" t="s">
        <v>119</v>
      </c>
      <c r="AG27" s="100"/>
      <c r="AH27" s="82">
        <f t="shared" si="54"/>
        <v>0</v>
      </c>
      <c r="AI27" s="82">
        <f t="shared" si="54"/>
        <v>0</v>
      </c>
      <c r="AJ27" s="82">
        <f t="shared" si="54"/>
        <v>0</v>
      </c>
      <c r="AK27" s="82">
        <f t="shared" si="54"/>
        <v>0</v>
      </c>
      <c r="AL27" s="82">
        <f t="shared" si="54"/>
        <v>0</v>
      </c>
      <c r="AM27" s="82">
        <f t="shared" si="54"/>
        <v>0</v>
      </c>
      <c r="AN27" s="82">
        <f t="shared" si="54"/>
        <v>0</v>
      </c>
      <c r="AO27" s="82">
        <f t="shared" si="54"/>
        <v>0</v>
      </c>
      <c r="AP27" s="82">
        <f t="shared" si="54"/>
        <v>0</v>
      </c>
      <c r="AQ27" s="82">
        <f t="shared" si="54"/>
        <v>0</v>
      </c>
      <c r="AR27" s="82">
        <f t="shared" si="55"/>
        <v>0</v>
      </c>
      <c r="AS27" s="82">
        <f t="shared" si="55"/>
        <v>0</v>
      </c>
      <c r="AT27" s="82">
        <f t="shared" si="55"/>
        <v>0</v>
      </c>
      <c r="AU27" s="82">
        <f t="shared" si="55"/>
        <v>0</v>
      </c>
      <c r="AV27" s="82">
        <f t="shared" si="55"/>
        <v>0</v>
      </c>
      <c r="AW27" s="82">
        <f t="shared" si="55"/>
        <v>0</v>
      </c>
      <c r="AX27" s="82">
        <f t="shared" si="55"/>
        <v>0</v>
      </c>
      <c r="AY27" s="82">
        <f t="shared" si="55"/>
        <v>0</v>
      </c>
      <c r="AZ27" s="82">
        <f t="shared" si="55"/>
        <v>0</v>
      </c>
      <c r="BA27" s="82">
        <f t="shared" si="55"/>
        <v>0</v>
      </c>
      <c r="BB27" s="82">
        <f t="shared" si="56"/>
        <v>0</v>
      </c>
      <c r="BC27" s="82">
        <f t="shared" si="56"/>
        <v>0</v>
      </c>
      <c r="BD27" s="82">
        <f t="shared" si="56"/>
        <v>0</v>
      </c>
      <c r="BE27" s="82">
        <f t="shared" si="56"/>
        <v>0</v>
      </c>
      <c r="BF27" s="82">
        <f t="shared" si="56"/>
        <v>0</v>
      </c>
      <c r="BG27" s="82">
        <f t="shared" si="56"/>
        <v>0</v>
      </c>
      <c r="BH27" s="82">
        <f t="shared" si="56"/>
        <v>0</v>
      </c>
      <c r="BI27" s="82">
        <f t="shared" si="56"/>
        <v>0</v>
      </c>
      <c r="BJ27" s="82">
        <f t="shared" si="56"/>
        <v>0</v>
      </c>
      <c r="BK27" s="83">
        <f t="shared" si="56"/>
        <v>0</v>
      </c>
      <c r="BM27" s="84">
        <f t="shared" si="33"/>
        <v>0</v>
      </c>
      <c r="BN27" s="85">
        <f t="shared" si="34"/>
        <v>0</v>
      </c>
      <c r="BO27" s="84">
        <f t="shared" si="11"/>
        <v>0</v>
      </c>
      <c r="BP27" s="85">
        <f t="shared" si="12"/>
        <v>0</v>
      </c>
      <c r="BQ27" s="186">
        <f t="shared" si="13"/>
        <v>0</v>
      </c>
      <c r="BR27" s="191">
        <f t="shared" si="14"/>
        <v>0</v>
      </c>
      <c r="BS27" s="186">
        <f t="shared" si="15"/>
        <v>0</v>
      </c>
      <c r="BT27" s="195">
        <f t="shared" si="16"/>
        <v>0</v>
      </c>
      <c r="BU27" s="18"/>
      <c r="BV27" s="27">
        <v>2</v>
      </c>
      <c r="BW27" s="21" t="s">
        <v>297</v>
      </c>
      <c r="BX27" s="271">
        <v>0.31666666666666665</v>
      </c>
      <c r="BZ27" s="269">
        <f t="shared" si="35"/>
        <v>20</v>
      </c>
      <c r="CA27" s="87" t="str">
        <f t="shared" si="17"/>
        <v/>
      </c>
      <c r="CB27" s="87" t="str">
        <f t="shared" si="36"/>
        <v/>
      </c>
      <c r="CC27" s="88" t="str">
        <f t="shared" si="18"/>
        <v/>
      </c>
      <c r="CD27" s="88" t="str">
        <f t="shared" si="19"/>
        <v/>
      </c>
      <c r="CE27" s="89">
        <f t="shared" si="20"/>
        <v>0</v>
      </c>
      <c r="CF27" s="90">
        <f t="shared" si="37"/>
        <v>0</v>
      </c>
      <c r="CG27" s="91">
        <f t="shared" si="38"/>
        <v>0</v>
      </c>
      <c r="CH27" s="87">
        <f t="shared" si="39"/>
        <v>0</v>
      </c>
      <c r="CI27" s="92">
        <f t="shared" si="40"/>
        <v>2.0833333333333332E-2</v>
      </c>
      <c r="CJ27" s="93">
        <f t="shared" si="41"/>
        <v>0</v>
      </c>
      <c r="CK27" s="89">
        <f t="shared" si="42"/>
        <v>0</v>
      </c>
      <c r="CL27" s="90">
        <f t="shared" si="43"/>
        <v>0</v>
      </c>
      <c r="CM27" s="185">
        <f t="shared" si="44"/>
        <v>0</v>
      </c>
      <c r="CN27" s="185">
        <f t="shared" si="45"/>
        <v>0</v>
      </c>
      <c r="CO27" s="185">
        <f t="shared" si="46"/>
        <v>0</v>
      </c>
      <c r="CP27" s="185">
        <f t="shared" si="47"/>
        <v>0</v>
      </c>
      <c r="CQ27" s="91" t="str">
        <f t="shared" si="21"/>
        <v/>
      </c>
      <c r="CR27" s="87">
        <f t="shared" si="22"/>
        <v>0</v>
      </c>
      <c r="CS27" s="87">
        <f t="shared" si="23"/>
        <v>0</v>
      </c>
      <c r="CT27" s="87">
        <f t="shared" si="48"/>
        <v>0</v>
      </c>
      <c r="CU27" s="92">
        <f t="shared" si="24"/>
        <v>0</v>
      </c>
      <c r="CV27" s="326">
        <f t="shared" si="49"/>
        <v>0</v>
      </c>
      <c r="CW27" s="328">
        <f t="shared" si="25"/>
        <v>0</v>
      </c>
      <c r="CX27" s="330">
        <f t="shared" si="50"/>
        <v>0.11666666733336767</v>
      </c>
      <c r="CY27" s="94" t="str">
        <f t="shared" si="51"/>
        <v>+</v>
      </c>
      <c r="CZ27" s="95">
        <f t="shared" si="52"/>
        <v>0.11666666733336767</v>
      </c>
      <c r="DA27" s="96">
        <f t="shared" si="27"/>
        <v>0</v>
      </c>
      <c r="DB27" s="215">
        <f t="shared" si="28"/>
        <v>0</v>
      </c>
      <c r="DC27" s="58"/>
      <c r="DD27" s="18"/>
      <c r="DE27" s="18"/>
      <c r="DF27" s="18"/>
      <c r="DG27" s="18"/>
      <c r="DH27" s="18"/>
      <c r="DI27" s="18"/>
      <c r="DJ27" s="18"/>
      <c r="DK27" s="27"/>
      <c r="DL27" s="183">
        <v>25</v>
      </c>
      <c r="DM27" s="102" t="s">
        <v>42</v>
      </c>
      <c r="DN27" s="103">
        <v>0.33333333333333331</v>
      </c>
      <c r="DO27" s="172">
        <f t="shared" si="53"/>
        <v>0.16666666666666666</v>
      </c>
      <c r="DP27" s="104">
        <v>0</v>
      </c>
      <c r="DQ27" s="179" t="s">
        <v>202</v>
      </c>
      <c r="DR27" s="22"/>
    </row>
    <row r="28" spans="1:122" ht="15" x14ac:dyDescent="0.25">
      <c r="A28" s="322">
        <f t="shared" si="0"/>
        <v>21</v>
      </c>
      <c r="B28" s="323">
        <f t="shared" si="1"/>
        <v>44551</v>
      </c>
      <c r="C28" s="239"/>
      <c r="D28" s="240"/>
      <c r="E28" s="240"/>
      <c r="F28" s="240"/>
      <c r="G28" s="278"/>
      <c r="H28" s="305" t="str">
        <f t="shared" si="29"/>
        <v/>
      </c>
      <c r="I28" s="273" t="str">
        <f t="shared" si="30"/>
        <v/>
      </c>
      <c r="J28" s="312">
        <f t="shared" si="2"/>
        <v>0</v>
      </c>
      <c r="K28" s="313" t="str">
        <f t="shared" si="3"/>
        <v>+</v>
      </c>
      <c r="L28" s="314">
        <f t="shared" si="3"/>
        <v>0.11666666733336767</v>
      </c>
      <c r="M28" s="315">
        <f t="shared" si="31"/>
        <v>2.8000000188008243</v>
      </c>
      <c r="N28" s="242"/>
      <c r="O28" s="241"/>
      <c r="P28" s="240"/>
      <c r="Q28" s="241"/>
      <c r="R28" s="243"/>
      <c r="S28" s="231">
        <v>21</v>
      </c>
      <c r="T28" s="213"/>
      <c r="U28" s="383" t="str">
        <f>IF(TRIM(T28)="","",IF(Werklijst_nr=1,INDEX([1]Werklijst!$D$16:$D$2000,MATCH(TRIM(T28),[1]Werklijst!$A$16:$A$1000,0)),INDEX('[2] Werklijst ES'!$B$7:$B$2000,MATCH(TRIM(T28),'[2] Werklijst ES'!$A$7:$A$2000,0))))</f>
        <v/>
      </c>
      <c r="V28" s="384"/>
      <c r="W28" s="359" t="str">
        <f>IF(TRIM(T28)="","",IF(Werklijst_nr=1,INDEX([1]Werklijst!$K$16:$K$2000,MATCH(TRIM(T28),[1]Werklijst!$A$16:$A$2000,0)),INDEX('[2] Werklijst ES'!$B$7:$B$2000,MATCH(TRIM(T28),'[2] Werklijst ES'!$A$7:$A$2000,0))))</f>
        <v/>
      </c>
      <c r="X28" s="377">
        <f>BA$52</f>
        <v>0</v>
      </c>
      <c r="Y28" s="378" t="e">
        <f>BA$49</f>
        <v>#DIV/0!</v>
      </c>
      <c r="Z28" s="80">
        <f t="shared" si="32"/>
        <v>44551</v>
      </c>
      <c r="AA28" s="160">
        <f t="shared" si="4"/>
        <v>44551</v>
      </c>
      <c r="AB28" s="160">
        <f t="shared" si="5"/>
        <v>12</v>
      </c>
      <c r="AC28" s="81">
        <f t="shared" si="6"/>
        <v>3</v>
      </c>
      <c r="AD28" s="160">
        <f t="shared" si="7"/>
        <v>0</v>
      </c>
      <c r="AF28" s="27" t="s">
        <v>119</v>
      </c>
      <c r="AG28" s="100"/>
      <c r="AH28" s="82">
        <f t="shared" ref="AH28:AQ38" si="57">IF($N28=AH$7,$DB28,IF($O28=AH$7,$P28,IF($Q28=AH$7,$R28,0)))</f>
        <v>0</v>
      </c>
      <c r="AI28" s="82">
        <f t="shared" si="57"/>
        <v>0</v>
      </c>
      <c r="AJ28" s="82">
        <f t="shared" si="57"/>
        <v>0</v>
      </c>
      <c r="AK28" s="82">
        <f t="shared" si="57"/>
        <v>0</v>
      </c>
      <c r="AL28" s="82">
        <f t="shared" si="57"/>
        <v>0</v>
      </c>
      <c r="AM28" s="82">
        <f t="shared" si="57"/>
        <v>0</v>
      </c>
      <c r="AN28" s="82">
        <f t="shared" si="57"/>
        <v>0</v>
      </c>
      <c r="AO28" s="82">
        <f t="shared" si="57"/>
        <v>0</v>
      </c>
      <c r="AP28" s="82">
        <f t="shared" si="57"/>
        <v>0</v>
      </c>
      <c r="AQ28" s="82">
        <f t="shared" si="57"/>
        <v>0</v>
      </c>
      <c r="AR28" s="82">
        <f t="shared" ref="AR28:BA38" si="58">IF($N28=AR$7,$DB28,IF($O28=AR$7,$P28,IF($Q28=AR$7,$R28,0)))</f>
        <v>0</v>
      </c>
      <c r="AS28" s="82">
        <f t="shared" si="58"/>
        <v>0</v>
      </c>
      <c r="AT28" s="82">
        <f t="shared" si="58"/>
        <v>0</v>
      </c>
      <c r="AU28" s="82">
        <f t="shared" si="58"/>
        <v>0</v>
      </c>
      <c r="AV28" s="82">
        <f t="shared" si="58"/>
        <v>0</v>
      </c>
      <c r="AW28" s="82">
        <f t="shared" si="58"/>
        <v>0</v>
      </c>
      <c r="AX28" s="82">
        <f t="shared" si="58"/>
        <v>0</v>
      </c>
      <c r="AY28" s="82">
        <f t="shared" si="58"/>
        <v>0</v>
      </c>
      <c r="AZ28" s="82">
        <f t="shared" si="58"/>
        <v>0</v>
      </c>
      <c r="BA28" s="82">
        <f t="shared" si="58"/>
        <v>0</v>
      </c>
      <c r="BB28" s="82">
        <f t="shared" ref="BB28:BK38" si="59">IF($N28=BB$7,$DB28,IF($O28=BB$7,$P28,IF($Q28=BB$7,$R28,0)))</f>
        <v>0</v>
      </c>
      <c r="BC28" s="82">
        <f t="shared" si="59"/>
        <v>0</v>
      </c>
      <c r="BD28" s="82">
        <f t="shared" si="59"/>
        <v>0</v>
      </c>
      <c r="BE28" s="82">
        <f t="shared" si="59"/>
        <v>0</v>
      </c>
      <c r="BF28" s="82">
        <f t="shared" si="59"/>
        <v>0</v>
      </c>
      <c r="BG28" s="82">
        <f t="shared" si="59"/>
        <v>0</v>
      </c>
      <c r="BH28" s="82">
        <f t="shared" si="59"/>
        <v>0</v>
      </c>
      <c r="BI28" s="82">
        <f t="shared" si="59"/>
        <v>0</v>
      </c>
      <c r="BJ28" s="82">
        <f t="shared" si="59"/>
        <v>0</v>
      </c>
      <c r="BK28" s="83">
        <f t="shared" si="59"/>
        <v>0</v>
      </c>
      <c r="BM28" s="84">
        <f t="shared" si="33"/>
        <v>0</v>
      </c>
      <c r="BN28" s="85">
        <f t="shared" si="34"/>
        <v>0</v>
      </c>
      <c r="BO28" s="84">
        <f t="shared" si="11"/>
        <v>0</v>
      </c>
      <c r="BP28" s="85">
        <f t="shared" si="12"/>
        <v>0</v>
      </c>
      <c r="BQ28" s="186">
        <f t="shared" si="13"/>
        <v>0</v>
      </c>
      <c r="BR28" s="191">
        <f t="shared" si="14"/>
        <v>0</v>
      </c>
      <c r="BS28" s="186">
        <f t="shared" si="15"/>
        <v>0</v>
      </c>
      <c r="BT28" s="195">
        <f t="shared" si="16"/>
        <v>0</v>
      </c>
      <c r="BU28" s="18"/>
      <c r="BV28" s="27">
        <v>3</v>
      </c>
      <c r="BW28" s="21" t="s">
        <v>299</v>
      </c>
      <c r="BX28" s="271">
        <v>0.31666666666666665</v>
      </c>
      <c r="BZ28" s="269">
        <f t="shared" si="35"/>
        <v>21</v>
      </c>
      <c r="CA28" s="87" t="str">
        <f t="shared" si="17"/>
        <v/>
      </c>
      <c r="CB28" s="87" t="str">
        <f t="shared" si="36"/>
        <v/>
      </c>
      <c r="CC28" s="88" t="str">
        <f t="shared" si="18"/>
        <v/>
      </c>
      <c r="CD28" s="88" t="str">
        <f t="shared" si="19"/>
        <v/>
      </c>
      <c r="CE28" s="89">
        <f t="shared" si="20"/>
        <v>0</v>
      </c>
      <c r="CF28" s="90">
        <f t="shared" si="37"/>
        <v>0</v>
      </c>
      <c r="CG28" s="91">
        <f t="shared" si="38"/>
        <v>0</v>
      </c>
      <c r="CH28" s="87">
        <f t="shared" si="39"/>
        <v>0</v>
      </c>
      <c r="CI28" s="92">
        <f t="shared" si="40"/>
        <v>2.0833333333333332E-2</v>
      </c>
      <c r="CJ28" s="93">
        <f t="shared" si="41"/>
        <v>0</v>
      </c>
      <c r="CK28" s="89">
        <f t="shared" si="42"/>
        <v>0</v>
      </c>
      <c r="CL28" s="90">
        <f t="shared" si="43"/>
        <v>0</v>
      </c>
      <c r="CM28" s="185">
        <f t="shared" si="44"/>
        <v>0</v>
      </c>
      <c r="CN28" s="185">
        <f t="shared" si="45"/>
        <v>0</v>
      </c>
      <c r="CO28" s="185">
        <f t="shared" si="46"/>
        <v>0</v>
      </c>
      <c r="CP28" s="185">
        <f t="shared" si="47"/>
        <v>0</v>
      </c>
      <c r="CQ28" s="91" t="str">
        <f t="shared" si="21"/>
        <v/>
      </c>
      <c r="CR28" s="87">
        <f t="shared" si="22"/>
        <v>0</v>
      </c>
      <c r="CS28" s="87">
        <f t="shared" si="23"/>
        <v>0</v>
      </c>
      <c r="CT28" s="87">
        <f t="shared" si="48"/>
        <v>0</v>
      </c>
      <c r="CU28" s="92">
        <f t="shared" si="24"/>
        <v>0</v>
      </c>
      <c r="CV28" s="326">
        <f t="shared" si="49"/>
        <v>0</v>
      </c>
      <c r="CW28" s="328">
        <f t="shared" si="25"/>
        <v>0</v>
      </c>
      <c r="CX28" s="330">
        <f t="shared" si="50"/>
        <v>0.11666666733336767</v>
      </c>
      <c r="CY28" s="94" t="str">
        <f t="shared" si="51"/>
        <v>+</v>
      </c>
      <c r="CZ28" s="95">
        <f t="shared" si="52"/>
        <v>0.11666666733336767</v>
      </c>
      <c r="DA28" s="96">
        <f t="shared" si="27"/>
        <v>0</v>
      </c>
      <c r="DB28" s="215">
        <f t="shared" si="28"/>
        <v>0</v>
      </c>
      <c r="DC28" s="58"/>
      <c r="DD28" s="18"/>
      <c r="DE28" s="18"/>
      <c r="DF28" s="18"/>
      <c r="DG28" s="18"/>
      <c r="DH28" s="18"/>
      <c r="DI28" s="18"/>
      <c r="DJ28" s="18"/>
      <c r="DK28" s="27"/>
      <c r="DL28" s="183">
        <v>26</v>
      </c>
      <c r="DM28" s="102" t="s">
        <v>204</v>
      </c>
      <c r="DN28" s="103">
        <v>0.33333333333333331</v>
      </c>
      <c r="DO28" s="172">
        <f t="shared" si="53"/>
        <v>0.16666666666666666</v>
      </c>
      <c r="DP28" s="104">
        <v>0</v>
      </c>
      <c r="DQ28" s="179" t="s">
        <v>205</v>
      </c>
      <c r="DR28" s="22"/>
    </row>
    <row r="29" spans="1:122" ht="15.75" thickBot="1" x14ac:dyDescent="0.3">
      <c r="A29" s="322">
        <f t="shared" si="0"/>
        <v>22</v>
      </c>
      <c r="B29" s="323">
        <f t="shared" si="1"/>
        <v>44552</v>
      </c>
      <c r="C29" s="239"/>
      <c r="D29" s="240"/>
      <c r="E29" s="240"/>
      <c r="F29" s="240"/>
      <c r="G29" s="278"/>
      <c r="H29" s="305" t="str">
        <f t="shared" si="29"/>
        <v/>
      </c>
      <c r="I29" s="273" t="str">
        <f t="shared" si="30"/>
        <v/>
      </c>
      <c r="J29" s="312">
        <f t="shared" si="2"/>
        <v>0</v>
      </c>
      <c r="K29" s="313" t="str">
        <f t="shared" si="3"/>
        <v>+</v>
      </c>
      <c r="L29" s="314">
        <f t="shared" si="3"/>
        <v>0.11666666733336767</v>
      </c>
      <c r="M29" s="315">
        <f t="shared" si="31"/>
        <v>2.8000000188008243</v>
      </c>
      <c r="N29" s="242"/>
      <c r="O29" s="241"/>
      <c r="P29" s="240"/>
      <c r="Q29" s="241"/>
      <c r="R29" s="243"/>
      <c r="S29" s="231">
        <v>22</v>
      </c>
      <c r="T29" s="213"/>
      <c r="U29" s="383" t="str">
        <f>IF(TRIM(T29)="","",IF(Werklijst_nr=1,INDEX([1]Werklijst!$D$16:$D$2000,MATCH(TRIM(T29),[1]Werklijst!$A$16:$A$1000,0)),INDEX('[2] Werklijst ES'!$B$7:$B$2000,MATCH(TRIM(T29),'[2] Werklijst ES'!$A$7:$A$2000,0))))</f>
        <v/>
      </c>
      <c r="V29" s="384"/>
      <c r="W29" s="359" t="str">
        <f>IF(TRIM(T29)="","",IF(Werklijst_nr=1,INDEX([1]Werklijst!$K$16:$K$2000,MATCH(TRIM(T29),[1]Werklijst!$A$16:$A$2000,0)),INDEX('[2] Werklijst ES'!$B$7:$B$2000,MATCH(TRIM(T29),'[2] Werklijst ES'!$A$7:$A$2000,0))))</f>
        <v/>
      </c>
      <c r="X29" s="377">
        <f>BB$52</f>
        <v>0</v>
      </c>
      <c r="Y29" s="378" t="e">
        <f>BB$49</f>
        <v>#DIV/0!</v>
      </c>
      <c r="Z29" s="80">
        <f t="shared" si="32"/>
        <v>44552</v>
      </c>
      <c r="AA29" s="160">
        <f t="shared" si="4"/>
        <v>44552</v>
      </c>
      <c r="AB29" s="160">
        <f t="shared" si="5"/>
        <v>12</v>
      </c>
      <c r="AC29" s="81">
        <f t="shared" si="6"/>
        <v>4</v>
      </c>
      <c r="AD29" s="160">
        <f t="shared" si="7"/>
        <v>0</v>
      </c>
      <c r="AF29" s="27" t="s">
        <v>119</v>
      </c>
      <c r="AG29" s="100"/>
      <c r="AH29" s="82">
        <f t="shared" si="57"/>
        <v>0</v>
      </c>
      <c r="AI29" s="82">
        <f t="shared" si="57"/>
        <v>0</v>
      </c>
      <c r="AJ29" s="82">
        <f t="shared" si="57"/>
        <v>0</v>
      </c>
      <c r="AK29" s="82">
        <f t="shared" si="57"/>
        <v>0</v>
      </c>
      <c r="AL29" s="82">
        <f t="shared" si="57"/>
        <v>0</v>
      </c>
      <c r="AM29" s="82">
        <f t="shared" si="57"/>
        <v>0</v>
      </c>
      <c r="AN29" s="82">
        <f t="shared" si="57"/>
        <v>0</v>
      </c>
      <c r="AO29" s="82">
        <f t="shared" si="57"/>
        <v>0</v>
      </c>
      <c r="AP29" s="82">
        <f t="shared" si="57"/>
        <v>0</v>
      </c>
      <c r="AQ29" s="82">
        <f t="shared" si="57"/>
        <v>0</v>
      </c>
      <c r="AR29" s="82">
        <f t="shared" si="58"/>
        <v>0</v>
      </c>
      <c r="AS29" s="82">
        <f t="shared" si="58"/>
        <v>0</v>
      </c>
      <c r="AT29" s="82">
        <f t="shared" si="58"/>
        <v>0</v>
      </c>
      <c r="AU29" s="82">
        <f t="shared" si="58"/>
        <v>0</v>
      </c>
      <c r="AV29" s="82">
        <f t="shared" si="58"/>
        <v>0</v>
      </c>
      <c r="AW29" s="82">
        <f t="shared" si="58"/>
        <v>0</v>
      </c>
      <c r="AX29" s="82">
        <f t="shared" si="58"/>
        <v>0</v>
      </c>
      <c r="AY29" s="82">
        <f t="shared" si="58"/>
        <v>0</v>
      </c>
      <c r="AZ29" s="82">
        <f t="shared" si="58"/>
        <v>0</v>
      </c>
      <c r="BA29" s="82">
        <f t="shared" si="58"/>
        <v>0</v>
      </c>
      <c r="BB29" s="82">
        <f t="shared" si="59"/>
        <v>0</v>
      </c>
      <c r="BC29" s="82">
        <f t="shared" si="59"/>
        <v>0</v>
      </c>
      <c r="BD29" s="82">
        <f t="shared" si="59"/>
        <v>0</v>
      </c>
      <c r="BE29" s="82">
        <f t="shared" si="59"/>
        <v>0</v>
      </c>
      <c r="BF29" s="82">
        <f t="shared" si="59"/>
        <v>0</v>
      </c>
      <c r="BG29" s="82">
        <f t="shared" si="59"/>
        <v>0</v>
      </c>
      <c r="BH29" s="82">
        <f t="shared" si="59"/>
        <v>0</v>
      </c>
      <c r="BI29" s="82">
        <f t="shared" si="59"/>
        <v>0</v>
      </c>
      <c r="BJ29" s="82">
        <f t="shared" si="59"/>
        <v>0</v>
      </c>
      <c r="BK29" s="83">
        <f t="shared" si="59"/>
        <v>0</v>
      </c>
      <c r="BM29" s="84">
        <f t="shared" si="33"/>
        <v>0</v>
      </c>
      <c r="BN29" s="85">
        <f t="shared" si="34"/>
        <v>0</v>
      </c>
      <c r="BO29" s="84">
        <f t="shared" si="11"/>
        <v>0</v>
      </c>
      <c r="BP29" s="85">
        <f t="shared" si="12"/>
        <v>0</v>
      </c>
      <c r="BQ29" s="186">
        <f t="shared" si="13"/>
        <v>0</v>
      </c>
      <c r="BR29" s="191">
        <f t="shared" si="14"/>
        <v>0</v>
      </c>
      <c r="BS29" s="186">
        <f t="shared" si="15"/>
        <v>0</v>
      </c>
      <c r="BT29" s="195">
        <f t="shared" si="16"/>
        <v>0</v>
      </c>
      <c r="BU29" s="18"/>
      <c r="BV29" s="135">
        <v>4</v>
      </c>
      <c r="BW29" s="9" t="s">
        <v>298</v>
      </c>
      <c r="BX29" s="272">
        <v>0.33333333333333331</v>
      </c>
      <c r="BZ29" s="269">
        <f t="shared" si="35"/>
        <v>22</v>
      </c>
      <c r="CA29" s="87" t="str">
        <f t="shared" si="17"/>
        <v/>
      </c>
      <c r="CB29" s="87" t="str">
        <f t="shared" si="36"/>
        <v/>
      </c>
      <c r="CC29" s="88" t="str">
        <f t="shared" si="18"/>
        <v/>
      </c>
      <c r="CD29" s="88" t="str">
        <f t="shared" si="19"/>
        <v/>
      </c>
      <c r="CE29" s="89">
        <f t="shared" si="20"/>
        <v>0</v>
      </c>
      <c r="CF29" s="90">
        <f t="shared" si="37"/>
        <v>0</v>
      </c>
      <c r="CG29" s="91">
        <f t="shared" si="38"/>
        <v>0</v>
      </c>
      <c r="CH29" s="87">
        <f t="shared" si="39"/>
        <v>0</v>
      </c>
      <c r="CI29" s="92">
        <f t="shared" si="40"/>
        <v>2.0833333333333332E-2</v>
      </c>
      <c r="CJ29" s="93">
        <f t="shared" si="41"/>
        <v>0</v>
      </c>
      <c r="CK29" s="89">
        <f t="shared" si="42"/>
        <v>0</v>
      </c>
      <c r="CL29" s="90">
        <f t="shared" si="43"/>
        <v>0</v>
      </c>
      <c r="CM29" s="185">
        <f t="shared" si="44"/>
        <v>0</v>
      </c>
      <c r="CN29" s="185">
        <f t="shared" si="45"/>
        <v>0</v>
      </c>
      <c r="CO29" s="185">
        <f t="shared" si="46"/>
        <v>0</v>
      </c>
      <c r="CP29" s="185">
        <f t="shared" si="47"/>
        <v>0</v>
      </c>
      <c r="CQ29" s="91" t="str">
        <f t="shared" si="21"/>
        <v/>
      </c>
      <c r="CR29" s="87">
        <f t="shared" si="22"/>
        <v>0</v>
      </c>
      <c r="CS29" s="87">
        <f t="shared" si="23"/>
        <v>0</v>
      </c>
      <c r="CT29" s="87">
        <f t="shared" si="48"/>
        <v>0</v>
      </c>
      <c r="CU29" s="92">
        <f t="shared" si="24"/>
        <v>0</v>
      </c>
      <c r="CV29" s="326">
        <f t="shared" si="49"/>
        <v>0</v>
      </c>
      <c r="CW29" s="328">
        <f t="shared" si="25"/>
        <v>0</v>
      </c>
      <c r="CX29" s="330">
        <f t="shared" si="50"/>
        <v>0.11666666733336767</v>
      </c>
      <c r="CY29" s="94" t="str">
        <f t="shared" si="51"/>
        <v>+</v>
      </c>
      <c r="CZ29" s="95">
        <f t="shared" si="52"/>
        <v>0.11666666733336767</v>
      </c>
      <c r="DA29" s="96">
        <f t="shared" si="27"/>
        <v>0</v>
      </c>
      <c r="DB29" s="215">
        <f t="shared" si="28"/>
        <v>0</v>
      </c>
      <c r="DC29" s="58"/>
      <c r="DD29" s="18"/>
      <c r="DE29" s="18"/>
      <c r="DF29" s="18"/>
      <c r="DG29" s="18"/>
      <c r="DH29" s="18"/>
      <c r="DI29" s="18"/>
      <c r="DJ29" s="18"/>
      <c r="DK29" s="27"/>
      <c r="DL29" s="183">
        <v>27</v>
      </c>
      <c r="DM29" s="102" t="s">
        <v>83</v>
      </c>
      <c r="DN29" s="103">
        <v>0</v>
      </c>
      <c r="DO29" s="172">
        <f t="shared" si="53"/>
        <v>0</v>
      </c>
      <c r="DP29" s="104">
        <v>1</v>
      </c>
      <c r="DQ29" s="179" t="s">
        <v>173</v>
      </c>
      <c r="DR29" s="22"/>
    </row>
    <row r="30" spans="1:122" ht="15.75" thickBot="1" x14ac:dyDescent="0.25">
      <c r="A30" s="322">
        <f t="shared" si="0"/>
        <v>23</v>
      </c>
      <c r="B30" s="323">
        <f t="shared" si="1"/>
        <v>44553</v>
      </c>
      <c r="C30" s="239"/>
      <c r="D30" s="240"/>
      <c r="E30" s="240"/>
      <c r="F30" s="240"/>
      <c r="G30" s="278"/>
      <c r="H30" s="305" t="str">
        <f t="shared" si="29"/>
        <v/>
      </c>
      <c r="I30" s="273" t="str">
        <f t="shared" si="30"/>
        <v/>
      </c>
      <c r="J30" s="312">
        <f t="shared" si="2"/>
        <v>0</v>
      </c>
      <c r="K30" s="313" t="str">
        <f t="shared" si="3"/>
        <v>+</v>
      </c>
      <c r="L30" s="314">
        <f t="shared" si="3"/>
        <v>0.11666666733336767</v>
      </c>
      <c r="M30" s="315">
        <f t="shared" si="31"/>
        <v>2.8000000188008243</v>
      </c>
      <c r="N30" s="242"/>
      <c r="O30" s="241"/>
      <c r="P30" s="240"/>
      <c r="Q30" s="241"/>
      <c r="R30" s="243"/>
      <c r="S30" s="231">
        <v>23</v>
      </c>
      <c r="T30" s="213"/>
      <c r="U30" s="383" t="str">
        <f>IF(TRIM(T30)="","",IF(Werklijst_nr=1,INDEX([1]Werklijst!$D$16:$D$2000,MATCH(TRIM(T30),[1]Werklijst!$A$16:$A$1000,0)),INDEX('[2] Werklijst ES'!$B$7:$B$2000,MATCH(TRIM(T30),'[2] Werklijst ES'!$A$7:$A$2000,0))))</f>
        <v/>
      </c>
      <c r="V30" s="384"/>
      <c r="W30" s="359" t="str">
        <f>IF(TRIM(T30)="","",IF(Werklijst_nr=1,INDEX([1]Werklijst!$K$16:$K$2000,MATCH(TRIM(T30),[1]Werklijst!$A$16:$A$2000,0)),INDEX('[2] Werklijst ES'!$B$7:$B$2000,MATCH(TRIM(T30),'[2] Werklijst ES'!$A$7:$A$2000,0))))</f>
        <v/>
      </c>
      <c r="X30" s="377">
        <f>BC$52</f>
        <v>0</v>
      </c>
      <c r="Y30" s="378" t="e">
        <f>BC$49</f>
        <v>#DIV/0!</v>
      </c>
      <c r="Z30" s="80">
        <f t="shared" si="32"/>
        <v>44553</v>
      </c>
      <c r="AA30" s="160">
        <f t="shared" si="4"/>
        <v>44553</v>
      </c>
      <c r="AB30" s="160">
        <f t="shared" si="5"/>
        <v>12</v>
      </c>
      <c r="AC30" s="81">
        <f t="shared" si="6"/>
        <v>5</v>
      </c>
      <c r="AD30" s="160">
        <f t="shared" si="7"/>
        <v>0</v>
      </c>
      <c r="AF30" s="27" t="s">
        <v>119</v>
      </c>
      <c r="AG30" s="100"/>
      <c r="AH30" s="82">
        <f t="shared" si="57"/>
        <v>0</v>
      </c>
      <c r="AI30" s="82">
        <f t="shared" si="57"/>
        <v>0</v>
      </c>
      <c r="AJ30" s="82">
        <f t="shared" si="57"/>
        <v>0</v>
      </c>
      <c r="AK30" s="82">
        <f t="shared" si="57"/>
        <v>0</v>
      </c>
      <c r="AL30" s="82">
        <f t="shared" si="57"/>
        <v>0</v>
      </c>
      <c r="AM30" s="82">
        <f t="shared" si="57"/>
        <v>0</v>
      </c>
      <c r="AN30" s="82">
        <f t="shared" si="57"/>
        <v>0</v>
      </c>
      <c r="AO30" s="82">
        <f t="shared" si="57"/>
        <v>0</v>
      </c>
      <c r="AP30" s="82">
        <f t="shared" si="57"/>
        <v>0</v>
      </c>
      <c r="AQ30" s="82">
        <f t="shared" si="57"/>
        <v>0</v>
      </c>
      <c r="AR30" s="82">
        <f t="shared" si="58"/>
        <v>0</v>
      </c>
      <c r="AS30" s="82">
        <f t="shared" si="58"/>
        <v>0</v>
      </c>
      <c r="AT30" s="82">
        <f t="shared" si="58"/>
        <v>0</v>
      </c>
      <c r="AU30" s="82">
        <f t="shared" si="58"/>
        <v>0</v>
      </c>
      <c r="AV30" s="82">
        <f t="shared" si="58"/>
        <v>0</v>
      </c>
      <c r="AW30" s="82">
        <f t="shared" si="58"/>
        <v>0</v>
      </c>
      <c r="AX30" s="82">
        <f t="shared" si="58"/>
        <v>0</v>
      </c>
      <c r="AY30" s="82">
        <f t="shared" si="58"/>
        <v>0</v>
      </c>
      <c r="AZ30" s="82">
        <f t="shared" si="58"/>
        <v>0</v>
      </c>
      <c r="BA30" s="82">
        <f t="shared" si="58"/>
        <v>0</v>
      </c>
      <c r="BB30" s="82">
        <f t="shared" si="59"/>
        <v>0</v>
      </c>
      <c r="BC30" s="82">
        <f t="shared" si="59"/>
        <v>0</v>
      </c>
      <c r="BD30" s="82">
        <f t="shared" si="59"/>
        <v>0</v>
      </c>
      <c r="BE30" s="82">
        <f t="shared" si="59"/>
        <v>0</v>
      </c>
      <c r="BF30" s="82">
        <f t="shared" si="59"/>
        <v>0</v>
      </c>
      <c r="BG30" s="82">
        <f t="shared" si="59"/>
        <v>0</v>
      </c>
      <c r="BH30" s="82">
        <f t="shared" si="59"/>
        <v>0</v>
      </c>
      <c r="BI30" s="82">
        <f t="shared" si="59"/>
        <v>0</v>
      </c>
      <c r="BJ30" s="82">
        <f t="shared" si="59"/>
        <v>0</v>
      </c>
      <c r="BK30" s="83">
        <f t="shared" si="59"/>
        <v>0</v>
      </c>
      <c r="BM30" s="84">
        <f t="shared" si="33"/>
        <v>0</v>
      </c>
      <c r="BN30" s="85">
        <f t="shared" si="34"/>
        <v>0</v>
      </c>
      <c r="BO30" s="84">
        <f t="shared" si="11"/>
        <v>0</v>
      </c>
      <c r="BP30" s="85">
        <f t="shared" si="12"/>
        <v>0</v>
      </c>
      <c r="BQ30" s="186">
        <f t="shared" si="13"/>
        <v>0</v>
      </c>
      <c r="BR30" s="191">
        <f t="shared" si="14"/>
        <v>0</v>
      </c>
      <c r="BS30" s="186">
        <f t="shared" si="15"/>
        <v>0</v>
      </c>
      <c r="BT30" s="195">
        <f t="shared" si="16"/>
        <v>0</v>
      </c>
      <c r="BU30" s="18"/>
      <c r="BV30" s="27"/>
      <c r="BW30" s="21"/>
      <c r="BX30" s="21"/>
      <c r="BY30" s="21"/>
      <c r="BZ30" s="86">
        <f t="shared" si="35"/>
        <v>23</v>
      </c>
      <c r="CA30" s="87" t="str">
        <f t="shared" si="17"/>
        <v/>
      </c>
      <c r="CB30" s="87" t="str">
        <f t="shared" si="36"/>
        <v/>
      </c>
      <c r="CC30" s="88" t="str">
        <f t="shared" si="18"/>
        <v/>
      </c>
      <c r="CD30" s="88" t="str">
        <f t="shared" si="19"/>
        <v/>
      </c>
      <c r="CE30" s="89">
        <f t="shared" si="20"/>
        <v>0</v>
      </c>
      <c r="CF30" s="90">
        <f t="shared" si="37"/>
        <v>0</v>
      </c>
      <c r="CG30" s="91">
        <f t="shared" si="38"/>
        <v>0</v>
      </c>
      <c r="CH30" s="87">
        <f t="shared" si="39"/>
        <v>0</v>
      </c>
      <c r="CI30" s="92">
        <f t="shared" si="40"/>
        <v>2.0833333333333332E-2</v>
      </c>
      <c r="CJ30" s="93">
        <f t="shared" si="41"/>
        <v>0</v>
      </c>
      <c r="CK30" s="89">
        <f t="shared" si="42"/>
        <v>0</v>
      </c>
      <c r="CL30" s="90">
        <f t="shared" si="43"/>
        <v>0</v>
      </c>
      <c r="CM30" s="185">
        <f t="shared" si="44"/>
        <v>0</v>
      </c>
      <c r="CN30" s="185">
        <f t="shared" si="45"/>
        <v>0</v>
      </c>
      <c r="CO30" s="185">
        <f t="shared" si="46"/>
        <v>0</v>
      </c>
      <c r="CP30" s="185">
        <f t="shared" si="47"/>
        <v>0</v>
      </c>
      <c r="CQ30" s="91" t="str">
        <f t="shared" si="21"/>
        <v/>
      </c>
      <c r="CR30" s="87">
        <f t="shared" si="22"/>
        <v>0</v>
      </c>
      <c r="CS30" s="87">
        <f t="shared" si="23"/>
        <v>0</v>
      </c>
      <c r="CT30" s="87">
        <f t="shared" si="48"/>
        <v>0</v>
      </c>
      <c r="CU30" s="92">
        <f t="shared" si="24"/>
        <v>0</v>
      </c>
      <c r="CV30" s="326">
        <f t="shared" si="49"/>
        <v>0</v>
      </c>
      <c r="CW30" s="328">
        <f t="shared" si="25"/>
        <v>0</v>
      </c>
      <c r="CX30" s="330">
        <f t="shared" si="50"/>
        <v>0.11666666733336767</v>
      </c>
      <c r="CY30" s="94" t="str">
        <f t="shared" si="51"/>
        <v>+</v>
      </c>
      <c r="CZ30" s="95">
        <f t="shared" si="52"/>
        <v>0.11666666733336767</v>
      </c>
      <c r="DA30" s="96">
        <f t="shared" si="27"/>
        <v>0</v>
      </c>
      <c r="DB30" s="215">
        <f t="shared" si="28"/>
        <v>0</v>
      </c>
      <c r="DC30" s="58"/>
      <c r="DD30" s="18"/>
      <c r="DE30" s="18"/>
      <c r="DF30" s="18"/>
      <c r="DG30" s="18"/>
      <c r="DH30" s="18"/>
      <c r="DI30" s="18"/>
      <c r="DJ30" s="18"/>
      <c r="DK30" s="27"/>
      <c r="DL30" s="183">
        <v>28</v>
      </c>
      <c r="DM30" s="102" t="s">
        <v>79</v>
      </c>
      <c r="DN30" s="103">
        <v>0.33333333333333331</v>
      </c>
      <c r="DO30" s="172">
        <f t="shared" si="53"/>
        <v>0.16666666666666666</v>
      </c>
      <c r="DP30" s="104">
        <v>0</v>
      </c>
      <c r="DQ30" s="179" t="s">
        <v>203</v>
      </c>
      <c r="DR30" s="22"/>
    </row>
    <row r="31" spans="1:122" ht="15" x14ac:dyDescent="0.2">
      <c r="A31" s="322">
        <f t="shared" si="0"/>
        <v>24</v>
      </c>
      <c r="B31" s="323">
        <f t="shared" si="1"/>
        <v>44554</v>
      </c>
      <c r="C31" s="239"/>
      <c r="D31" s="240"/>
      <c r="E31" s="240"/>
      <c r="F31" s="240"/>
      <c r="G31" s="278"/>
      <c r="H31" s="305" t="str">
        <f t="shared" si="29"/>
        <v/>
      </c>
      <c r="I31" s="273" t="str">
        <f t="shared" si="30"/>
        <v/>
      </c>
      <c r="J31" s="312">
        <f t="shared" si="2"/>
        <v>0</v>
      </c>
      <c r="K31" s="313" t="str">
        <f t="shared" si="3"/>
        <v>+</v>
      </c>
      <c r="L31" s="314">
        <f t="shared" si="3"/>
        <v>0.11666666733336767</v>
      </c>
      <c r="M31" s="315">
        <f t="shared" si="31"/>
        <v>2.8000000188008243</v>
      </c>
      <c r="N31" s="242"/>
      <c r="O31" s="241"/>
      <c r="P31" s="240"/>
      <c r="Q31" s="241"/>
      <c r="R31" s="243"/>
      <c r="S31" s="231">
        <v>24</v>
      </c>
      <c r="T31" s="213"/>
      <c r="U31" s="383" t="str">
        <f>IF(TRIM(T31)="","",IF(Werklijst_nr=1,INDEX([1]Werklijst!$D$16:$D$2000,MATCH(TRIM(T31),[1]Werklijst!$A$16:$A$1000,0)),INDEX('[2] Werklijst ES'!$B$7:$B$2000,MATCH(TRIM(T31),'[2] Werklijst ES'!$A$7:$A$2000,0))))</f>
        <v/>
      </c>
      <c r="V31" s="384"/>
      <c r="W31" s="359" t="str">
        <f>IF(TRIM(T31)="","",IF(Werklijst_nr=1,INDEX([1]Werklijst!$K$16:$K$2000,MATCH(TRIM(T31),[1]Werklijst!$A$16:$A$2000,0)),INDEX('[2] Werklijst ES'!$B$7:$B$2000,MATCH(TRIM(T31),'[2] Werklijst ES'!$A$7:$A$2000,0))))</f>
        <v/>
      </c>
      <c r="X31" s="377">
        <f>BD$52</f>
        <v>0</v>
      </c>
      <c r="Y31" s="378" t="e">
        <f>BD$49</f>
        <v>#DIV/0!</v>
      </c>
      <c r="Z31" s="80">
        <f t="shared" si="32"/>
        <v>44554</v>
      </c>
      <c r="AA31" s="160">
        <f t="shared" si="4"/>
        <v>44554</v>
      </c>
      <c r="AB31" s="160">
        <f t="shared" si="5"/>
        <v>12</v>
      </c>
      <c r="AC31" s="81">
        <f t="shared" si="6"/>
        <v>6</v>
      </c>
      <c r="AD31" s="160">
        <f t="shared" si="7"/>
        <v>0</v>
      </c>
      <c r="AF31" s="27" t="s">
        <v>119</v>
      </c>
      <c r="AG31" s="100"/>
      <c r="AH31" s="82">
        <f t="shared" si="57"/>
        <v>0</v>
      </c>
      <c r="AI31" s="82">
        <f t="shared" si="57"/>
        <v>0</v>
      </c>
      <c r="AJ31" s="82">
        <f t="shared" si="57"/>
        <v>0</v>
      </c>
      <c r="AK31" s="82">
        <f t="shared" si="57"/>
        <v>0</v>
      </c>
      <c r="AL31" s="82">
        <f t="shared" si="57"/>
        <v>0</v>
      </c>
      <c r="AM31" s="82">
        <f t="shared" si="57"/>
        <v>0</v>
      </c>
      <c r="AN31" s="82">
        <f t="shared" si="57"/>
        <v>0</v>
      </c>
      <c r="AO31" s="82">
        <f t="shared" si="57"/>
        <v>0</v>
      </c>
      <c r="AP31" s="82">
        <f t="shared" si="57"/>
        <v>0</v>
      </c>
      <c r="AQ31" s="82">
        <f t="shared" si="57"/>
        <v>0</v>
      </c>
      <c r="AR31" s="82">
        <f t="shared" si="58"/>
        <v>0</v>
      </c>
      <c r="AS31" s="82">
        <f t="shared" si="58"/>
        <v>0</v>
      </c>
      <c r="AT31" s="82">
        <f t="shared" si="58"/>
        <v>0</v>
      </c>
      <c r="AU31" s="82">
        <f t="shared" si="58"/>
        <v>0</v>
      </c>
      <c r="AV31" s="82">
        <f t="shared" si="58"/>
        <v>0</v>
      </c>
      <c r="AW31" s="82">
        <f t="shared" si="58"/>
        <v>0</v>
      </c>
      <c r="AX31" s="82">
        <f t="shared" si="58"/>
        <v>0</v>
      </c>
      <c r="AY31" s="82">
        <f t="shared" si="58"/>
        <v>0</v>
      </c>
      <c r="AZ31" s="82">
        <f t="shared" si="58"/>
        <v>0</v>
      </c>
      <c r="BA31" s="82">
        <f t="shared" si="58"/>
        <v>0</v>
      </c>
      <c r="BB31" s="82">
        <f t="shared" si="59"/>
        <v>0</v>
      </c>
      <c r="BC31" s="82">
        <f t="shared" si="59"/>
        <v>0</v>
      </c>
      <c r="BD31" s="82">
        <f t="shared" si="59"/>
        <v>0</v>
      </c>
      <c r="BE31" s="82">
        <f t="shared" si="59"/>
        <v>0</v>
      </c>
      <c r="BF31" s="82">
        <f t="shared" si="59"/>
        <v>0</v>
      </c>
      <c r="BG31" s="82">
        <f t="shared" si="59"/>
        <v>0</v>
      </c>
      <c r="BH31" s="82">
        <f t="shared" si="59"/>
        <v>0</v>
      </c>
      <c r="BI31" s="82">
        <f t="shared" si="59"/>
        <v>0</v>
      </c>
      <c r="BJ31" s="82">
        <f t="shared" si="59"/>
        <v>0</v>
      </c>
      <c r="BK31" s="83">
        <f t="shared" si="59"/>
        <v>0</v>
      </c>
      <c r="BM31" s="84">
        <f t="shared" si="33"/>
        <v>0</v>
      </c>
      <c r="BN31" s="85">
        <f t="shared" si="34"/>
        <v>0</v>
      </c>
      <c r="BO31" s="84">
        <f t="shared" si="11"/>
        <v>0</v>
      </c>
      <c r="BP31" s="85">
        <f t="shared" si="12"/>
        <v>0</v>
      </c>
      <c r="BQ31" s="186">
        <f t="shared" si="13"/>
        <v>0</v>
      </c>
      <c r="BR31" s="191">
        <f t="shared" si="14"/>
        <v>0</v>
      </c>
      <c r="BS31" s="186">
        <f t="shared" si="15"/>
        <v>0</v>
      </c>
      <c r="BT31" s="195">
        <f t="shared" si="16"/>
        <v>0</v>
      </c>
      <c r="BU31" s="18"/>
      <c r="BV31" s="27"/>
      <c r="BW31" s="124">
        <v>1</v>
      </c>
      <c r="BX31" s="15" t="s">
        <v>277</v>
      </c>
      <c r="BY31" s="21"/>
      <c r="BZ31" s="86">
        <f t="shared" si="35"/>
        <v>24</v>
      </c>
      <c r="CA31" s="87" t="str">
        <f t="shared" si="17"/>
        <v/>
      </c>
      <c r="CB31" s="87" t="str">
        <f t="shared" si="36"/>
        <v/>
      </c>
      <c r="CC31" s="88" t="str">
        <f t="shared" si="18"/>
        <v/>
      </c>
      <c r="CD31" s="88" t="str">
        <f t="shared" si="19"/>
        <v/>
      </c>
      <c r="CE31" s="89">
        <f t="shared" si="20"/>
        <v>0</v>
      </c>
      <c r="CF31" s="90">
        <f t="shared" si="37"/>
        <v>0</v>
      </c>
      <c r="CG31" s="91">
        <f t="shared" si="38"/>
        <v>0</v>
      </c>
      <c r="CH31" s="87">
        <f t="shared" si="39"/>
        <v>0</v>
      </c>
      <c r="CI31" s="92">
        <f t="shared" si="40"/>
        <v>2.0833333333333332E-2</v>
      </c>
      <c r="CJ31" s="93">
        <f t="shared" si="41"/>
        <v>0</v>
      </c>
      <c r="CK31" s="89">
        <f t="shared" si="42"/>
        <v>0</v>
      </c>
      <c r="CL31" s="90">
        <f t="shared" si="43"/>
        <v>0</v>
      </c>
      <c r="CM31" s="185">
        <f t="shared" si="44"/>
        <v>0</v>
      </c>
      <c r="CN31" s="185">
        <f t="shared" si="45"/>
        <v>0</v>
      </c>
      <c r="CO31" s="185">
        <f t="shared" si="46"/>
        <v>0</v>
      </c>
      <c r="CP31" s="185">
        <f t="shared" si="47"/>
        <v>0</v>
      </c>
      <c r="CQ31" s="91" t="str">
        <f t="shared" si="21"/>
        <v/>
      </c>
      <c r="CR31" s="87">
        <f t="shared" si="22"/>
        <v>0</v>
      </c>
      <c r="CS31" s="87">
        <f t="shared" si="23"/>
        <v>0</v>
      </c>
      <c r="CT31" s="87">
        <f t="shared" si="48"/>
        <v>0</v>
      </c>
      <c r="CU31" s="92">
        <f t="shared" si="24"/>
        <v>0</v>
      </c>
      <c r="CV31" s="326">
        <f t="shared" si="49"/>
        <v>0</v>
      </c>
      <c r="CW31" s="328">
        <f t="shared" si="25"/>
        <v>0</v>
      </c>
      <c r="CX31" s="330">
        <f t="shared" si="50"/>
        <v>0.11666666733336767</v>
      </c>
      <c r="CY31" s="94" t="str">
        <f t="shared" si="51"/>
        <v>+</v>
      </c>
      <c r="CZ31" s="95">
        <f t="shared" si="52"/>
        <v>0.11666666733336767</v>
      </c>
      <c r="DA31" s="96">
        <f t="shared" si="27"/>
        <v>0</v>
      </c>
      <c r="DB31" s="215">
        <f t="shared" si="28"/>
        <v>0</v>
      </c>
      <c r="DC31" s="58"/>
      <c r="DD31" s="18"/>
      <c r="DE31" s="18"/>
      <c r="DF31" s="18"/>
      <c r="DG31" s="18"/>
      <c r="DH31" s="18"/>
      <c r="DI31" s="18"/>
      <c r="DJ31" s="18"/>
      <c r="DK31" s="27"/>
      <c r="DL31" s="183">
        <v>29</v>
      </c>
      <c r="DM31" s="102" t="s">
        <v>86</v>
      </c>
      <c r="DN31" s="103" t="s">
        <v>233</v>
      </c>
      <c r="DO31" s="103" t="s">
        <v>233</v>
      </c>
      <c r="DP31" s="104">
        <v>0</v>
      </c>
      <c r="DQ31" s="179" t="s">
        <v>206</v>
      </c>
      <c r="DR31" s="22"/>
    </row>
    <row r="32" spans="1:122" ht="15.75" thickBot="1" x14ac:dyDescent="0.25">
      <c r="A32" s="322">
        <f t="shared" si="0"/>
        <v>25</v>
      </c>
      <c r="B32" s="323">
        <f t="shared" si="1"/>
        <v>44555</v>
      </c>
      <c r="C32" s="239"/>
      <c r="D32" s="240"/>
      <c r="E32" s="240"/>
      <c r="F32" s="240"/>
      <c r="G32" s="278"/>
      <c r="H32" s="305">
        <f t="shared" si="29"/>
        <v>21</v>
      </c>
      <c r="I32" s="273" t="str">
        <f t="shared" si="30"/>
        <v/>
      </c>
      <c r="J32" s="312">
        <f t="shared" si="2"/>
        <v>0.31666666666666698</v>
      </c>
      <c r="K32" s="313" t="str">
        <f t="shared" si="3"/>
        <v>+</v>
      </c>
      <c r="L32" s="314">
        <f t="shared" si="3"/>
        <v>0.116666667333368</v>
      </c>
      <c r="M32" s="315">
        <f t="shared" si="31"/>
        <v>2.8000000188008323</v>
      </c>
      <c r="N32" s="242"/>
      <c r="O32" s="241"/>
      <c r="P32" s="240"/>
      <c r="Q32" s="241"/>
      <c r="R32" s="243"/>
      <c r="S32" s="231">
        <v>25</v>
      </c>
      <c r="T32" s="213"/>
      <c r="U32" s="383" t="str">
        <f>IF(TRIM(T32)="","",IF(Werklijst_nr=1,INDEX([1]Werklijst!$D$16:$D$2000,MATCH(TRIM(T32),[1]Werklijst!$A$16:$A$1000,0)),INDEX('[2] Werklijst ES'!$B$7:$B$2000,MATCH(TRIM(T32),'[2] Werklijst ES'!$A$7:$A$2000,0))))</f>
        <v/>
      </c>
      <c r="V32" s="384"/>
      <c r="W32" s="359" t="str">
        <f>IF(TRIM(T32)="","",IF(Werklijst_nr=1,INDEX([1]Werklijst!$K$16:$K$2000,MATCH(TRIM(T32),[1]Werklijst!$A$16:$A$2000,0)),INDEX('[2] Werklijst ES'!$B$7:$B$2000,MATCH(TRIM(T32),'[2] Werklijst ES'!$A$7:$A$2000,0))))</f>
        <v/>
      </c>
      <c r="X32" s="377">
        <f>BE$52</f>
        <v>0</v>
      </c>
      <c r="Y32" s="378" t="e">
        <f>BE$49</f>
        <v>#DIV/0!</v>
      </c>
      <c r="Z32" s="80">
        <f t="shared" si="32"/>
        <v>44555</v>
      </c>
      <c r="AA32" s="160">
        <f t="shared" si="4"/>
        <v>44555</v>
      </c>
      <c r="AB32" s="160">
        <f t="shared" si="5"/>
        <v>12</v>
      </c>
      <c r="AC32" s="81">
        <f t="shared" si="6"/>
        <v>0</v>
      </c>
      <c r="AD32" s="160">
        <f t="shared" si="7"/>
        <v>2</v>
      </c>
      <c r="AF32" s="27" t="s">
        <v>119</v>
      </c>
      <c r="AG32" s="100"/>
      <c r="AH32" s="82">
        <f t="shared" si="57"/>
        <v>0</v>
      </c>
      <c r="AI32" s="82">
        <f t="shared" si="57"/>
        <v>0</v>
      </c>
      <c r="AJ32" s="82">
        <f t="shared" si="57"/>
        <v>0</v>
      </c>
      <c r="AK32" s="82">
        <f t="shared" si="57"/>
        <v>0</v>
      </c>
      <c r="AL32" s="82">
        <f t="shared" si="57"/>
        <v>0</v>
      </c>
      <c r="AM32" s="82">
        <f t="shared" si="57"/>
        <v>0</v>
      </c>
      <c r="AN32" s="82">
        <f t="shared" si="57"/>
        <v>0</v>
      </c>
      <c r="AO32" s="82">
        <f t="shared" si="57"/>
        <v>0</v>
      </c>
      <c r="AP32" s="82">
        <f t="shared" si="57"/>
        <v>0</v>
      </c>
      <c r="AQ32" s="82">
        <f t="shared" si="57"/>
        <v>0</v>
      </c>
      <c r="AR32" s="82">
        <f t="shared" si="58"/>
        <v>0</v>
      </c>
      <c r="AS32" s="82">
        <f t="shared" si="58"/>
        <v>0</v>
      </c>
      <c r="AT32" s="82">
        <f t="shared" si="58"/>
        <v>0</v>
      </c>
      <c r="AU32" s="82">
        <f t="shared" si="58"/>
        <v>0</v>
      </c>
      <c r="AV32" s="82">
        <f t="shared" si="58"/>
        <v>0</v>
      </c>
      <c r="AW32" s="82">
        <f t="shared" si="58"/>
        <v>0</v>
      </c>
      <c r="AX32" s="82">
        <f t="shared" si="58"/>
        <v>0</v>
      </c>
      <c r="AY32" s="82">
        <f t="shared" si="58"/>
        <v>0</v>
      </c>
      <c r="AZ32" s="82">
        <f t="shared" si="58"/>
        <v>0</v>
      </c>
      <c r="BA32" s="82">
        <f t="shared" si="58"/>
        <v>0</v>
      </c>
      <c r="BB32" s="82">
        <f t="shared" si="59"/>
        <v>0</v>
      </c>
      <c r="BC32" s="82">
        <f t="shared" si="59"/>
        <v>0</v>
      </c>
      <c r="BD32" s="82">
        <f t="shared" si="59"/>
        <v>0</v>
      </c>
      <c r="BE32" s="82">
        <f t="shared" si="59"/>
        <v>0</v>
      </c>
      <c r="BF32" s="82">
        <f t="shared" si="59"/>
        <v>0</v>
      </c>
      <c r="BG32" s="82">
        <f t="shared" si="59"/>
        <v>0</v>
      </c>
      <c r="BH32" s="82">
        <f t="shared" si="59"/>
        <v>0</v>
      </c>
      <c r="BI32" s="82">
        <f t="shared" si="59"/>
        <v>0</v>
      </c>
      <c r="BJ32" s="82">
        <f t="shared" si="59"/>
        <v>0</v>
      </c>
      <c r="BK32" s="83">
        <f t="shared" si="59"/>
        <v>0</v>
      </c>
      <c r="BM32" s="84">
        <f t="shared" si="33"/>
        <v>0</v>
      </c>
      <c r="BN32" s="85">
        <f t="shared" si="34"/>
        <v>0</v>
      </c>
      <c r="BO32" s="84">
        <f t="shared" si="11"/>
        <v>0</v>
      </c>
      <c r="BP32" s="85">
        <f t="shared" si="12"/>
        <v>0</v>
      </c>
      <c r="BQ32" s="186">
        <f t="shared" si="13"/>
        <v>0</v>
      </c>
      <c r="BR32" s="191">
        <f t="shared" si="14"/>
        <v>0</v>
      </c>
      <c r="BS32" s="186">
        <f t="shared" si="15"/>
        <v>0</v>
      </c>
      <c r="BT32" s="195">
        <f t="shared" si="16"/>
        <v>0</v>
      </c>
      <c r="BU32" s="18"/>
      <c r="BV32" s="27"/>
      <c r="BW32" s="135">
        <v>2</v>
      </c>
      <c r="BX32" s="137" t="s">
        <v>278</v>
      </c>
      <c r="BY32" s="21"/>
      <c r="BZ32" s="86">
        <f t="shared" si="35"/>
        <v>25</v>
      </c>
      <c r="CA32" s="87" t="str">
        <f t="shared" si="17"/>
        <v/>
      </c>
      <c r="CB32" s="87" t="str">
        <f t="shared" si="36"/>
        <v/>
      </c>
      <c r="CC32" s="88">
        <f t="shared" si="18"/>
        <v>0.31666666666666698</v>
      </c>
      <c r="CD32" s="88" t="str">
        <f t="shared" si="19"/>
        <v/>
      </c>
      <c r="CE32" s="89">
        <f t="shared" si="20"/>
        <v>0</v>
      </c>
      <c r="CF32" s="90">
        <f t="shared" si="37"/>
        <v>0.31666666666666698</v>
      </c>
      <c r="CG32" s="91">
        <f t="shared" si="38"/>
        <v>0</v>
      </c>
      <c r="CH32" s="87">
        <f t="shared" si="39"/>
        <v>0</v>
      </c>
      <c r="CI32" s="92">
        <f t="shared" si="40"/>
        <v>0</v>
      </c>
      <c r="CJ32" s="93">
        <f t="shared" si="41"/>
        <v>0</v>
      </c>
      <c r="CK32" s="89">
        <f t="shared" si="42"/>
        <v>0</v>
      </c>
      <c r="CL32" s="90">
        <f t="shared" si="43"/>
        <v>0</v>
      </c>
      <c r="CM32" s="185">
        <f t="shared" si="44"/>
        <v>0</v>
      </c>
      <c r="CN32" s="185">
        <f t="shared" si="45"/>
        <v>0</v>
      </c>
      <c r="CO32" s="185">
        <f t="shared" si="46"/>
        <v>0</v>
      </c>
      <c r="CP32" s="185">
        <f t="shared" si="47"/>
        <v>0</v>
      </c>
      <c r="CQ32" s="91" t="str">
        <f t="shared" si="21"/>
        <v/>
      </c>
      <c r="CR32" s="87">
        <f t="shared" si="22"/>
        <v>0</v>
      </c>
      <c r="CS32" s="87">
        <f t="shared" si="23"/>
        <v>0</v>
      </c>
      <c r="CT32" s="87">
        <f t="shared" si="48"/>
        <v>0.31666666666666698</v>
      </c>
      <c r="CU32" s="92">
        <f t="shared" si="24"/>
        <v>0.31666666666666698</v>
      </c>
      <c r="CV32" s="326">
        <f t="shared" si="49"/>
        <v>0.31666666666666698</v>
      </c>
      <c r="CW32" s="328">
        <f t="shared" si="25"/>
        <v>3.3306690738754696E-16</v>
      </c>
      <c r="CX32" s="330">
        <f t="shared" si="50"/>
        <v>0.116666667333368</v>
      </c>
      <c r="CY32" s="94" t="str">
        <f t="shared" si="51"/>
        <v>+</v>
      </c>
      <c r="CZ32" s="95">
        <f t="shared" si="52"/>
        <v>0.116666667333368</v>
      </c>
      <c r="DA32" s="96">
        <f t="shared" si="27"/>
        <v>0</v>
      </c>
      <c r="DB32" s="215">
        <f t="shared" si="28"/>
        <v>0</v>
      </c>
      <c r="DC32" s="58"/>
      <c r="DD32" s="18"/>
      <c r="DE32" s="18"/>
      <c r="DF32" s="18"/>
      <c r="DG32" s="18"/>
      <c r="DH32" s="18"/>
      <c r="DI32" s="18"/>
      <c r="DJ32" s="18"/>
      <c r="DK32" s="27"/>
      <c r="DL32" s="183">
        <v>30</v>
      </c>
      <c r="DM32" s="102" t="s">
        <v>44</v>
      </c>
      <c r="DN32" s="103">
        <v>0.33333333333333331</v>
      </c>
      <c r="DO32" s="172">
        <f t="shared" si="53"/>
        <v>0.16666666666666666</v>
      </c>
      <c r="DP32" s="104">
        <v>0</v>
      </c>
      <c r="DQ32" s="179" t="s">
        <v>207</v>
      </c>
      <c r="DR32" s="22"/>
    </row>
    <row r="33" spans="1:122" ht="15" x14ac:dyDescent="0.2">
      <c r="A33" s="322">
        <f t="shared" si="0"/>
        <v>26</v>
      </c>
      <c r="B33" s="323">
        <f t="shared" si="1"/>
        <v>44556</v>
      </c>
      <c r="C33" s="239"/>
      <c r="D33" s="240"/>
      <c r="E33" s="240"/>
      <c r="F33" s="240"/>
      <c r="G33" s="278"/>
      <c r="H33" s="305">
        <f t="shared" si="29"/>
        <v>1</v>
      </c>
      <c r="I33" s="273" t="str">
        <f t="shared" si="30"/>
        <v/>
      </c>
      <c r="J33" s="312">
        <f t="shared" si="2"/>
        <v>0.31666666666666698</v>
      </c>
      <c r="K33" s="313" t="str">
        <f t="shared" si="3"/>
        <v>+</v>
      </c>
      <c r="L33" s="314">
        <f t="shared" si="3"/>
        <v>0.11666666733336833</v>
      </c>
      <c r="M33" s="315">
        <f t="shared" si="31"/>
        <v>2.8000000188008403</v>
      </c>
      <c r="N33" s="242"/>
      <c r="O33" s="241"/>
      <c r="P33" s="240"/>
      <c r="Q33" s="241"/>
      <c r="R33" s="243"/>
      <c r="S33" s="231">
        <v>26</v>
      </c>
      <c r="T33" s="213"/>
      <c r="U33" s="383" t="str">
        <f>IF(TRIM(T33)="","",IF(Werklijst_nr=1,INDEX([1]Werklijst!$D$16:$D$2000,MATCH(TRIM(T33),[1]Werklijst!$A$16:$A$1000,0)),INDEX('[2] Werklijst ES'!$B$7:$B$2000,MATCH(TRIM(T33),'[2] Werklijst ES'!$A$7:$A$2000,0))))</f>
        <v/>
      </c>
      <c r="V33" s="384"/>
      <c r="W33" s="359" t="str">
        <f>IF(TRIM(T33)="","",IF(Werklijst_nr=1,INDEX([1]Werklijst!$K$16:$K$2000,MATCH(TRIM(T33),[1]Werklijst!$A$16:$A$2000,0)),INDEX('[2] Werklijst ES'!$B$7:$B$2000,MATCH(TRIM(T33),'[2] Werklijst ES'!$A$7:$A$2000,0))))</f>
        <v/>
      </c>
      <c r="X33" s="377">
        <f>BF$52</f>
        <v>0</v>
      </c>
      <c r="Y33" s="378" t="e">
        <f>BF$49</f>
        <v>#DIV/0!</v>
      </c>
      <c r="Z33" s="80">
        <f t="shared" si="32"/>
        <v>44556</v>
      </c>
      <c r="AA33" s="160">
        <f t="shared" si="4"/>
        <v>44556</v>
      </c>
      <c r="AB33" s="160">
        <f t="shared" si="5"/>
        <v>12</v>
      </c>
      <c r="AC33" s="81">
        <f t="shared" si="6"/>
        <v>1</v>
      </c>
      <c r="AD33" s="160">
        <f t="shared" si="7"/>
        <v>2</v>
      </c>
      <c r="AF33" s="27" t="s">
        <v>119</v>
      </c>
      <c r="AG33" s="100"/>
      <c r="AH33" s="82">
        <f t="shared" si="57"/>
        <v>0</v>
      </c>
      <c r="AI33" s="82">
        <f t="shared" si="57"/>
        <v>0</v>
      </c>
      <c r="AJ33" s="82">
        <f t="shared" si="57"/>
        <v>0</v>
      </c>
      <c r="AK33" s="82">
        <f t="shared" si="57"/>
        <v>0</v>
      </c>
      <c r="AL33" s="82">
        <f t="shared" si="57"/>
        <v>0</v>
      </c>
      <c r="AM33" s="82">
        <f t="shared" si="57"/>
        <v>0</v>
      </c>
      <c r="AN33" s="82">
        <f t="shared" si="57"/>
        <v>0</v>
      </c>
      <c r="AO33" s="82">
        <f t="shared" si="57"/>
        <v>0</v>
      </c>
      <c r="AP33" s="82">
        <f t="shared" si="57"/>
        <v>0</v>
      </c>
      <c r="AQ33" s="82">
        <f t="shared" si="57"/>
        <v>0</v>
      </c>
      <c r="AR33" s="82">
        <f t="shared" si="58"/>
        <v>0</v>
      </c>
      <c r="AS33" s="82">
        <f t="shared" si="58"/>
        <v>0</v>
      </c>
      <c r="AT33" s="82">
        <f t="shared" si="58"/>
        <v>0</v>
      </c>
      <c r="AU33" s="82">
        <f t="shared" si="58"/>
        <v>0</v>
      </c>
      <c r="AV33" s="82">
        <f t="shared" si="58"/>
        <v>0</v>
      </c>
      <c r="AW33" s="82">
        <f t="shared" si="58"/>
        <v>0</v>
      </c>
      <c r="AX33" s="82">
        <f t="shared" si="58"/>
        <v>0</v>
      </c>
      <c r="AY33" s="82">
        <f t="shared" si="58"/>
        <v>0</v>
      </c>
      <c r="AZ33" s="82">
        <f t="shared" si="58"/>
        <v>0</v>
      </c>
      <c r="BA33" s="82">
        <f t="shared" si="58"/>
        <v>0</v>
      </c>
      <c r="BB33" s="82">
        <f t="shared" si="59"/>
        <v>0</v>
      </c>
      <c r="BC33" s="82">
        <f t="shared" si="59"/>
        <v>0</v>
      </c>
      <c r="BD33" s="82">
        <f t="shared" si="59"/>
        <v>0</v>
      </c>
      <c r="BE33" s="82">
        <f t="shared" si="59"/>
        <v>0</v>
      </c>
      <c r="BF33" s="82">
        <f t="shared" si="59"/>
        <v>0</v>
      </c>
      <c r="BG33" s="82">
        <f t="shared" si="59"/>
        <v>0</v>
      </c>
      <c r="BH33" s="82">
        <f t="shared" si="59"/>
        <v>0</v>
      </c>
      <c r="BI33" s="82">
        <f t="shared" si="59"/>
        <v>0</v>
      </c>
      <c r="BJ33" s="82">
        <f t="shared" si="59"/>
        <v>0</v>
      </c>
      <c r="BK33" s="83">
        <f t="shared" si="59"/>
        <v>0</v>
      </c>
      <c r="BM33" s="84">
        <f t="shared" si="33"/>
        <v>0</v>
      </c>
      <c r="BN33" s="85">
        <f t="shared" si="34"/>
        <v>0</v>
      </c>
      <c r="BO33" s="84">
        <f t="shared" si="11"/>
        <v>0</v>
      </c>
      <c r="BP33" s="85">
        <f t="shared" si="12"/>
        <v>0</v>
      </c>
      <c r="BQ33" s="186">
        <f t="shared" si="13"/>
        <v>0</v>
      </c>
      <c r="BR33" s="191">
        <f t="shared" si="14"/>
        <v>0</v>
      </c>
      <c r="BS33" s="186">
        <f t="shared" si="15"/>
        <v>0</v>
      </c>
      <c r="BT33" s="195">
        <f t="shared" si="16"/>
        <v>0</v>
      </c>
      <c r="BU33" s="18"/>
      <c r="BV33" s="27"/>
      <c r="BW33" s="21"/>
      <c r="BX33" s="21"/>
      <c r="BY33" s="21"/>
      <c r="BZ33" s="86">
        <f t="shared" si="35"/>
        <v>26</v>
      </c>
      <c r="CA33" s="87" t="str">
        <f t="shared" si="17"/>
        <v/>
      </c>
      <c r="CB33" s="87" t="str">
        <f t="shared" si="36"/>
        <v/>
      </c>
      <c r="CC33" s="88">
        <f t="shared" si="18"/>
        <v>0.31666666666666698</v>
      </c>
      <c r="CD33" s="88" t="str">
        <f t="shared" si="19"/>
        <v/>
      </c>
      <c r="CE33" s="89">
        <f t="shared" si="20"/>
        <v>0</v>
      </c>
      <c r="CF33" s="90">
        <f t="shared" si="37"/>
        <v>0.31666666666666698</v>
      </c>
      <c r="CG33" s="91">
        <f t="shared" si="38"/>
        <v>0</v>
      </c>
      <c r="CH33" s="87">
        <f t="shared" si="39"/>
        <v>0</v>
      </c>
      <c r="CI33" s="92">
        <f t="shared" si="40"/>
        <v>0</v>
      </c>
      <c r="CJ33" s="93">
        <f t="shared" si="41"/>
        <v>0</v>
      </c>
      <c r="CK33" s="89">
        <f t="shared" si="42"/>
        <v>0</v>
      </c>
      <c r="CL33" s="90">
        <f t="shared" si="43"/>
        <v>0</v>
      </c>
      <c r="CM33" s="185">
        <f t="shared" si="44"/>
        <v>0</v>
      </c>
      <c r="CN33" s="185">
        <f t="shared" si="45"/>
        <v>0</v>
      </c>
      <c r="CO33" s="185">
        <f t="shared" si="46"/>
        <v>0</v>
      </c>
      <c r="CP33" s="185">
        <f t="shared" si="47"/>
        <v>0</v>
      </c>
      <c r="CQ33" s="91" t="str">
        <f t="shared" si="21"/>
        <v/>
      </c>
      <c r="CR33" s="87">
        <f t="shared" si="22"/>
        <v>0</v>
      </c>
      <c r="CS33" s="87">
        <f t="shared" si="23"/>
        <v>0</v>
      </c>
      <c r="CT33" s="87">
        <f t="shared" si="48"/>
        <v>0.31666666666666698</v>
      </c>
      <c r="CU33" s="92">
        <f t="shared" si="24"/>
        <v>0.31666666666666698</v>
      </c>
      <c r="CV33" s="326">
        <f t="shared" si="49"/>
        <v>0.31666666666666698</v>
      </c>
      <c r="CW33" s="328">
        <f t="shared" si="25"/>
        <v>3.3306690738754696E-16</v>
      </c>
      <c r="CX33" s="330">
        <f t="shared" si="50"/>
        <v>0.11666666733336833</v>
      </c>
      <c r="CY33" s="94" t="str">
        <f t="shared" si="51"/>
        <v>+</v>
      </c>
      <c r="CZ33" s="95">
        <f t="shared" si="52"/>
        <v>0.11666666733336833</v>
      </c>
      <c r="DA33" s="96">
        <f t="shared" si="27"/>
        <v>0</v>
      </c>
      <c r="DB33" s="215">
        <f t="shared" si="28"/>
        <v>0</v>
      </c>
      <c r="DC33" s="58"/>
      <c r="DD33" s="18"/>
      <c r="DE33" s="18"/>
      <c r="DF33" s="18"/>
      <c r="DG33" s="18"/>
      <c r="DH33" s="18"/>
      <c r="DI33" s="18"/>
      <c r="DJ33" s="18"/>
      <c r="DK33" s="27"/>
      <c r="DL33" s="183">
        <v>31</v>
      </c>
      <c r="DM33" s="102" t="s">
        <v>234</v>
      </c>
      <c r="DN33" s="103">
        <v>0.33333333333333331</v>
      </c>
      <c r="DO33" s="172">
        <f t="shared" si="53"/>
        <v>0.16666666666666666</v>
      </c>
      <c r="DP33" s="104">
        <v>1</v>
      </c>
      <c r="DQ33" s="179" t="s">
        <v>236</v>
      </c>
      <c r="DR33" s="22"/>
    </row>
    <row r="34" spans="1:122" ht="15" x14ac:dyDescent="0.2">
      <c r="A34" s="322">
        <f t="shared" si="0"/>
        <v>27</v>
      </c>
      <c r="B34" s="323">
        <f t="shared" si="1"/>
        <v>44557</v>
      </c>
      <c r="C34" s="239"/>
      <c r="D34" s="240"/>
      <c r="E34" s="240"/>
      <c r="F34" s="240"/>
      <c r="G34" s="278"/>
      <c r="H34" s="305" t="str">
        <f t="shared" si="29"/>
        <v/>
      </c>
      <c r="I34" s="273" t="str">
        <f t="shared" si="30"/>
        <v/>
      </c>
      <c r="J34" s="312">
        <f t="shared" si="2"/>
        <v>0</v>
      </c>
      <c r="K34" s="313" t="str">
        <f t="shared" si="3"/>
        <v>+</v>
      </c>
      <c r="L34" s="314">
        <f t="shared" si="3"/>
        <v>0.11666666733336833</v>
      </c>
      <c r="M34" s="315">
        <f t="shared" si="31"/>
        <v>2.8000000188008403</v>
      </c>
      <c r="N34" s="242"/>
      <c r="O34" s="241"/>
      <c r="P34" s="240"/>
      <c r="Q34" s="241"/>
      <c r="R34" s="243"/>
      <c r="S34" s="231">
        <v>27</v>
      </c>
      <c r="T34" s="213"/>
      <c r="U34" s="383" t="str">
        <f>IF(TRIM(T34)="","",IF(Werklijst_nr=1,INDEX([1]Werklijst!$D$16:$D$2000,MATCH(TRIM(T34),[1]Werklijst!$A$16:$A$1000,0)),INDEX('[2] Werklijst ES'!$B$7:$B$2000,MATCH(TRIM(T34),'[2] Werklijst ES'!$A$7:$A$2000,0))))</f>
        <v/>
      </c>
      <c r="V34" s="384"/>
      <c r="W34" s="359" t="str">
        <f>IF(TRIM(T34)="","",IF(Werklijst_nr=1,INDEX([1]Werklijst!$K$16:$K$2000,MATCH(TRIM(T34),[1]Werklijst!$A$16:$A$2000,0)),INDEX('[2] Werklijst ES'!$B$7:$B$2000,MATCH(TRIM(T34),'[2] Werklijst ES'!$A$7:$A$2000,0))))</f>
        <v/>
      </c>
      <c r="X34" s="377">
        <f>BG$52</f>
        <v>0</v>
      </c>
      <c r="Y34" s="378" t="e">
        <f>BG$49</f>
        <v>#DIV/0!</v>
      </c>
      <c r="Z34" s="80">
        <f t="shared" si="32"/>
        <v>44557</v>
      </c>
      <c r="AA34" s="160">
        <f t="shared" si="4"/>
        <v>44557</v>
      </c>
      <c r="AB34" s="160">
        <f t="shared" si="5"/>
        <v>12</v>
      </c>
      <c r="AC34" s="81">
        <f t="shared" si="6"/>
        <v>2</v>
      </c>
      <c r="AD34" s="160">
        <f t="shared" si="7"/>
        <v>0</v>
      </c>
      <c r="AF34" s="27" t="s">
        <v>119</v>
      </c>
      <c r="AG34" s="100"/>
      <c r="AH34" s="82">
        <f t="shared" si="57"/>
        <v>0</v>
      </c>
      <c r="AI34" s="82">
        <f t="shared" si="57"/>
        <v>0</v>
      </c>
      <c r="AJ34" s="82">
        <f t="shared" si="57"/>
        <v>0</v>
      </c>
      <c r="AK34" s="82">
        <f t="shared" si="57"/>
        <v>0</v>
      </c>
      <c r="AL34" s="82">
        <f t="shared" si="57"/>
        <v>0</v>
      </c>
      <c r="AM34" s="82">
        <f t="shared" si="57"/>
        <v>0</v>
      </c>
      <c r="AN34" s="82">
        <f t="shared" si="57"/>
        <v>0</v>
      </c>
      <c r="AO34" s="82">
        <f t="shared" si="57"/>
        <v>0</v>
      </c>
      <c r="AP34" s="82">
        <f t="shared" si="57"/>
        <v>0</v>
      </c>
      <c r="AQ34" s="82">
        <f t="shared" si="57"/>
        <v>0</v>
      </c>
      <c r="AR34" s="82">
        <f t="shared" si="58"/>
        <v>0</v>
      </c>
      <c r="AS34" s="82">
        <f t="shared" si="58"/>
        <v>0</v>
      </c>
      <c r="AT34" s="82">
        <f t="shared" si="58"/>
        <v>0</v>
      </c>
      <c r="AU34" s="82">
        <f t="shared" si="58"/>
        <v>0</v>
      </c>
      <c r="AV34" s="82">
        <f t="shared" si="58"/>
        <v>0</v>
      </c>
      <c r="AW34" s="82">
        <f t="shared" si="58"/>
        <v>0</v>
      </c>
      <c r="AX34" s="82">
        <f t="shared" si="58"/>
        <v>0</v>
      </c>
      <c r="AY34" s="82">
        <f t="shared" si="58"/>
        <v>0</v>
      </c>
      <c r="AZ34" s="82">
        <f t="shared" si="58"/>
        <v>0</v>
      </c>
      <c r="BA34" s="82">
        <f t="shared" si="58"/>
        <v>0</v>
      </c>
      <c r="BB34" s="82">
        <f t="shared" si="59"/>
        <v>0</v>
      </c>
      <c r="BC34" s="82">
        <f t="shared" si="59"/>
        <v>0</v>
      </c>
      <c r="BD34" s="82">
        <f t="shared" si="59"/>
        <v>0</v>
      </c>
      <c r="BE34" s="82">
        <f t="shared" si="59"/>
        <v>0</v>
      </c>
      <c r="BF34" s="82">
        <f t="shared" si="59"/>
        <v>0</v>
      </c>
      <c r="BG34" s="82">
        <f t="shared" si="59"/>
        <v>0</v>
      </c>
      <c r="BH34" s="82">
        <f t="shared" si="59"/>
        <v>0</v>
      </c>
      <c r="BI34" s="82">
        <f t="shared" si="59"/>
        <v>0</v>
      </c>
      <c r="BJ34" s="82">
        <f t="shared" si="59"/>
        <v>0</v>
      </c>
      <c r="BK34" s="83">
        <f t="shared" si="59"/>
        <v>0</v>
      </c>
      <c r="BM34" s="84">
        <f t="shared" si="33"/>
        <v>0</v>
      </c>
      <c r="BN34" s="85">
        <f t="shared" si="34"/>
        <v>0</v>
      </c>
      <c r="BO34" s="84">
        <f t="shared" si="11"/>
        <v>0</v>
      </c>
      <c r="BP34" s="85">
        <f t="shared" si="12"/>
        <v>0</v>
      </c>
      <c r="BQ34" s="186">
        <f t="shared" si="13"/>
        <v>0</v>
      </c>
      <c r="BR34" s="191">
        <f t="shared" si="14"/>
        <v>0</v>
      </c>
      <c r="BS34" s="186">
        <f t="shared" si="15"/>
        <v>0</v>
      </c>
      <c r="BT34" s="195">
        <f t="shared" si="16"/>
        <v>0</v>
      </c>
      <c r="BU34" s="18"/>
      <c r="BV34" s="27"/>
      <c r="BW34" s="21"/>
      <c r="BX34" s="21"/>
      <c r="BY34" s="21"/>
      <c r="BZ34" s="86">
        <f t="shared" si="35"/>
        <v>27</v>
      </c>
      <c r="CA34" s="87" t="str">
        <f t="shared" si="17"/>
        <v/>
      </c>
      <c r="CB34" s="87" t="str">
        <f t="shared" si="36"/>
        <v/>
      </c>
      <c r="CC34" s="88" t="str">
        <f t="shared" si="18"/>
        <v/>
      </c>
      <c r="CD34" s="88" t="str">
        <f t="shared" si="19"/>
        <v/>
      </c>
      <c r="CE34" s="89">
        <f t="shared" si="20"/>
        <v>0</v>
      </c>
      <c r="CF34" s="90">
        <f t="shared" si="37"/>
        <v>0</v>
      </c>
      <c r="CG34" s="91">
        <f t="shared" si="38"/>
        <v>0</v>
      </c>
      <c r="CH34" s="87">
        <f t="shared" si="39"/>
        <v>0</v>
      </c>
      <c r="CI34" s="92">
        <f t="shared" si="40"/>
        <v>2.0833333333333332E-2</v>
      </c>
      <c r="CJ34" s="93">
        <f t="shared" si="41"/>
        <v>0</v>
      </c>
      <c r="CK34" s="89">
        <f t="shared" si="42"/>
        <v>0</v>
      </c>
      <c r="CL34" s="90">
        <f t="shared" si="43"/>
        <v>0</v>
      </c>
      <c r="CM34" s="185">
        <f t="shared" si="44"/>
        <v>0</v>
      </c>
      <c r="CN34" s="185">
        <f t="shared" si="45"/>
        <v>0</v>
      </c>
      <c r="CO34" s="185">
        <f t="shared" si="46"/>
        <v>0</v>
      </c>
      <c r="CP34" s="185">
        <f t="shared" si="47"/>
        <v>0</v>
      </c>
      <c r="CQ34" s="91" t="str">
        <f t="shared" si="21"/>
        <v/>
      </c>
      <c r="CR34" s="87">
        <f t="shared" si="22"/>
        <v>0</v>
      </c>
      <c r="CS34" s="87">
        <f t="shared" si="23"/>
        <v>0</v>
      </c>
      <c r="CT34" s="87">
        <f t="shared" si="48"/>
        <v>0</v>
      </c>
      <c r="CU34" s="92">
        <f t="shared" si="24"/>
        <v>0</v>
      </c>
      <c r="CV34" s="326">
        <f t="shared" si="49"/>
        <v>0</v>
      </c>
      <c r="CW34" s="328">
        <f t="shared" si="25"/>
        <v>0</v>
      </c>
      <c r="CX34" s="330">
        <f t="shared" si="50"/>
        <v>0.11666666733336833</v>
      </c>
      <c r="CY34" s="94" t="str">
        <f t="shared" si="51"/>
        <v>+</v>
      </c>
      <c r="CZ34" s="95">
        <f t="shared" si="52"/>
        <v>0.11666666733336833</v>
      </c>
      <c r="DA34" s="96">
        <f t="shared" si="27"/>
        <v>0</v>
      </c>
      <c r="DB34" s="215">
        <f t="shared" si="28"/>
        <v>0</v>
      </c>
      <c r="DC34" s="58"/>
      <c r="DD34" s="18"/>
      <c r="DE34" s="18"/>
      <c r="DF34" s="18"/>
      <c r="DG34" s="18"/>
      <c r="DH34" s="18"/>
      <c r="DI34" s="18"/>
      <c r="DJ34" s="18"/>
      <c r="DK34" s="27"/>
      <c r="DL34" s="183">
        <v>32</v>
      </c>
      <c r="DM34" s="102" t="s">
        <v>235</v>
      </c>
      <c r="DN34" s="103">
        <v>0.33333333333333331</v>
      </c>
      <c r="DO34" s="172">
        <f t="shared" si="53"/>
        <v>0.16666666666666666</v>
      </c>
      <c r="DP34" s="104">
        <v>1</v>
      </c>
      <c r="DQ34" s="179" t="s">
        <v>237</v>
      </c>
      <c r="DR34" s="22"/>
    </row>
    <row r="35" spans="1:122" ht="15" x14ac:dyDescent="0.2">
      <c r="A35" s="322">
        <f t="shared" si="0"/>
        <v>28</v>
      </c>
      <c r="B35" s="323">
        <f t="shared" si="1"/>
        <v>44558</v>
      </c>
      <c r="C35" s="239"/>
      <c r="D35" s="240"/>
      <c r="E35" s="240"/>
      <c r="F35" s="240"/>
      <c r="G35" s="278"/>
      <c r="H35" s="305" t="str">
        <f t="shared" si="29"/>
        <v/>
      </c>
      <c r="I35" s="273" t="str">
        <f t="shared" si="30"/>
        <v/>
      </c>
      <c r="J35" s="312">
        <f t="shared" si="2"/>
        <v>0</v>
      </c>
      <c r="K35" s="313" t="str">
        <f t="shared" si="3"/>
        <v>+</v>
      </c>
      <c r="L35" s="314">
        <f t="shared" si="3"/>
        <v>0.11666666733336833</v>
      </c>
      <c r="M35" s="315">
        <f t="shared" si="31"/>
        <v>2.8000000188008403</v>
      </c>
      <c r="N35" s="242"/>
      <c r="O35" s="241"/>
      <c r="P35" s="240"/>
      <c r="Q35" s="241"/>
      <c r="R35" s="243"/>
      <c r="S35" s="231">
        <v>28</v>
      </c>
      <c r="T35" s="213"/>
      <c r="U35" s="383" t="str">
        <f>IF(TRIM(T35)="","",IF(Werklijst_nr=1,INDEX([1]Werklijst!$D$16:$D$2000,MATCH(TRIM(T35),[1]Werklijst!$A$16:$A$1000,0)),INDEX('[2] Werklijst ES'!$B$7:$B$2000,MATCH(TRIM(T35),'[2] Werklijst ES'!$A$7:$A$2000,0))))</f>
        <v/>
      </c>
      <c r="V35" s="384"/>
      <c r="W35" s="359" t="str">
        <f>IF(TRIM(T35)="","",IF(Werklijst_nr=1,INDEX([1]Werklijst!$K$16:$K$2000,MATCH(TRIM(T35),[1]Werklijst!$A$16:$A$2000,0)),INDEX('[2] Werklijst ES'!$B$7:$B$2000,MATCH(TRIM(T35),'[2] Werklijst ES'!$A$7:$A$2000,0))))</f>
        <v/>
      </c>
      <c r="X35" s="377">
        <f>BH$52</f>
        <v>0</v>
      </c>
      <c r="Y35" s="378" t="e">
        <f>BH$49</f>
        <v>#DIV/0!</v>
      </c>
      <c r="Z35" s="80">
        <f t="shared" si="32"/>
        <v>44558</v>
      </c>
      <c r="AA35" s="160">
        <f t="shared" si="4"/>
        <v>44558</v>
      </c>
      <c r="AB35" s="160">
        <f t="shared" si="5"/>
        <v>12</v>
      </c>
      <c r="AC35" s="81">
        <f t="shared" si="6"/>
        <v>3</v>
      </c>
      <c r="AD35" s="160">
        <f t="shared" si="7"/>
        <v>0</v>
      </c>
      <c r="AF35" s="27" t="s">
        <v>119</v>
      </c>
      <c r="AG35" s="100"/>
      <c r="AH35" s="82">
        <f t="shared" si="57"/>
        <v>0</v>
      </c>
      <c r="AI35" s="82">
        <f t="shared" si="57"/>
        <v>0</v>
      </c>
      <c r="AJ35" s="82">
        <f t="shared" si="57"/>
        <v>0</v>
      </c>
      <c r="AK35" s="82">
        <f t="shared" si="57"/>
        <v>0</v>
      </c>
      <c r="AL35" s="82">
        <f t="shared" si="57"/>
        <v>0</v>
      </c>
      <c r="AM35" s="82">
        <f t="shared" si="57"/>
        <v>0</v>
      </c>
      <c r="AN35" s="82">
        <f t="shared" si="57"/>
        <v>0</v>
      </c>
      <c r="AO35" s="82">
        <f t="shared" si="57"/>
        <v>0</v>
      </c>
      <c r="AP35" s="82">
        <f t="shared" si="57"/>
        <v>0</v>
      </c>
      <c r="AQ35" s="82">
        <f t="shared" si="57"/>
        <v>0</v>
      </c>
      <c r="AR35" s="82">
        <f t="shared" si="58"/>
        <v>0</v>
      </c>
      <c r="AS35" s="82">
        <f t="shared" si="58"/>
        <v>0</v>
      </c>
      <c r="AT35" s="82">
        <f t="shared" si="58"/>
        <v>0</v>
      </c>
      <c r="AU35" s="82">
        <f t="shared" si="58"/>
        <v>0</v>
      </c>
      <c r="AV35" s="82">
        <f t="shared" si="58"/>
        <v>0</v>
      </c>
      <c r="AW35" s="82">
        <f t="shared" si="58"/>
        <v>0</v>
      </c>
      <c r="AX35" s="82">
        <f t="shared" si="58"/>
        <v>0</v>
      </c>
      <c r="AY35" s="82">
        <f t="shared" si="58"/>
        <v>0</v>
      </c>
      <c r="AZ35" s="82">
        <f t="shared" si="58"/>
        <v>0</v>
      </c>
      <c r="BA35" s="82">
        <f t="shared" si="58"/>
        <v>0</v>
      </c>
      <c r="BB35" s="82">
        <f t="shared" si="59"/>
        <v>0</v>
      </c>
      <c r="BC35" s="82">
        <f t="shared" si="59"/>
        <v>0</v>
      </c>
      <c r="BD35" s="82">
        <f t="shared" si="59"/>
        <v>0</v>
      </c>
      <c r="BE35" s="82">
        <f t="shared" si="59"/>
        <v>0</v>
      </c>
      <c r="BF35" s="82">
        <f t="shared" si="59"/>
        <v>0</v>
      </c>
      <c r="BG35" s="82">
        <f t="shared" si="59"/>
        <v>0</v>
      </c>
      <c r="BH35" s="82">
        <f t="shared" si="59"/>
        <v>0</v>
      </c>
      <c r="BI35" s="82">
        <f t="shared" si="59"/>
        <v>0</v>
      </c>
      <c r="BJ35" s="82">
        <f t="shared" si="59"/>
        <v>0</v>
      </c>
      <c r="BK35" s="83">
        <f t="shared" si="59"/>
        <v>0</v>
      </c>
      <c r="BM35" s="84">
        <f t="shared" si="33"/>
        <v>0</v>
      </c>
      <c r="BN35" s="85">
        <f t="shared" si="34"/>
        <v>0</v>
      </c>
      <c r="BO35" s="84">
        <f t="shared" si="11"/>
        <v>0</v>
      </c>
      <c r="BP35" s="85">
        <f t="shared" si="12"/>
        <v>0</v>
      </c>
      <c r="BQ35" s="186">
        <f t="shared" si="13"/>
        <v>0</v>
      </c>
      <c r="BR35" s="191">
        <f t="shared" si="14"/>
        <v>0</v>
      </c>
      <c r="BS35" s="186">
        <f t="shared" si="15"/>
        <v>0</v>
      </c>
      <c r="BT35" s="195">
        <f t="shared" si="16"/>
        <v>0</v>
      </c>
      <c r="BU35" s="18"/>
      <c r="BV35" s="27"/>
      <c r="BW35" s="21"/>
      <c r="BX35" s="21"/>
      <c r="BY35" s="21"/>
      <c r="BZ35" s="86">
        <f t="shared" si="35"/>
        <v>28</v>
      </c>
      <c r="CA35" s="87" t="str">
        <f t="shared" si="17"/>
        <v/>
      </c>
      <c r="CB35" s="87" t="str">
        <f t="shared" si="36"/>
        <v/>
      </c>
      <c r="CC35" s="88" t="str">
        <f t="shared" si="18"/>
        <v/>
      </c>
      <c r="CD35" s="88" t="str">
        <f t="shared" si="19"/>
        <v/>
      </c>
      <c r="CE35" s="89">
        <f t="shared" si="20"/>
        <v>0</v>
      </c>
      <c r="CF35" s="90">
        <f t="shared" si="37"/>
        <v>0</v>
      </c>
      <c r="CG35" s="91">
        <f t="shared" si="38"/>
        <v>0</v>
      </c>
      <c r="CH35" s="87">
        <f t="shared" si="39"/>
        <v>0</v>
      </c>
      <c r="CI35" s="92">
        <f t="shared" si="40"/>
        <v>2.0833333333333332E-2</v>
      </c>
      <c r="CJ35" s="93">
        <f t="shared" si="41"/>
        <v>0</v>
      </c>
      <c r="CK35" s="89">
        <f t="shared" si="42"/>
        <v>0</v>
      </c>
      <c r="CL35" s="90">
        <f t="shared" si="43"/>
        <v>0</v>
      </c>
      <c r="CM35" s="185">
        <f t="shared" si="44"/>
        <v>0</v>
      </c>
      <c r="CN35" s="185">
        <f t="shared" si="45"/>
        <v>0</v>
      </c>
      <c r="CO35" s="185">
        <f t="shared" si="46"/>
        <v>0</v>
      </c>
      <c r="CP35" s="185">
        <f t="shared" si="47"/>
        <v>0</v>
      </c>
      <c r="CQ35" s="91" t="str">
        <f t="shared" si="21"/>
        <v/>
      </c>
      <c r="CR35" s="87">
        <f t="shared" si="22"/>
        <v>0</v>
      </c>
      <c r="CS35" s="87">
        <f t="shared" si="23"/>
        <v>0</v>
      </c>
      <c r="CT35" s="87">
        <f t="shared" si="48"/>
        <v>0</v>
      </c>
      <c r="CU35" s="92">
        <f t="shared" si="24"/>
        <v>0</v>
      </c>
      <c r="CV35" s="326">
        <f t="shared" si="49"/>
        <v>0</v>
      </c>
      <c r="CW35" s="328">
        <f t="shared" si="25"/>
        <v>0</v>
      </c>
      <c r="CX35" s="330">
        <f t="shared" si="50"/>
        <v>0.11666666733336833</v>
      </c>
      <c r="CY35" s="94" t="str">
        <f t="shared" si="51"/>
        <v>+</v>
      </c>
      <c r="CZ35" s="95">
        <f t="shared" si="52"/>
        <v>0.11666666733336833</v>
      </c>
      <c r="DA35" s="96">
        <f t="shared" si="27"/>
        <v>0</v>
      </c>
      <c r="DB35" s="215">
        <f t="shared" si="28"/>
        <v>0</v>
      </c>
      <c r="DC35" s="58"/>
      <c r="DD35" s="18"/>
      <c r="DE35" s="18"/>
      <c r="DF35" s="18"/>
      <c r="DG35" s="18"/>
      <c r="DH35" s="18"/>
      <c r="DI35" s="18"/>
      <c r="DJ35" s="18"/>
      <c r="DK35" s="27"/>
      <c r="DL35" s="183">
        <v>33</v>
      </c>
      <c r="DM35" s="102" t="s">
        <v>59</v>
      </c>
      <c r="DN35" s="103">
        <v>0.33333333333333331</v>
      </c>
      <c r="DO35" s="172">
        <f t="shared" si="53"/>
        <v>0.16666666666666666</v>
      </c>
      <c r="DP35" s="104">
        <v>1</v>
      </c>
      <c r="DQ35" s="179" t="s">
        <v>174</v>
      </c>
      <c r="DR35" s="22"/>
    </row>
    <row r="36" spans="1:122" ht="15" x14ac:dyDescent="0.2">
      <c r="A36" s="322">
        <f>IF(AB36&lt;&gt;$AB$8,"",DAY(Z36))</f>
        <v>29</v>
      </c>
      <c r="B36" s="323">
        <f>IF(AB36&lt;&gt;$AB$8,"",Z36)</f>
        <v>44559</v>
      </c>
      <c r="C36" s="239"/>
      <c r="D36" s="240"/>
      <c r="E36" s="240"/>
      <c r="F36" s="240"/>
      <c r="G36" s="278"/>
      <c r="H36" s="305" t="str">
        <f t="shared" si="29"/>
        <v/>
      </c>
      <c r="I36" s="273" t="str">
        <f t="shared" si="30"/>
        <v/>
      </c>
      <c r="J36" s="312">
        <f t="shared" si="2"/>
        <v>0</v>
      </c>
      <c r="K36" s="313" t="str">
        <f t="shared" si="3"/>
        <v>+</v>
      </c>
      <c r="L36" s="314">
        <f t="shared" si="3"/>
        <v>0.11666666733336833</v>
      </c>
      <c r="M36" s="315">
        <f t="shared" si="31"/>
        <v>2.8000000188008403</v>
      </c>
      <c r="N36" s="242"/>
      <c r="O36" s="241"/>
      <c r="P36" s="240"/>
      <c r="Q36" s="241"/>
      <c r="R36" s="243"/>
      <c r="S36" s="231">
        <v>29</v>
      </c>
      <c r="T36" s="213"/>
      <c r="U36" s="383" t="str">
        <f>IF(TRIM(T36)="","",IF(Werklijst_nr=1,INDEX([1]Werklijst!$D$16:$D$2000,MATCH(TRIM(T36),[1]Werklijst!$A$16:$A$1000,0)),INDEX('[2] Werklijst ES'!$B$7:$B$2000,MATCH(TRIM(T36),'[2] Werklijst ES'!$A$7:$A$2000,0))))</f>
        <v/>
      </c>
      <c r="V36" s="384"/>
      <c r="W36" s="359" t="str">
        <f>IF(TRIM(T36)="","",IF(Werklijst_nr=1,INDEX([1]Werklijst!$K$16:$K$2000,MATCH(TRIM(T36),[1]Werklijst!$A$16:$A$2000,0)),INDEX('[2] Werklijst ES'!$B$7:$B$2000,MATCH(TRIM(T36),'[2] Werklijst ES'!$A$7:$A$2000,0))))</f>
        <v/>
      </c>
      <c r="X36" s="377">
        <f>BI$52</f>
        <v>0</v>
      </c>
      <c r="Y36" s="378" t="e">
        <f>BI$49</f>
        <v>#DIV/0!</v>
      </c>
      <c r="Z36" s="80">
        <f t="shared" si="32"/>
        <v>44559</v>
      </c>
      <c r="AA36" s="160">
        <f>IF(AB36&lt;&gt;$AB$8,"",Z36)</f>
        <v>44559</v>
      </c>
      <c r="AB36" s="160">
        <f t="shared" si="5"/>
        <v>12</v>
      </c>
      <c r="AC36" s="81">
        <f t="shared" si="6"/>
        <v>4</v>
      </c>
      <c r="AD36" s="160">
        <f t="shared" si="7"/>
        <v>0</v>
      </c>
      <c r="AF36" s="27" t="s">
        <v>119</v>
      </c>
      <c r="AG36" s="100"/>
      <c r="AH36" s="82">
        <f t="shared" si="57"/>
        <v>0</v>
      </c>
      <c r="AI36" s="82">
        <f t="shared" si="57"/>
        <v>0</v>
      </c>
      <c r="AJ36" s="82">
        <f t="shared" si="57"/>
        <v>0</v>
      </c>
      <c r="AK36" s="82">
        <f t="shared" si="57"/>
        <v>0</v>
      </c>
      <c r="AL36" s="82">
        <f t="shared" si="57"/>
        <v>0</v>
      </c>
      <c r="AM36" s="82">
        <f t="shared" si="57"/>
        <v>0</v>
      </c>
      <c r="AN36" s="82">
        <f t="shared" si="57"/>
        <v>0</v>
      </c>
      <c r="AO36" s="82">
        <f t="shared" si="57"/>
        <v>0</v>
      </c>
      <c r="AP36" s="82">
        <f t="shared" si="57"/>
        <v>0</v>
      </c>
      <c r="AQ36" s="82">
        <f t="shared" si="57"/>
        <v>0</v>
      </c>
      <c r="AR36" s="82">
        <f t="shared" si="58"/>
        <v>0</v>
      </c>
      <c r="AS36" s="82">
        <f t="shared" si="58"/>
        <v>0</v>
      </c>
      <c r="AT36" s="82">
        <f t="shared" si="58"/>
        <v>0</v>
      </c>
      <c r="AU36" s="82">
        <f t="shared" si="58"/>
        <v>0</v>
      </c>
      <c r="AV36" s="82">
        <f t="shared" si="58"/>
        <v>0</v>
      </c>
      <c r="AW36" s="82">
        <f t="shared" si="58"/>
        <v>0</v>
      </c>
      <c r="AX36" s="82">
        <f t="shared" si="58"/>
        <v>0</v>
      </c>
      <c r="AY36" s="82">
        <f t="shared" si="58"/>
        <v>0</v>
      </c>
      <c r="AZ36" s="82">
        <f t="shared" si="58"/>
        <v>0</v>
      </c>
      <c r="BA36" s="82">
        <f t="shared" si="58"/>
        <v>0</v>
      </c>
      <c r="BB36" s="82">
        <f t="shared" si="59"/>
        <v>0</v>
      </c>
      <c r="BC36" s="82">
        <f t="shared" si="59"/>
        <v>0</v>
      </c>
      <c r="BD36" s="82">
        <f t="shared" si="59"/>
        <v>0</v>
      </c>
      <c r="BE36" s="82">
        <f t="shared" si="59"/>
        <v>0</v>
      </c>
      <c r="BF36" s="82">
        <f t="shared" si="59"/>
        <v>0</v>
      </c>
      <c r="BG36" s="82">
        <f t="shared" si="59"/>
        <v>0</v>
      </c>
      <c r="BH36" s="82">
        <f t="shared" si="59"/>
        <v>0</v>
      </c>
      <c r="BI36" s="82">
        <f t="shared" si="59"/>
        <v>0</v>
      </c>
      <c r="BJ36" s="82">
        <f t="shared" si="59"/>
        <v>0</v>
      </c>
      <c r="BK36" s="83">
        <f t="shared" si="59"/>
        <v>0</v>
      </c>
      <c r="BM36" s="84">
        <f t="shared" si="33"/>
        <v>0</v>
      </c>
      <c r="BN36" s="85">
        <f t="shared" si="34"/>
        <v>0</v>
      </c>
      <c r="BO36" s="84">
        <f t="shared" si="11"/>
        <v>0</v>
      </c>
      <c r="BP36" s="85">
        <f t="shared" si="12"/>
        <v>0</v>
      </c>
      <c r="BQ36" s="186">
        <f t="shared" si="13"/>
        <v>0</v>
      </c>
      <c r="BR36" s="191">
        <f t="shared" si="14"/>
        <v>0</v>
      </c>
      <c r="BS36" s="186">
        <f t="shared" si="15"/>
        <v>0</v>
      </c>
      <c r="BT36" s="195">
        <f t="shared" si="16"/>
        <v>0</v>
      </c>
      <c r="BU36" s="18"/>
      <c r="BV36" s="27"/>
      <c r="BW36" s="21"/>
      <c r="BX36" s="21"/>
      <c r="BY36" s="21"/>
      <c r="BZ36" s="86">
        <f t="shared" si="35"/>
        <v>29</v>
      </c>
      <c r="CA36" s="87" t="str">
        <f t="shared" si="17"/>
        <v/>
      </c>
      <c r="CB36" s="87" t="str">
        <f t="shared" si="36"/>
        <v/>
      </c>
      <c r="CC36" s="88" t="str">
        <f t="shared" si="18"/>
        <v/>
      </c>
      <c r="CD36" s="88" t="str">
        <f t="shared" si="19"/>
        <v/>
      </c>
      <c r="CE36" s="89">
        <f t="shared" si="20"/>
        <v>0</v>
      </c>
      <c r="CF36" s="90">
        <f t="shared" si="37"/>
        <v>0</v>
      </c>
      <c r="CG36" s="91">
        <f t="shared" si="38"/>
        <v>0</v>
      </c>
      <c r="CH36" s="87">
        <f t="shared" si="39"/>
        <v>0</v>
      </c>
      <c r="CI36" s="92">
        <f t="shared" si="40"/>
        <v>2.0833333333333332E-2</v>
      </c>
      <c r="CJ36" s="93">
        <f t="shared" si="41"/>
        <v>0</v>
      </c>
      <c r="CK36" s="89">
        <f t="shared" si="42"/>
        <v>0</v>
      </c>
      <c r="CL36" s="90">
        <f t="shared" si="43"/>
        <v>0</v>
      </c>
      <c r="CM36" s="185">
        <f t="shared" si="44"/>
        <v>0</v>
      </c>
      <c r="CN36" s="185">
        <f t="shared" si="45"/>
        <v>0</v>
      </c>
      <c r="CO36" s="185">
        <f t="shared" si="46"/>
        <v>0</v>
      </c>
      <c r="CP36" s="185">
        <f t="shared" si="47"/>
        <v>0</v>
      </c>
      <c r="CQ36" s="91" t="str">
        <f t="shared" si="21"/>
        <v/>
      </c>
      <c r="CR36" s="87">
        <f t="shared" si="22"/>
        <v>0</v>
      </c>
      <c r="CS36" s="87">
        <f t="shared" si="23"/>
        <v>0</v>
      </c>
      <c r="CT36" s="87">
        <f t="shared" si="48"/>
        <v>0</v>
      </c>
      <c r="CU36" s="92">
        <f t="shared" si="24"/>
        <v>0</v>
      </c>
      <c r="CV36" s="326">
        <f t="shared" si="49"/>
        <v>0</v>
      </c>
      <c r="CW36" s="328">
        <f t="shared" si="25"/>
        <v>0</v>
      </c>
      <c r="CX36" s="330">
        <f t="shared" si="50"/>
        <v>0.11666666733336833</v>
      </c>
      <c r="CY36" s="94" t="str">
        <f t="shared" si="51"/>
        <v>+</v>
      </c>
      <c r="CZ36" s="95">
        <f t="shared" si="52"/>
        <v>0.11666666733336833</v>
      </c>
      <c r="DA36" s="96">
        <f t="shared" si="27"/>
        <v>0</v>
      </c>
      <c r="DB36" s="215">
        <f t="shared" si="28"/>
        <v>0</v>
      </c>
      <c r="DC36" s="58"/>
      <c r="DD36" s="18"/>
      <c r="DE36" s="18"/>
      <c r="DF36" s="18"/>
      <c r="DG36" s="18"/>
      <c r="DH36" s="18"/>
      <c r="DI36" s="18"/>
      <c r="DJ36" s="18"/>
      <c r="DK36" s="27"/>
      <c r="DL36" s="183">
        <v>34</v>
      </c>
      <c r="DM36" s="102" t="s">
        <v>67</v>
      </c>
      <c r="DN36" s="103">
        <v>0.33333333333333331</v>
      </c>
      <c r="DO36" s="172">
        <f t="shared" si="53"/>
        <v>0.16666666666666666</v>
      </c>
      <c r="DP36" s="104">
        <v>0</v>
      </c>
      <c r="DQ36" s="179" t="s">
        <v>175</v>
      </c>
      <c r="DR36" s="22"/>
    </row>
    <row r="37" spans="1:122" ht="15.75" thickBot="1" x14ac:dyDescent="0.25">
      <c r="A37" s="322">
        <f>IF(AB37&lt;&gt;$AB$8,"",DAY(Z37))</f>
        <v>30</v>
      </c>
      <c r="B37" s="323">
        <f>IF(AB37&lt;&gt;$AB$8,"",Z37)</f>
        <v>44560</v>
      </c>
      <c r="C37" s="239"/>
      <c r="D37" s="240"/>
      <c r="E37" s="240"/>
      <c r="F37" s="240"/>
      <c r="G37" s="278"/>
      <c r="H37" s="305" t="str">
        <f t="shared" si="29"/>
        <v/>
      </c>
      <c r="I37" s="273" t="str">
        <f t="shared" si="30"/>
        <v/>
      </c>
      <c r="J37" s="312">
        <f t="shared" si="2"/>
        <v>0</v>
      </c>
      <c r="K37" s="313" t="str">
        <f t="shared" si="3"/>
        <v>+</v>
      </c>
      <c r="L37" s="314">
        <f t="shared" si="3"/>
        <v>0.11666666733336833</v>
      </c>
      <c r="M37" s="315">
        <f t="shared" si="31"/>
        <v>2.8000000188008403</v>
      </c>
      <c r="N37" s="242"/>
      <c r="O37" s="241"/>
      <c r="P37" s="240"/>
      <c r="Q37" s="241"/>
      <c r="R37" s="243"/>
      <c r="S37" s="245">
        <v>30</v>
      </c>
      <c r="T37" s="213"/>
      <c r="U37" s="426" t="str">
        <f>IF(TRIM(T37)="","",IF(Werklijst_nr=1,INDEX([1]Werklijst!$D$16:$D$2000,MATCH(TRIM(T37),[1]Werklijst!$A$16:$A$1000,0)),INDEX('[2] Werklijst ES'!$B$7:$B$2000,MATCH(TRIM(T37),'[2] Werklijst ES'!$A$7:$A$2000,0))))</f>
        <v/>
      </c>
      <c r="V37" s="427"/>
      <c r="W37" s="359" t="str">
        <f>IF(TRIM(T37)="","",IF(Werklijst_nr=1,INDEX([1]Werklijst!$K$16:$K$2000,MATCH(TRIM(T37),[1]Werklijst!$A$16:$A$2000,0)),INDEX('[2] Werklijst ES'!$B$7:$B$2000,MATCH(TRIM(T37),'[2] Werklijst ES'!$A$7:$A$2000,0))))</f>
        <v/>
      </c>
      <c r="X37" s="379">
        <f>BJ$52</f>
        <v>0</v>
      </c>
      <c r="Y37" s="380" t="e">
        <f>BJ$49</f>
        <v>#DIV/0!</v>
      </c>
      <c r="Z37" s="80">
        <f t="shared" si="32"/>
        <v>44560</v>
      </c>
      <c r="AA37" s="160">
        <f>IF(AB37&lt;&gt;$AB$8,"",Z37)</f>
        <v>44560</v>
      </c>
      <c r="AB37" s="160">
        <f t="shared" si="5"/>
        <v>12</v>
      </c>
      <c r="AC37" s="81">
        <f t="shared" si="6"/>
        <v>5</v>
      </c>
      <c r="AD37" s="160">
        <f t="shared" si="7"/>
        <v>0</v>
      </c>
      <c r="AF37" s="27" t="s">
        <v>119</v>
      </c>
      <c r="AG37" s="100"/>
      <c r="AH37" s="82">
        <f t="shared" si="57"/>
        <v>0</v>
      </c>
      <c r="AI37" s="82">
        <f t="shared" si="57"/>
        <v>0</v>
      </c>
      <c r="AJ37" s="82">
        <f t="shared" si="57"/>
        <v>0</v>
      </c>
      <c r="AK37" s="82">
        <f t="shared" si="57"/>
        <v>0</v>
      </c>
      <c r="AL37" s="82">
        <f t="shared" si="57"/>
        <v>0</v>
      </c>
      <c r="AM37" s="82">
        <f t="shared" si="57"/>
        <v>0</v>
      </c>
      <c r="AN37" s="82">
        <f t="shared" si="57"/>
        <v>0</v>
      </c>
      <c r="AO37" s="82">
        <f t="shared" si="57"/>
        <v>0</v>
      </c>
      <c r="AP37" s="82">
        <f t="shared" si="57"/>
        <v>0</v>
      </c>
      <c r="AQ37" s="82">
        <f t="shared" si="57"/>
        <v>0</v>
      </c>
      <c r="AR37" s="82">
        <f t="shared" si="58"/>
        <v>0</v>
      </c>
      <c r="AS37" s="82">
        <f t="shared" si="58"/>
        <v>0</v>
      </c>
      <c r="AT37" s="82">
        <f t="shared" si="58"/>
        <v>0</v>
      </c>
      <c r="AU37" s="82">
        <f t="shared" si="58"/>
        <v>0</v>
      </c>
      <c r="AV37" s="82">
        <f t="shared" si="58"/>
        <v>0</v>
      </c>
      <c r="AW37" s="82">
        <f t="shared" si="58"/>
        <v>0</v>
      </c>
      <c r="AX37" s="82">
        <f t="shared" si="58"/>
        <v>0</v>
      </c>
      <c r="AY37" s="82">
        <f t="shared" si="58"/>
        <v>0</v>
      </c>
      <c r="AZ37" s="82">
        <f t="shared" si="58"/>
        <v>0</v>
      </c>
      <c r="BA37" s="82">
        <f t="shared" si="58"/>
        <v>0</v>
      </c>
      <c r="BB37" s="82">
        <f t="shared" si="59"/>
        <v>0</v>
      </c>
      <c r="BC37" s="82">
        <f t="shared" si="59"/>
        <v>0</v>
      </c>
      <c r="BD37" s="82">
        <f t="shared" si="59"/>
        <v>0</v>
      </c>
      <c r="BE37" s="82">
        <f t="shared" si="59"/>
        <v>0</v>
      </c>
      <c r="BF37" s="82">
        <f t="shared" si="59"/>
        <v>0</v>
      </c>
      <c r="BG37" s="82">
        <f t="shared" si="59"/>
        <v>0</v>
      </c>
      <c r="BH37" s="82">
        <f t="shared" si="59"/>
        <v>0</v>
      </c>
      <c r="BI37" s="82">
        <f t="shared" si="59"/>
        <v>0</v>
      </c>
      <c r="BJ37" s="82">
        <f t="shared" si="59"/>
        <v>0</v>
      </c>
      <c r="BK37" s="83">
        <f t="shared" si="59"/>
        <v>0</v>
      </c>
      <c r="BM37" s="84">
        <f t="shared" si="33"/>
        <v>0</v>
      </c>
      <c r="BN37" s="85">
        <f t="shared" si="34"/>
        <v>0</v>
      </c>
      <c r="BO37" s="84">
        <f t="shared" si="11"/>
        <v>0</v>
      </c>
      <c r="BP37" s="85">
        <f t="shared" si="12"/>
        <v>0</v>
      </c>
      <c r="BQ37" s="186">
        <f t="shared" si="13"/>
        <v>0</v>
      </c>
      <c r="BR37" s="191">
        <f t="shared" si="14"/>
        <v>0</v>
      </c>
      <c r="BS37" s="186">
        <f t="shared" si="15"/>
        <v>0</v>
      </c>
      <c r="BT37" s="195">
        <f t="shared" si="16"/>
        <v>0</v>
      </c>
      <c r="BU37" s="18"/>
      <c r="BV37" s="27"/>
      <c r="BW37" s="21"/>
      <c r="BX37" s="21"/>
      <c r="BY37" s="21"/>
      <c r="BZ37" s="86">
        <f t="shared" si="35"/>
        <v>30</v>
      </c>
      <c r="CA37" s="87" t="str">
        <f t="shared" si="17"/>
        <v/>
      </c>
      <c r="CB37" s="87" t="str">
        <f t="shared" si="36"/>
        <v/>
      </c>
      <c r="CC37" s="88" t="str">
        <f t="shared" si="18"/>
        <v/>
      </c>
      <c r="CD37" s="88" t="str">
        <f t="shared" si="19"/>
        <v/>
      </c>
      <c r="CE37" s="89">
        <f t="shared" si="20"/>
        <v>0</v>
      </c>
      <c r="CF37" s="90">
        <f t="shared" si="37"/>
        <v>0</v>
      </c>
      <c r="CG37" s="91">
        <f t="shared" si="38"/>
        <v>0</v>
      </c>
      <c r="CH37" s="87">
        <f t="shared" si="39"/>
        <v>0</v>
      </c>
      <c r="CI37" s="92">
        <f t="shared" si="40"/>
        <v>2.0833333333333332E-2</v>
      </c>
      <c r="CJ37" s="93">
        <f t="shared" si="41"/>
        <v>0</v>
      </c>
      <c r="CK37" s="89">
        <f t="shared" si="42"/>
        <v>0</v>
      </c>
      <c r="CL37" s="90">
        <f t="shared" si="43"/>
        <v>0</v>
      </c>
      <c r="CM37" s="185">
        <f t="shared" si="44"/>
        <v>0</v>
      </c>
      <c r="CN37" s="185">
        <f t="shared" si="45"/>
        <v>0</v>
      </c>
      <c r="CO37" s="185">
        <f t="shared" si="46"/>
        <v>0</v>
      </c>
      <c r="CP37" s="185">
        <f t="shared" si="47"/>
        <v>0</v>
      </c>
      <c r="CQ37" s="91" t="str">
        <f t="shared" si="21"/>
        <v/>
      </c>
      <c r="CR37" s="87">
        <f t="shared" si="22"/>
        <v>0</v>
      </c>
      <c r="CS37" s="87">
        <f t="shared" si="23"/>
        <v>0</v>
      </c>
      <c r="CT37" s="87">
        <f t="shared" si="48"/>
        <v>0</v>
      </c>
      <c r="CU37" s="92">
        <f t="shared" si="24"/>
        <v>0</v>
      </c>
      <c r="CV37" s="326">
        <f t="shared" si="49"/>
        <v>0</v>
      </c>
      <c r="CW37" s="328">
        <f t="shared" si="25"/>
        <v>0</v>
      </c>
      <c r="CX37" s="330">
        <f t="shared" si="50"/>
        <v>0.11666666733336833</v>
      </c>
      <c r="CY37" s="94" t="str">
        <f t="shared" si="51"/>
        <v>+</v>
      </c>
      <c r="CZ37" s="95">
        <f t="shared" si="52"/>
        <v>0.11666666733336833</v>
      </c>
      <c r="DA37" s="96">
        <f t="shared" si="27"/>
        <v>0</v>
      </c>
      <c r="DB37" s="215">
        <f t="shared" si="28"/>
        <v>0</v>
      </c>
      <c r="DC37" s="58"/>
      <c r="DD37" s="18"/>
      <c r="DE37" s="18"/>
      <c r="DF37" s="18"/>
      <c r="DG37" s="18"/>
      <c r="DH37" s="18"/>
      <c r="DI37" s="18"/>
      <c r="DJ37" s="18"/>
      <c r="DK37" s="27"/>
      <c r="DL37" s="183">
        <v>35</v>
      </c>
      <c r="DM37" s="102" t="s">
        <v>52</v>
      </c>
      <c r="DN37" s="103">
        <v>0.33333333333333331</v>
      </c>
      <c r="DO37" s="172">
        <f t="shared" si="53"/>
        <v>0.16666666666666666</v>
      </c>
      <c r="DP37" s="104">
        <v>0</v>
      </c>
      <c r="DQ37" s="179" t="s">
        <v>176</v>
      </c>
      <c r="DR37" s="22"/>
    </row>
    <row r="38" spans="1:122" ht="16.5" thickTop="1" thickBot="1" x14ac:dyDescent="0.25">
      <c r="A38" s="324">
        <f>IF(AB38&lt;&gt;$AB$8,"",DAY(Z38))</f>
        <v>31</v>
      </c>
      <c r="B38" s="325">
        <f>IF(AB38&lt;&gt;$AB$8,"",Z38)</f>
        <v>44561</v>
      </c>
      <c r="C38" s="246"/>
      <c r="D38" s="247"/>
      <c r="E38" s="247"/>
      <c r="F38" s="247"/>
      <c r="G38" s="267"/>
      <c r="H38" s="306" t="str">
        <f t="shared" si="29"/>
        <v/>
      </c>
      <c r="I38" s="276" t="str">
        <f t="shared" si="30"/>
        <v/>
      </c>
      <c r="J38" s="316">
        <f t="shared" si="2"/>
        <v>0</v>
      </c>
      <c r="K38" s="317" t="str">
        <f t="shared" si="3"/>
        <v>+</v>
      </c>
      <c r="L38" s="318">
        <f t="shared" si="3"/>
        <v>0.11666666733336833</v>
      </c>
      <c r="M38" s="319">
        <f t="shared" si="31"/>
        <v>2.8000000188008403</v>
      </c>
      <c r="N38" s="248"/>
      <c r="O38" s="249"/>
      <c r="P38" s="250"/>
      <c r="Q38" s="249"/>
      <c r="R38" s="251"/>
      <c r="S38" s="252"/>
      <c r="T38" s="174"/>
      <c r="U38" s="428" t="s">
        <v>3</v>
      </c>
      <c r="V38" s="429"/>
      <c r="W38" s="360"/>
      <c r="X38" s="381">
        <f>AG44</f>
        <v>0</v>
      </c>
      <c r="Y38" s="382" t="e">
        <f>AG$50</f>
        <v>#DIV/0!</v>
      </c>
      <c r="Z38" s="105">
        <f t="shared" si="32"/>
        <v>44561</v>
      </c>
      <c r="AA38" s="161">
        <f>IF(AB38&lt;&gt;$AB$8,"",Z38)</f>
        <v>44561</v>
      </c>
      <c r="AB38" s="161">
        <f t="shared" si="5"/>
        <v>12</v>
      </c>
      <c r="AC38" s="106">
        <f t="shared" si="6"/>
        <v>6</v>
      </c>
      <c r="AD38" s="160">
        <f t="shared" si="7"/>
        <v>0</v>
      </c>
      <c r="AF38" s="27" t="s">
        <v>119</v>
      </c>
      <c r="AG38" s="100"/>
      <c r="AH38" s="82">
        <f t="shared" si="57"/>
        <v>0</v>
      </c>
      <c r="AI38" s="82">
        <f t="shared" si="57"/>
        <v>0</v>
      </c>
      <c r="AJ38" s="82">
        <f t="shared" si="57"/>
        <v>0</v>
      </c>
      <c r="AK38" s="82">
        <f t="shared" si="57"/>
        <v>0</v>
      </c>
      <c r="AL38" s="82">
        <f t="shared" si="57"/>
        <v>0</v>
      </c>
      <c r="AM38" s="82">
        <f t="shared" si="57"/>
        <v>0</v>
      </c>
      <c r="AN38" s="82">
        <f t="shared" si="57"/>
        <v>0</v>
      </c>
      <c r="AO38" s="82">
        <f t="shared" si="57"/>
        <v>0</v>
      </c>
      <c r="AP38" s="82">
        <f t="shared" si="57"/>
        <v>0</v>
      </c>
      <c r="AQ38" s="82">
        <f t="shared" si="57"/>
        <v>0</v>
      </c>
      <c r="AR38" s="82">
        <f t="shared" si="58"/>
        <v>0</v>
      </c>
      <c r="AS38" s="82">
        <f t="shared" si="58"/>
        <v>0</v>
      </c>
      <c r="AT38" s="82">
        <f t="shared" si="58"/>
        <v>0</v>
      </c>
      <c r="AU38" s="82">
        <f t="shared" si="58"/>
        <v>0</v>
      </c>
      <c r="AV38" s="82">
        <f t="shared" si="58"/>
        <v>0</v>
      </c>
      <c r="AW38" s="82">
        <f t="shared" si="58"/>
        <v>0</v>
      </c>
      <c r="AX38" s="82">
        <f t="shared" si="58"/>
        <v>0</v>
      </c>
      <c r="AY38" s="82">
        <f t="shared" si="58"/>
        <v>0</v>
      </c>
      <c r="AZ38" s="82">
        <f t="shared" si="58"/>
        <v>0</v>
      </c>
      <c r="BA38" s="82">
        <f t="shared" si="58"/>
        <v>0</v>
      </c>
      <c r="BB38" s="82">
        <f t="shared" si="59"/>
        <v>0</v>
      </c>
      <c r="BC38" s="82">
        <f t="shared" si="59"/>
        <v>0</v>
      </c>
      <c r="BD38" s="82">
        <f t="shared" si="59"/>
        <v>0</v>
      </c>
      <c r="BE38" s="82">
        <f t="shared" si="59"/>
        <v>0</v>
      </c>
      <c r="BF38" s="82">
        <f t="shared" si="59"/>
        <v>0</v>
      </c>
      <c r="BG38" s="82">
        <f t="shared" si="59"/>
        <v>0</v>
      </c>
      <c r="BH38" s="82">
        <f t="shared" si="59"/>
        <v>0</v>
      </c>
      <c r="BI38" s="82">
        <f t="shared" si="59"/>
        <v>0</v>
      </c>
      <c r="BJ38" s="82">
        <f t="shared" si="59"/>
        <v>0</v>
      </c>
      <c r="BK38" s="83">
        <f t="shared" si="59"/>
        <v>0</v>
      </c>
      <c r="BM38" s="65">
        <f t="shared" si="33"/>
        <v>0</v>
      </c>
      <c r="BN38" s="66">
        <f t="shared" si="34"/>
        <v>0</v>
      </c>
      <c r="BO38" s="65">
        <f t="shared" si="11"/>
        <v>0</v>
      </c>
      <c r="BP38" s="66">
        <f t="shared" si="12"/>
        <v>0</v>
      </c>
      <c r="BQ38" s="192">
        <f t="shared" si="13"/>
        <v>0</v>
      </c>
      <c r="BR38" s="193">
        <f t="shared" si="14"/>
        <v>0</v>
      </c>
      <c r="BS38" s="192">
        <f t="shared" si="15"/>
        <v>0</v>
      </c>
      <c r="BT38" s="196">
        <f t="shared" si="16"/>
        <v>0</v>
      </c>
      <c r="BU38" s="18"/>
      <c r="BV38" s="27"/>
      <c r="BW38" s="21"/>
      <c r="BX38" s="21"/>
      <c r="BY38" s="21"/>
      <c r="BZ38" s="107">
        <f t="shared" si="35"/>
        <v>31</v>
      </c>
      <c r="CA38" s="108" t="str">
        <f t="shared" si="17"/>
        <v/>
      </c>
      <c r="CB38" s="87" t="str">
        <f t="shared" si="36"/>
        <v/>
      </c>
      <c r="CC38" s="88" t="str">
        <f t="shared" si="18"/>
        <v/>
      </c>
      <c r="CD38" s="88" t="str">
        <f t="shared" si="19"/>
        <v/>
      </c>
      <c r="CE38" s="89">
        <f t="shared" si="20"/>
        <v>0</v>
      </c>
      <c r="CF38" s="110">
        <f t="shared" si="37"/>
        <v>0</v>
      </c>
      <c r="CG38" s="111">
        <f t="shared" si="38"/>
        <v>0</v>
      </c>
      <c r="CH38" s="112">
        <f t="shared" si="39"/>
        <v>0</v>
      </c>
      <c r="CI38" s="113">
        <f t="shared" si="40"/>
        <v>2.0833333333333332E-2</v>
      </c>
      <c r="CJ38" s="114">
        <f t="shared" si="41"/>
        <v>0</v>
      </c>
      <c r="CK38" s="109">
        <f t="shared" si="42"/>
        <v>0</v>
      </c>
      <c r="CL38" s="110">
        <f t="shared" si="43"/>
        <v>0</v>
      </c>
      <c r="CM38" s="185">
        <f t="shared" si="44"/>
        <v>0</v>
      </c>
      <c r="CN38" s="185">
        <f t="shared" si="45"/>
        <v>0</v>
      </c>
      <c r="CO38" s="185">
        <f t="shared" si="46"/>
        <v>0</v>
      </c>
      <c r="CP38" s="185">
        <f t="shared" si="47"/>
        <v>0</v>
      </c>
      <c r="CQ38" s="111" t="str">
        <f t="shared" si="21"/>
        <v/>
      </c>
      <c r="CR38" s="112">
        <f t="shared" si="22"/>
        <v>0</v>
      </c>
      <c r="CS38" s="87">
        <f t="shared" si="23"/>
        <v>0</v>
      </c>
      <c r="CT38" s="87">
        <f t="shared" si="48"/>
        <v>0</v>
      </c>
      <c r="CU38" s="92">
        <f t="shared" si="24"/>
        <v>0</v>
      </c>
      <c r="CV38" s="326">
        <f t="shared" si="49"/>
        <v>0</v>
      </c>
      <c r="CW38" s="328">
        <f t="shared" si="25"/>
        <v>0</v>
      </c>
      <c r="CX38" s="330">
        <f t="shared" si="50"/>
        <v>0.11666666733336833</v>
      </c>
      <c r="CY38" s="115" t="str">
        <f t="shared" si="51"/>
        <v>+</v>
      </c>
      <c r="CZ38" s="116">
        <f t="shared" si="52"/>
        <v>0.11666666733336833</v>
      </c>
      <c r="DA38" s="117">
        <f t="shared" si="27"/>
        <v>0</v>
      </c>
      <c r="DB38" s="215">
        <f t="shared" si="28"/>
        <v>0</v>
      </c>
      <c r="DC38" s="58"/>
      <c r="DD38" s="18"/>
      <c r="DE38" s="18"/>
      <c r="DF38" s="18"/>
      <c r="DG38" s="18"/>
      <c r="DH38" s="18"/>
      <c r="DI38" s="18"/>
      <c r="DJ38" s="18"/>
      <c r="DK38" s="27"/>
      <c r="DL38" s="183">
        <v>36</v>
      </c>
      <c r="DM38" s="102" t="s">
        <v>61</v>
      </c>
      <c r="DN38" s="103">
        <v>0.33333333333333331</v>
      </c>
      <c r="DO38" s="172">
        <f t="shared" si="53"/>
        <v>0.16666666666666666</v>
      </c>
      <c r="DP38" s="104">
        <v>0</v>
      </c>
      <c r="DQ38" s="179" t="s">
        <v>177</v>
      </c>
      <c r="DR38" s="22"/>
    </row>
    <row r="39" spans="1:122" ht="17.25" thickTop="1" thickBot="1" x14ac:dyDescent="0.3">
      <c r="A39" s="118"/>
      <c r="I39" s="78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Z39" s="170">
        <f>november!Z38</f>
        <v>44531</v>
      </c>
      <c r="AA39" s="1" t="s">
        <v>160</v>
      </c>
      <c r="AF39" s="27" t="s">
        <v>120</v>
      </c>
      <c r="AG39" s="120">
        <f t="shared" ref="AG39:BJ39" si="60">ROUND((AG40-INT(AG40))*24+(INT(AG40)*24),0)</f>
        <v>0</v>
      </c>
      <c r="AH39" s="120">
        <f t="shared" si="60"/>
        <v>0</v>
      </c>
      <c r="AI39" s="120">
        <f t="shared" si="60"/>
        <v>0</v>
      </c>
      <c r="AJ39" s="120">
        <f t="shared" si="60"/>
        <v>0</v>
      </c>
      <c r="AK39" s="120">
        <f t="shared" si="60"/>
        <v>0</v>
      </c>
      <c r="AL39" s="120">
        <f t="shared" si="60"/>
        <v>0</v>
      </c>
      <c r="AM39" s="120">
        <f t="shared" si="60"/>
        <v>0</v>
      </c>
      <c r="AN39" s="120">
        <f t="shared" si="60"/>
        <v>0</v>
      </c>
      <c r="AO39" s="120">
        <f t="shared" si="60"/>
        <v>0</v>
      </c>
      <c r="AP39" s="120">
        <f t="shared" si="60"/>
        <v>0</v>
      </c>
      <c r="AQ39" s="120">
        <f t="shared" si="60"/>
        <v>0</v>
      </c>
      <c r="AR39" s="120">
        <f t="shared" si="60"/>
        <v>0</v>
      </c>
      <c r="AS39" s="120">
        <f t="shared" si="60"/>
        <v>0</v>
      </c>
      <c r="AT39" s="120">
        <f t="shared" si="60"/>
        <v>0</v>
      </c>
      <c r="AU39" s="120">
        <f t="shared" si="60"/>
        <v>0</v>
      </c>
      <c r="AV39" s="120">
        <f t="shared" si="60"/>
        <v>0</v>
      </c>
      <c r="AW39" s="120">
        <f t="shared" si="60"/>
        <v>0</v>
      </c>
      <c r="AX39" s="120">
        <f t="shared" si="60"/>
        <v>0</v>
      </c>
      <c r="AY39" s="120">
        <f t="shared" si="60"/>
        <v>0</v>
      </c>
      <c r="AZ39" s="120">
        <f t="shared" si="60"/>
        <v>0</v>
      </c>
      <c r="BA39" s="120">
        <f t="shared" si="60"/>
        <v>0</v>
      </c>
      <c r="BB39" s="120">
        <f t="shared" si="60"/>
        <v>0</v>
      </c>
      <c r="BC39" s="120">
        <f t="shared" si="60"/>
        <v>0</v>
      </c>
      <c r="BD39" s="120">
        <f t="shared" si="60"/>
        <v>0</v>
      </c>
      <c r="BE39" s="120">
        <f t="shared" si="60"/>
        <v>0</v>
      </c>
      <c r="BF39" s="120">
        <f t="shared" si="60"/>
        <v>0</v>
      </c>
      <c r="BG39" s="120">
        <f t="shared" si="60"/>
        <v>0</v>
      </c>
      <c r="BH39" s="120">
        <f t="shared" si="60"/>
        <v>0</v>
      </c>
      <c r="BI39" s="120">
        <f t="shared" si="60"/>
        <v>0</v>
      </c>
      <c r="BJ39" s="120">
        <f t="shared" si="60"/>
        <v>0</v>
      </c>
      <c r="BK39" s="22"/>
      <c r="BM39" s="121"/>
      <c r="BN39" s="122"/>
      <c r="BO39" s="121"/>
      <c r="BP39" s="122"/>
      <c r="BQ39" s="121"/>
      <c r="BR39" s="122"/>
      <c r="BS39" s="121"/>
      <c r="BT39" s="122"/>
      <c r="BV39" s="27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78"/>
      <c r="CR39" s="78"/>
      <c r="CS39" s="21"/>
      <c r="CT39" s="21"/>
      <c r="CU39" s="78"/>
      <c r="CV39" s="78"/>
      <c r="CW39" s="78"/>
      <c r="CX39" s="78"/>
      <c r="CY39" s="78"/>
      <c r="CZ39" s="78" t="s">
        <v>114</v>
      </c>
      <c r="DA39" s="216">
        <f>SUM(CS8:CS38)</f>
        <v>0</v>
      </c>
      <c r="DB39" s="21"/>
      <c r="DC39" s="20"/>
      <c r="DD39" s="18"/>
      <c r="DE39" s="18"/>
      <c r="DF39" s="18"/>
      <c r="DG39" s="18"/>
      <c r="DH39" s="18"/>
      <c r="DI39" s="18"/>
      <c r="DJ39" s="18"/>
      <c r="DK39" s="27"/>
      <c r="DL39" s="300">
        <v>37</v>
      </c>
      <c r="DM39" s="301" t="s">
        <v>46</v>
      </c>
      <c r="DN39" s="302">
        <f>IF(Arbeidsstelsel=4,0.33333333333,0.316666666666667)</f>
        <v>0.31666666666666698</v>
      </c>
      <c r="DO39" s="303">
        <f t="shared" si="53"/>
        <v>0.15833333333333349</v>
      </c>
      <c r="DP39" s="104">
        <v>0</v>
      </c>
      <c r="DQ39" s="179" t="s">
        <v>178</v>
      </c>
      <c r="DR39" s="22"/>
    </row>
    <row r="40" spans="1:122" ht="14.25" thickTop="1" thickBot="1" x14ac:dyDescent="0.25">
      <c r="C40" s="430" t="s">
        <v>300</v>
      </c>
      <c r="D40" s="431"/>
      <c r="E40" s="331">
        <v>45</v>
      </c>
      <c r="H40" s="18"/>
      <c r="I40" s="21"/>
      <c r="J40" s="156"/>
      <c r="K40" s="156"/>
      <c r="N40" s="454" t="s">
        <v>36</v>
      </c>
      <c r="O40" s="455"/>
      <c r="P40" s="456" t="s">
        <v>37</v>
      </c>
      <c r="Q40" s="457"/>
      <c r="R40" s="458" t="s">
        <v>151</v>
      </c>
      <c r="S40" s="459"/>
      <c r="T40" s="332"/>
      <c r="Z40" s="169">
        <f>COUNTBLANK(AA8:AA38)</f>
        <v>0</v>
      </c>
      <c r="AA40" s="1" t="s">
        <v>161</v>
      </c>
      <c r="AF40" s="27" t="s">
        <v>120</v>
      </c>
      <c r="AG40" s="127">
        <f t="shared" ref="AG40:BJ40" si="61">SUM(AH8:AH38)</f>
        <v>0</v>
      </c>
      <c r="AH40" s="127">
        <f t="shared" si="61"/>
        <v>0</v>
      </c>
      <c r="AI40" s="127">
        <f t="shared" si="61"/>
        <v>0</v>
      </c>
      <c r="AJ40" s="127">
        <f t="shared" si="61"/>
        <v>0</v>
      </c>
      <c r="AK40" s="127">
        <f t="shared" si="61"/>
        <v>0</v>
      </c>
      <c r="AL40" s="127">
        <f t="shared" si="61"/>
        <v>0</v>
      </c>
      <c r="AM40" s="127">
        <f t="shared" si="61"/>
        <v>0</v>
      </c>
      <c r="AN40" s="127">
        <f t="shared" si="61"/>
        <v>0</v>
      </c>
      <c r="AO40" s="127">
        <f t="shared" si="61"/>
        <v>0</v>
      </c>
      <c r="AP40" s="127">
        <f t="shared" si="61"/>
        <v>0</v>
      </c>
      <c r="AQ40" s="127">
        <f t="shared" si="61"/>
        <v>0</v>
      </c>
      <c r="AR40" s="127">
        <f t="shared" si="61"/>
        <v>0</v>
      </c>
      <c r="AS40" s="127">
        <f t="shared" si="61"/>
        <v>0</v>
      </c>
      <c r="AT40" s="127">
        <f t="shared" si="61"/>
        <v>0</v>
      </c>
      <c r="AU40" s="127">
        <f t="shared" si="61"/>
        <v>0</v>
      </c>
      <c r="AV40" s="127">
        <f t="shared" si="61"/>
        <v>0</v>
      </c>
      <c r="AW40" s="127">
        <f t="shared" si="61"/>
        <v>0</v>
      </c>
      <c r="AX40" s="127">
        <f t="shared" si="61"/>
        <v>0</v>
      </c>
      <c r="AY40" s="127">
        <f t="shared" si="61"/>
        <v>0</v>
      </c>
      <c r="AZ40" s="127">
        <f t="shared" si="61"/>
        <v>0</v>
      </c>
      <c r="BA40" s="127">
        <f t="shared" si="61"/>
        <v>0</v>
      </c>
      <c r="BB40" s="127">
        <f t="shared" si="61"/>
        <v>0</v>
      </c>
      <c r="BC40" s="127">
        <f t="shared" si="61"/>
        <v>0</v>
      </c>
      <c r="BD40" s="127">
        <f t="shared" si="61"/>
        <v>0</v>
      </c>
      <c r="BE40" s="127">
        <f t="shared" si="61"/>
        <v>0</v>
      </c>
      <c r="BF40" s="127">
        <f t="shared" si="61"/>
        <v>0</v>
      </c>
      <c r="BG40" s="127">
        <f t="shared" si="61"/>
        <v>0</v>
      </c>
      <c r="BH40" s="127">
        <f t="shared" si="61"/>
        <v>0</v>
      </c>
      <c r="BI40" s="127">
        <f t="shared" si="61"/>
        <v>0</v>
      </c>
      <c r="BJ40" s="127">
        <f t="shared" si="61"/>
        <v>0</v>
      </c>
      <c r="BK40" s="22"/>
      <c r="BM40" s="128">
        <f t="shared" ref="BM40:BT40" si="62">SUM(BM8:BM38)</f>
        <v>0</v>
      </c>
      <c r="BN40" s="129">
        <f t="shared" si="62"/>
        <v>0</v>
      </c>
      <c r="BO40" s="128">
        <f t="shared" si="62"/>
        <v>0</v>
      </c>
      <c r="BP40" s="129">
        <f t="shared" si="62"/>
        <v>0</v>
      </c>
      <c r="BQ40" s="128">
        <f t="shared" si="62"/>
        <v>0</v>
      </c>
      <c r="BR40" s="129">
        <f t="shared" si="62"/>
        <v>0</v>
      </c>
      <c r="BS40" s="128">
        <f t="shared" si="62"/>
        <v>0</v>
      </c>
      <c r="BT40" s="129">
        <f t="shared" si="62"/>
        <v>0</v>
      </c>
      <c r="BV40" s="27"/>
      <c r="BW40" s="21"/>
      <c r="BX40" s="21"/>
      <c r="BY40" s="21"/>
      <c r="BZ40" s="21"/>
      <c r="CA40" s="21"/>
      <c r="CB40" s="21"/>
      <c r="CC40" s="21"/>
      <c r="CD40" s="21"/>
      <c r="CE40" s="21"/>
      <c r="CF40" s="21"/>
      <c r="CG40" s="21"/>
      <c r="CH40" s="21"/>
      <c r="CI40" s="21"/>
      <c r="CJ40" s="21"/>
      <c r="CK40" s="21"/>
      <c r="CL40" s="21"/>
      <c r="CM40" s="21"/>
      <c r="CN40" s="21"/>
      <c r="CO40" s="21"/>
      <c r="CP40" s="21"/>
      <c r="CQ40" s="78"/>
      <c r="CR40" s="78"/>
      <c r="CS40" s="21"/>
      <c r="CT40" s="21"/>
      <c r="CU40" s="78"/>
      <c r="CV40" s="78"/>
      <c r="CW40" s="78"/>
      <c r="CX40" s="78"/>
      <c r="CY40" s="78"/>
      <c r="CZ40" s="78"/>
      <c r="DA40" s="216"/>
      <c r="DB40" s="21"/>
      <c r="DC40" s="20"/>
      <c r="DD40" s="21"/>
      <c r="DE40" s="21"/>
      <c r="DF40" s="21"/>
      <c r="DG40" s="21"/>
      <c r="DH40" s="21"/>
      <c r="DI40" s="21"/>
      <c r="DJ40" s="21"/>
      <c r="DK40" s="27"/>
      <c r="DL40" s="183">
        <v>38</v>
      </c>
      <c r="DM40" s="102" t="s">
        <v>208</v>
      </c>
      <c r="DN40" s="103">
        <v>0.31666666666666665</v>
      </c>
      <c r="DO40" s="172">
        <f>DN40/2</f>
        <v>0.15833333333333333</v>
      </c>
      <c r="DP40" s="104">
        <v>0</v>
      </c>
      <c r="DQ40" s="179" t="s">
        <v>209</v>
      </c>
      <c r="DR40" s="22"/>
    </row>
    <row r="41" spans="1:122" ht="13.5" customHeight="1" thickBot="1" x14ac:dyDescent="0.25">
      <c r="B41" s="286" t="s">
        <v>287</v>
      </c>
      <c r="C41" s="287" t="s">
        <v>284</v>
      </c>
      <c r="D41" s="288" t="s">
        <v>288</v>
      </c>
      <c r="H41" s="18"/>
      <c r="I41" s="21"/>
      <c r="J41" s="156"/>
      <c r="K41" s="156"/>
      <c r="N41" s="460">
        <f>BQ42</f>
        <v>0</v>
      </c>
      <c r="O41" s="461"/>
      <c r="P41" s="445">
        <f>N41+januari!N42+februari!N41+maart!N41+april!N41+mei!N41+juni!N41+juli!N41+augustus!N41+september!N41+oktober!N41+november!N41</f>
        <v>0</v>
      </c>
      <c r="Q41" s="462"/>
      <c r="R41" s="445">
        <f>januari!G54-P41</f>
        <v>13</v>
      </c>
      <c r="S41" s="420"/>
      <c r="T41" s="373" t="s">
        <v>291</v>
      </c>
      <c r="U41" s="157"/>
      <c r="Z41" s="159">
        <f>november!Z40</f>
        <v>1</v>
      </c>
      <c r="AA41" s="21" t="s">
        <v>162</v>
      </c>
      <c r="AF41" s="27" t="s">
        <v>122</v>
      </c>
      <c r="AG41" s="131" t="e">
        <f t="shared" ref="AG41:BJ41" si="63">AG40/$AG$44</f>
        <v>#DIV/0!</v>
      </c>
      <c r="AH41" s="131" t="e">
        <f t="shared" si="63"/>
        <v>#DIV/0!</v>
      </c>
      <c r="AI41" s="131" t="e">
        <f t="shared" si="63"/>
        <v>#DIV/0!</v>
      </c>
      <c r="AJ41" s="131" t="e">
        <f t="shared" si="63"/>
        <v>#DIV/0!</v>
      </c>
      <c r="AK41" s="131" t="e">
        <f t="shared" si="63"/>
        <v>#DIV/0!</v>
      </c>
      <c r="AL41" s="131" t="e">
        <f t="shared" si="63"/>
        <v>#DIV/0!</v>
      </c>
      <c r="AM41" s="131" t="e">
        <f t="shared" si="63"/>
        <v>#DIV/0!</v>
      </c>
      <c r="AN41" s="131" t="e">
        <f t="shared" si="63"/>
        <v>#DIV/0!</v>
      </c>
      <c r="AO41" s="131" t="e">
        <f t="shared" si="63"/>
        <v>#DIV/0!</v>
      </c>
      <c r="AP41" s="131" t="e">
        <f t="shared" si="63"/>
        <v>#DIV/0!</v>
      </c>
      <c r="AQ41" s="131" t="e">
        <f t="shared" si="63"/>
        <v>#DIV/0!</v>
      </c>
      <c r="AR41" s="131" t="e">
        <f t="shared" si="63"/>
        <v>#DIV/0!</v>
      </c>
      <c r="AS41" s="131" t="e">
        <f t="shared" si="63"/>
        <v>#DIV/0!</v>
      </c>
      <c r="AT41" s="131" t="e">
        <f t="shared" si="63"/>
        <v>#DIV/0!</v>
      </c>
      <c r="AU41" s="131" t="e">
        <f t="shared" si="63"/>
        <v>#DIV/0!</v>
      </c>
      <c r="AV41" s="131" t="e">
        <f t="shared" si="63"/>
        <v>#DIV/0!</v>
      </c>
      <c r="AW41" s="131" t="e">
        <f t="shared" si="63"/>
        <v>#DIV/0!</v>
      </c>
      <c r="AX41" s="131" t="e">
        <f t="shared" si="63"/>
        <v>#DIV/0!</v>
      </c>
      <c r="AY41" s="131" t="e">
        <f t="shared" si="63"/>
        <v>#DIV/0!</v>
      </c>
      <c r="AZ41" s="131" t="e">
        <f t="shared" si="63"/>
        <v>#DIV/0!</v>
      </c>
      <c r="BA41" s="131" t="e">
        <f t="shared" si="63"/>
        <v>#DIV/0!</v>
      </c>
      <c r="BB41" s="131" t="e">
        <f t="shared" si="63"/>
        <v>#DIV/0!</v>
      </c>
      <c r="BC41" s="131" t="e">
        <f t="shared" si="63"/>
        <v>#DIV/0!</v>
      </c>
      <c r="BD41" s="131" t="e">
        <f t="shared" si="63"/>
        <v>#DIV/0!</v>
      </c>
      <c r="BE41" s="131" t="e">
        <f t="shared" si="63"/>
        <v>#DIV/0!</v>
      </c>
      <c r="BF41" s="131" t="e">
        <f t="shared" si="63"/>
        <v>#DIV/0!</v>
      </c>
      <c r="BG41" s="131" t="e">
        <f t="shared" si="63"/>
        <v>#DIV/0!</v>
      </c>
      <c r="BH41" s="131" t="e">
        <f t="shared" si="63"/>
        <v>#DIV/0!</v>
      </c>
      <c r="BI41" s="131" t="e">
        <f t="shared" si="63"/>
        <v>#DIV/0!</v>
      </c>
      <c r="BJ41" s="131" t="e">
        <f t="shared" si="63"/>
        <v>#DIV/0!</v>
      </c>
      <c r="BK41" s="22"/>
      <c r="BM41" s="132"/>
      <c r="BN41" s="133"/>
      <c r="BO41" s="132"/>
      <c r="BP41" s="133"/>
      <c r="BQ41" s="132"/>
      <c r="BR41" s="133"/>
      <c r="BS41" s="132"/>
      <c r="BT41" s="133"/>
      <c r="BV41" s="27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 t="s">
        <v>115</v>
      </c>
      <c r="DA41" s="217">
        <f>ROUND((DA39-INT(DA39))*24+(INT(DA39)*24),0)</f>
        <v>0</v>
      </c>
      <c r="DB41" s="21"/>
      <c r="DC41" s="22"/>
      <c r="DD41" s="21"/>
      <c r="DE41" s="21"/>
      <c r="DF41" s="21"/>
      <c r="DG41" s="21"/>
      <c r="DH41" s="21"/>
      <c r="DI41" s="21"/>
      <c r="DJ41" s="21"/>
      <c r="DK41" s="27"/>
      <c r="DL41" s="183">
        <v>39</v>
      </c>
      <c r="DM41" s="102" t="s">
        <v>47</v>
      </c>
      <c r="DN41" s="103">
        <v>0.16666666666666666</v>
      </c>
      <c r="DO41" s="172">
        <v>0.16666666666666666</v>
      </c>
      <c r="DP41" s="104">
        <v>0</v>
      </c>
      <c r="DQ41" s="179" t="s">
        <v>210</v>
      </c>
      <c r="DR41" s="22"/>
    </row>
    <row r="42" spans="1:122" ht="13.5" customHeight="1" x14ac:dyDescent="0.2">
      <c r="B42" s="289">
        <v>2</v>
      </c>
      <c r="C42" s="290" t="s">
        <v>279</v>
      </c>
      <c r="D42" s="296">
        <v>0</v>
      </c>
      <c r="H42" s="18"/>
      <c r="I42" s="21"/>
      <c r="J42" s="21"/>
      <c r="K42" s="21"/>
      <c r="N42" s="460">
        <f>BM42</f>
        <v>0</v>
      </c>
      <c r="O42" s="417"/>
      <c r="P42" s="445">
        <f>N42+januari!N43+februari!N42+maart!N42+april!N42+mei!N42+juni!N42+juli!N42+augustus!N42+september!N42+oktober!N42+november!N42</f>
        <v>0</v>
      </c>
      <c r="Q42" s="462"/>
      <c r="R42" s="445">
        <f>januari!G49-P42</f>
        <v>29</v>
      </c>
      <c r="S42" s="420"/>
      <c r="T42" s="374" t="s">
        <v>292</v>
      </c>
      <c r="U42" s="157"/>
      <c r="AF42" s="27" t="s">
        <v>123</v>
      </c>
      <c r="AG42" s="127" t="e">
        <f t="shared" ref="AG42:BJ42" si="64">INT((AG40/$AG$44)*100)</f>
        <v>#DIV/0!</v>
      </c>
      <c r="AH42" s="127" t="e">
        <f t="shared" si="64"/>
        <v>#DIV/0!</v>
      </c>
      <c r="AI42" s="127" t="e">
        <f t="shared" si="64"/>
        <v>#DIV/0!</v>
      </c>
      <c r="AJ42" s="127" t="e">
        <f t="shared" si="64"/>
        <v>#DIV/0!</v>
      </c>
      <c r="AK42" s="127" t="e">
        <f t="shared" si="64"/>
        <v>#DIV/0!</v>
      </c>
      <c r="AL42" s="127" t="e">
        <f t="shared" si="64"/>
        <v>#DIV/0!</v>
      </c>
      <c r="AM42" s="127" t="e">
        <f t="shared" si="64"/>
        <v>#DIV/0!</v>
      </c>
      <c r="AN42" s="127" t="e">
        <f t="shared" si="64"/>
        <v>#DIV/0!</v>
      </c>
      <c r="AO42" s="127" t="e">
        <f t="shared" si="64"/>
        <v>#DIV/0!</v>
      </c>
      <c r="AP42" s="127" t="e">
        <f t="shared" si="64"/>
        <v>#DIV/0!</v>
      </c>
      <c r="AQ42" s="127" t="e">
        <f t="shared" si="64"/>
        <v>#DIV/0!</v>
      </c>
      <c r="AR42" s="127" t="e">
        <f t="shared" si="64"/>
        <v>#DIV/0!</v>
      </c>
      <c r="AS42" s="127" t="e">
        <f t="shared" si="64"/>
        <v>#DIV/0!</v>
      </c>
      <c r="AT42" s="127" t="e">
        <f t="shared" si="64"/>
        <v>#DIV/0!</v>
      </c>
      <c r="AU42" s="127" t="e">
        <f t="shared" si="64"/>
        <v>#DIV/0!</v>
      </c>
      <c r="AV42" s="127" t="e">
        <f t="shared" si="64"/>
        <v>#DIV/0!</v>
      </c>
      <c r="AW42" s="127" t="e">
        <f t="shared" si="64"/>
        <v>#DIV/0!</v>
      </c>
      <c r="AX42" s="127" t="e">
        <f t="shared" si="64"/>
        <v>#DIV/0!</v>
      </c>
      <c r="AY42" s="127" t="e">
        <f t="shared" si="64"/>
        <v>#DIV/0!</v>
      </c>
      <c r="AZ42" s="127" t="e">
        <f t="shared" si="64"/>
        <v>#DIV/0!</v>
      </c>
      <c r="BA42" s="127" t="e">
        <f t="shared" si="64"/>
        <v>#DIV/0!</v>
      </c>
      <c r="BB42" s="127" t="e">
        <f t="shared" si="64"/>
        <v>#DIV/0!</v>
      </c>
      <c r="BC42" s="127" t="e">
        <f t="shared" si="64"/>
        <v>#DIV/0!</v>
      </c>
      <c r="BD42" s="127" t="e">
        <f t="shared" si="64"/>
        <v>#DIV/0!</v>
      </c>
      <c r="BE42" s="127" t="e">
        <f t="shared" si="64"/>
        <v>#DIV/0!</v>
      </c>
      <c r="BF42" s="127" t="e">
        <f t="shared" si="64"/>
        <v>#DIV/0!</v>
      </c>
      <c r="BG42" s="127" t="e">
        <f t="shared" si="64"/>
        <v>#DIV/0!</v>
      </c>
      <c r="BH42" s="127" t="e">
        <f t="shared" si="64"/>
        <v>#DIV/0!</v>
      </c>
      <c r="BI42" s="127" t="e">
        <f t="shared" si="64"/>
        <v>#DIV/0!</v>
      </c>
      <c r="BJ42" s="127" t="e">
        <f t="shared" si="64"/>
        <v>#DIV/0!</v>
      </c>
      <c r="BK42" s="22"/>
      <c r="BM42" s="128">
        <f>BM40+BN40</f>
        <v>0</v>
      </c>
      <c r="BN42" s="101"/>
      <c r="BO42" s="128">
        <f>BO40+BP40</f>
        <v>0</v>
      </c>
      <c r="BP42" s="101"/>
      <c r="BQ42" s="128">
        <f>BQ40+BR40</f>
        <v>0</v>
      </c>
      <c r="BR42" s="101"/>
      <c r="BS42" s="128">
        <f>BS40+BT40</f>
        <v>0</v>
      </c>
      <c r="BT42" s="101"/>
      <c r="BV42" s="27"/>
      <c r="BW42" s="21"/>
      <c r="BX42" s="21"/>
      <c r="BY42" s="21"/>
      <c r="BZ42" s="21"/>
      <c r="CA42" s="21"/>
      <c r="CB42" s="21"/>
      <c r="CC42" s="21"/>
      <c r="CD42" s="21"/>
      <c r="CE42" s="21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21"/>
      <c r="CU42" s="21"/>
      <c r="CV42" s="21"/>
      <c r="CW42" s="21"/>
      <c r="CX42" s="21"/>
      <c r="CY42" s="21" t="s">
        <v>125</v>
      </c>
      <c r="CZ42" s="21"/>
      <c r="DA42" s="218">
        <f>DA39-AG44</f>
        <v>0</v>
      </c>
      <c r="DB42" s="21"/>
      <c r="DC42" s="22"/>
      <c r="DD42" s="21"/>
      <c r="DE42" s="21"/>
      <c r="DF42" s="21"/>
      <c r="DG42" s="21"/>
      <c r="DH42" s="21"/>
      <c r="DI42" s="21"/>
      <c r="DJ42" s="21"/>
      <c r="DK42" s="27"/>
      <c r="DL42" s="183">
        <v>40</v>
      </c>
      <c r="DM42" s="102" t="s">
        <v>211</v>
      </c>
      <c r="DN42" s="103">
        <v>0.31666666666666665</v>
      </c>
      <c r="DO42" s="172">
        <f>DN42/2</f>
        <v>0.15833333333333333</v>
      </c>
      <c r="DP42" s="104">
        <v>0</v>
      </c>
      <c r="DQ42" s="179" t="s">
        <v>212</v>
      </c>
      <c r="DR42" s="22"/>
    </row>
    <row r="43" spans="1:122" ht="13.5" customHeight="1" thickBot="1" x14ac:dyDescent="0.25">
      <c r="B43" s="291">
        <v>3</v>
      </c>
      <c r="C43" s="292" t="s">
        <v>280</v>
      </c>
      <c r="D43" s="297">
        <v>0</v>
      </c>
      <c r="H43" s="18"/>
      <c r="I43" s="21"/>
      <c r="J43" s="21"/>
      <c r="K43" s="21"/>
      <c r="N43" s="460">
        <f>BO42</f>
        <v>0</v>
      </c>
      <c r="O43" s="461"/>
      <c r="P43" s="445">
        <f>N43+januari!N44+februari!N43+maart!N43+april!N43+mei!N43+juni!N43+juli!N43+augustus!N43+september!N43+oktober!N43+november!N43</f>
        <v>0</v>
      </c>
      <c r="Q43" s="462"/>
      <c r="R43" s="445">
        <f>januari!G51-P43</f>
        <v>18</v>
      </c>
      <c r="S43" s="420"/>
      <c r="T43" s="374" t="s">
        <v>293</v>
      </c>
      <c r="U43" s="157"/>
      <c r="AF43" s="27" t="s">
        <v>124</v>
      </c>
      <c r="AG43" s="131" t="e">
        <f>(SUM(AG42:BJ42))/100</f>
        <v>#DIV/0!</v>
      </c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2"/>
      <c r="BM43" s="138"/>
      <c r="BN43" s="139"/>
      <c r="BO43" s="138"/>
      <c r="BP43" s="139"/>
      <c r="BQ43" s="138"/>
      <c r="BR43" s="139"/>
      <c r="BS43" s="138"/>
      <c r="BT43" s="139"/>
      <c r="BV43" s="135"/>
      <c r="BW43" s="9"/>
      <c r="BX43" s="9"/>
      <c r="BY43" s="9"/>
      <c r="BZ43" s="9"/>
      <c r="CA43" s="9"/>
      <c r="CB43" s="9"/>
      <c r="CC43" s="9"/>
      <c r="CD43" s="9"/>
      <c r="CE43" s="9"/>
      <c r="CF43" s="136"/>
      <c r="CG43" s="136"/>
      <c r="CH43" s="136"/>
      <c r="CI43" s="136"/>
      <c r="CJ43" s="136"/>
      <c r="CK43" s="136"/>
      <c r="CL43" s="136"/>
      <c r="CM43" s="136"/>
      <c r="CN43" s="136"/>
      <c r="CO43" s="136"/>
      <c r="CP43" s="136"/>
      <c r="CQ43" s="136"/>
      <c r="CR43" s="136"/>
      <c r="CS43" s="136"/>
      <c r="CT43" s="9"/>
      <c r="CU43" s="9"/>
      <c r="CV43" s="9"/>
      <c r="CW43" s="9"/>
      <c r="CX43" s="9"/>
      <c r="CY43" s="9"/>
      <c r="CZ43" s="9"/>
      <c r="DA43" s="9"/>
      <c r="DB43" s="9"/>
      <c r="DC43" s="137"/>
      <c r="DD43" s="134"/>
      <c r="DE43" s="134"/>
      <c r="DF43" s="134"/>
      <c r="DG43" s="134"/>
      <c r="DH43" s="134"/>
      <c r="DI43" s="134"/>
      <c r="DJ43" s="134"/>
      <c r="DK43" s="27"/>
      <c r="DL43" s="183">
        <v>41</v>
      </c>
      <c r="DM43" s="102" t="s">
        <v>68</v>
      </c>
      <c r="DN43" s="103">
        <v>0.33333333333333331</v>
      </c>
      <c r="DO43" s="172">
        <f t="shared" ref="DO43:DO70" si="65">DN43/2</f>
        <v>0.16666666666666666</v>
      </c>
      <c r="DP43" s="104">
        <v>1</v>
      </c>
      <c r="DQ43" s="179" t="s">
        <v>179</v>
      </c>
      <c r="DR43" s="22"/>
    </row>
    <row r="44" spans="1:122" ht="13.5" customHeight="1" thickBot="1" x14ac:dyDescent="0.25">
      <c r="B44" s="291">
        <v>4</v>
      </c>
      <c r="C44" s="293" t="s">
        <v>281</v>
      </c>
      <c r="D44" s="297">
        <v>0</v>
      </c>
      <c r="F44" s="152"/>
      <c r="I44" s="21"/>
      <c r="J44" s="21"/>
      <c r="K44" s="21"/>
      <c r="N44" s="450">
        <f>BS42</f>
        <v>0</v>
      </c>
      <c r="O44" s="451"/>
      <c r="P44" s="452">
        <f>N44+januari!N45+februari!N44+maart!N44+april!N44+mei!N44+juni!N44+juli!N44+augustus!N44+september!N44+oktober!N44+november!N44</f>
        <v>0</v>
      </c>
      <c r="Q44" s="453"/>
      <c r="R44" s="452">
        <f>januari!G53-P44</f>
        <v>1</v>
      </c>
      <c r="S44" s="408"/>
      <c r="T44" s="375" t="s">
        <v>294</v>
      </c>
      <c r="U44" s="157"/>
      <c r="V44" s="371"/>
      <c r="AF44" s="27" t="s">
        <v>121</v>
      </c>
      <c r="AG44" s="127">
        <f>SUM(AG40:BJ40)</f>
        <v>0</v>
      </c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2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27"/>
      <c r="DL44" s="300">
        <v>43</v>
      </c>
      <c r="DM44" s="301" t="s">
        <v>64</v>
      </c>
      <c r="DN44" s="302">
        <f>IF(Arbeidsstelsel=4,0.33333333333,0.316666666666667)</f>
        <v>0.31666666666666698</v>
      </c>
      <c r="DO44" s="303">
        <f t="shared" si="65"/>
        <v>0.15833333333333349</v>
      </c>
      <c r="DP44" s="104">
        <v>0</v>
      </c>
      <c r="DQ44" s="179" t="s">
        <v>213</v>
      </c>
      <c r="DR44" s="22"/>
    </row>
    <row r="45" spans="1:122" ht="13.5" customHeight="1" thickTop="1" thickBot="1" x14ac:dyDescent="0.3">
      <c r="B45" s="291">
        <v>5</v>
      </c>
      <c r="C45" s="292" t="s">
        <v>282</v>
      </c>
      <c r="D45" s="297">
        <v>0</v>
      </c>
      <c r="N45" s="371"/>
      <c r="O45" s="376"/>
      <c r="P45" s="376"/>
      <c r="Q45" s="371"/>
      <c r="R45" s="371"/>
      <c r="S45" s="371"/>
      <c r="T45" s="372"/>
      <c r="AF45" s="27" t="s">
        <v>121</v>
      </c>
      <c r="AG45" s="120">
        <f>ROUND((AG44-INT(AG44))*24+(INT(AG44)*24),0)</f>
        <v>0</v>
      </c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2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DB45" s="1"/>
      <c r="DC45" s="1"/>
      <c r="DD45" s="1"/>
      <c r="DE45" s="1"/>
      <c r="DF45" s="1"/>
      <c r="DG45" s="1"/>
      <c r="DH45" s="1"/>
      <c r="DI45" s="1"/>
      <c r="DJ45" s="1"/>
      <c r="DK45" s="27"/>
      <c r="DL45" s="183">
        <v>44</v>
      </c>
      <c r="DM45" s="102" t="s">
        <v>53</v>
      </c>
      <c r="DN45" s="103">
        <v>0.31666666666666665</v>
      </c>
      <c r="DO45" s="172">
        <f t="shared" si="65"/>
        <v>0.15833333333333333</v>
      </c>
      <c r="DP45" s="104">
        <v>0</v>
      </c>
      <c r="DQ45" s="179" t="s">
        <v>180</v>
      </c>
      <c r="DR45" s="22"/>
    </row>
    <row r="46" spans="1:122" ht="13.5" customHeight="1" thickTop="1" thickBot="1" x14ac:dyDescent="0.25">
      <c r="B46" s="294">
        <v>6</v>
      </c>
      <c r="C46" s="295" t="s">
        <v>283</v>
      </c>
      <c r="D46" s="298">
        <v>0</v>
      </c>
      <c r="T46" s="126"/>
      <c r="AF46" s="135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137"/>
      <c r="CH46" s="141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DB46" s="1"/>
      <c r="DC46" s="1"/>
      <c r="DD46" s="1"/>
      <c r="DE46" s="1"/>
      <c r="DF46" s="1"/>
      <c r="DG46" s="1"/>
      <c r="DH46" s="1"/>
      <c r="DI46" s="1"/>
      <c r="DJ46" s="1"/>
      <c r="DK46" s="27"/>
      <c r="DL46" s="300">
        <v>45</v>
      </c>
      <c r="DM46" s="301" t="s">
        <v>55</v>
      </c>
      <c r="DN46" s="302">
        <f>IF(Arbeidsstelsel=4,0.33333333333,0.316666666666667)</f>
        <v>0.31666666666666698</v>
      </c>
      <c r="DO46" s="303">
        <f t="shared" si="65"/>
        <v>0.15833333333333349</v>
      </c>
      <c r="DP46" s="104">
        <v>0</v>
      </c>
      <c r="DQ46" s="179" t="s">
        <v>214</v>
      </c>
      <c r="DR46" s="22"/>
    </row>
    <row r="47" spans="1:122" ht="13.5" customHeight="1" x14ac:dyDescent="0.2">
      <c r="T47" s="126"/>
      <c r="AF47" s="124"/>
      <c r="AG47" s="142">
        <f t="shared" ref="AG47:BJ47" si="66">AG40*24</f>
        <v>0</v>
      </c>
      <c r="AH47" s="142">
        <f t="shared" si="66"/>
        <v>0</v>
      </c>
      <c r="AI47" s="142">
        <f t="shared" si="66"/>
        <v>0</v>
      </c>
      <c r="AJ47" s="142">
        <f t="shared" si="66"/>
        <v>0</v>
      </c>
      <c r="AK47" s="142">
        <f t="shared" si="66"/>
        <v>0</v>
      </c>
      <c r="AL47" s="142">
        <f t="shared" si="66"/>
        <v>0</v>
      </c>
      <c r="AM47" s="142">
        <f t="shared" si="66"/>
        <v>0</v>
      </c>
      <c r="AN47" s="142">
        <f t="shared" si="66"/>
        <v>0</v>
      </c>
      <c r="AO47" s="142">
        <f t="shared" si="66"/>
        <v>0</v>
      </c>
      <c r="AP47" s="142">
        <f t="shared" si="66"/>
        <v>0</v>
      </c>
      <c r="AQ47" s="142">
        <f t="shared" si="66"/>
        <v>0</v>
      </c>
      <c r="AR47" s="142">
        <f t="shared" si="66"/>
        <v>0</v>
      </c>
      <c r="AS47" s="142">
        <f t="shared" si="66"/>
        <v>0</v>
      </c>
      <c r="AT47" s="142">
        <f t="shared" si="66"/>
        <v>0</v>
      </c>
      <c r="AU47" s="142">
        <f t="shared" si="66"/>
        <v>0</v>
      </c>
      <c r="AV47" s="142">
        <f t="shared" si="66"/>
        <v>0</v>
      </c>
      <c r="AW47" s="142">
        <f t="shared" si="66"/>
        <v>0</v>
      </c>
      <c r="AX47" s="142">
        <f t="shared" si="66"/>
        <v>0</v>
      </c>
      <c r="AY47" s="142">
        <f t="shared" si="66"/>
        <v>0</v>
      </c>
      <c r="AZ47" s="142">
        <f t="shared" si="66"/>
        <v>0</v>
      </c>
      <c r="BA47" s="142">
        <f t="shared" si="66"/>
        <v>0</v>
      </c>
      <c r="BB47" s="142">
        <f t="shared" si="66"/>
        <v>0</v>
      </c>
      <c r="BC47" s="142">
        <f t="shared" si="66"/>
        <v>0</v>
      </c>
      <c r="BD47" s="142">
        <f t="shared" si="66"/>
        <v>0</v>
      </c>
      <c r="BE47" s="142">
        <f t="shared" si="66"/>
        <v>0</v>
      </c>
      <c r="BF47" s="142">
        <f t="shared" si="66"/>
        <v>0</v>
      </c>
      <c r="BG47" s="142">
        <f t="shared" si="66"/>
        <v>0</v>
      </c>
      <c r="BH47" s="142">
        <f t="shared" si="66"/>
        <v>0</v>
      </c>
      <c r="BI47" s="142">
        <f t="shared" si="66"/>
        <v>0</v>
      </c>
      <c r="BJ47" s="142">
        <f t="shared" si="66"/>
        <v>0</v>
      </c>
      <c r="BK47" s="15"/>
      <c r="CH47" s="143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DB47" s="1"/>
      <c r="DC47" s="1"/>
      <c r="DD47" s="1"/>
      <c r="DE47" s="1"/>
      <c r="DF47" s="1"/>
      <c r="DG47" s="1"/>
      <c r="DH47" s="1"/>
      <c r="DI47" s="1"/>
      <c r="DJ47" s="1"/>
      <c r="DK47" s="27"/>
      <c r="DL47" s="300">
        <v>46</v>
      </c>
      <c r="DM47" s="301" t="s">
        <v>57</v>
      </c>
      <c r="DN47" s="302">
        <f>IF(Arbeidsstelsel=4,0.33333333333,0.316666666666667)</f>
        <v>0.31666666666666698</v>
      </c>
      <c r="DO47" s="303">
        <f t="shared" si="65"/>
        <v>0.15833333333333349</v>
      </c>
      <c r="DP47" s="104">
        <v>0</v>
      </c>
      <c r="DQ47" s="179" t="s">
        <v>215</v>
      </c>
      <c r="DR47" s="22"/>
    </row>
    <row r="48" spans="1:122" ht="13.5" customHeight="1" x14ac:dyDescent="0.2">
      <c r="T48" s="126"/>
      <c r="AF48" s="27"/>
      <c r="AG48" s="82">
        <f>AG44*24</f>
        <v>0</v>
      </c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2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DB48" s="1"/>
      <c r="DC48" s="1"/>
      <c r="DD48" s="1"/>
      <c r="DE48" s="1"/>
      <c r="DF48" s="1"/>
      <c r="DG48" s="1"/>
      <c r="DH48" s="1"/>
      <c r="DI48" s="1"/>
      <c r="DJ48" s="1"/>
      <c r="DK48" s="27"/>
      <c r="DL48" s="300">
        <v>47</v>
      </c>
      <c r="DM48" s="301" t="s">
        <v>60</v>
      </c>
      <c r="DN48" s="302">
        <f>IF(Arbeidsstelsel=4,0.33333333333,0.316666666666667)</f>
        <v>0.31666666666666698</v>
      </c>
      <c r="DO48" s="303">
        <f t="shared" si="65"/>
        <v>0.15833333333333349</v>
      </c>
      <c r="DP48" s="104">
        <v>0</v>
      </c>
      <c r="DQ48" s="179" t="s">
        <v>216</v>
      </c>
      <c r="DR48" s="22"/>
    </row>
    <row r="49" spans="5:122" ht="13.5" customHeight="1" x14ac:dyDescent="0.2">
      <c r="E49" s="367"/>
      <c r="F49" s="367"/>
      <c r="G49" s="367"/>
      <c r="T49" s="126"/>
      <c r="AF49" s="27"/>
      <c r="AG49" s="144" t="e">
        <f t="shared" ref="AG49:BJ49" si="67">AG47/$AG$48</f>
        <v>#DIV/0!</v>
      </c>
      <c r="AH49" s="144" t="e">
        <f t="shared" si="67"/>
        <v>#DIV/0!</v>
      </c>
      <c r="AI49" s="144" t="e">
        <f t="shared" si="67"/>
        <v>#DIV/0!</v>
      </c>
      <c r="AJ49" s="144" t="e">
        <f t="shared" si="67"/>
        <v>#DIV/0!</v>
      </c>
      <c r="AK49" s="144" t="e">
        <f t="shared" si="67"/>
        <v>#DIV/0!</v>
      </c>
      <c r="AL49" s="144" t="e">
        <f t="shared" si="67"/>
        <v>#DIV/0!</v>
      </c>
      <c r="AM49" s="144" t="e">
        <f t="shared" si="67"/>
        <v>#DIV/0!</v>
      </c>
      <c r="AN49" s="144" t="e">
        <f t="shared" si="67"/>
        <v>#DIV/0!</v>
      </c>
      <c r="AO49" s="144" t="e">
        <f t="shared" si="67"/>
        <v>#DIV/0!</v>
      </c>
      <c r="AP49" s="144" t="e">
        <f t="shared" si="67"/>
        <v>#DIV/0!</v>
      </c>
      <c r="AQ49" s="144" t="e">
        <f t="shared" si="67"/>
        <v>#DIV/0!</v>
      </c>
      <c r="AR49" s="144" t="e">
        <f t="shared" si="67"/>
        <v>#DIV/0!</v>
      </c>
      <c r="AS49" s="144" t="e">
        <f t="shared" si="67"/>
        <v>#DIV/0!</v>
      </c>
      <c r="AT49" s="144" t="e">
        <f t="shared" si="67"/>
        <v>#DIV/0!</v>
      </c>
      <c r="AU49" s="144" t="e">
        <f t="shared" si="67"/>
        <v>#DIV/0!</v>
      </c>
      <c r="AV49" s="144" t="e">
        <f t="shared" si="67"/>
        <v>#DIV/0!</v>
      </c>
      <c r="AW49" s="144" t="e">
        <f t="shared" si="67"/>
        <v>#DIV/0!</v>
      </c>
      <c r="AX49" s="144" t="e">
        <f t="shared" si="67"/>
        <v>#DIV/0!</v>
      </c>
      <c r="AY49" s="144" t="e">
        <f t="shared" si="67"/>
        <v>#DIV/0!</v>
      </c>
      <c r="AZ49" s="144" t="e">
        <f t="shared" si="67"/>
        <v>#DIV/0!</v>
      </c>
      <c r="BA49" s="144" t="e">
        <f t="shared" si="67"/>
        <v>#DIV/0!</v>
      </c>
      <c r="BB49" s="144" t="e">
        <f t="shared" si="67"/>
        <v>#DIV/0!</v>
      </c>
      <c r="BC49" s="144" t="e">
        <f t="shared" si="67"/>
        <v>#DIV/0!</v>
      </c>
      <c r="BD49" s="144" t="e">
        <f t="shared" si="67"/>
        <v>#DIV/0!</v>
      </c>
      <c r="BE49" s="144" t="e">
        <f t="shared" si="67"/>
        <v>#DIV/0!</v>
      </c>
      <c r="BF49" s="144" t="e">
        <f t="shared" si="67"/>
        <v>#DIV/0!</v>
      </c>
      <c r="BG49" s="144" t="e">
        <f t="shared" si="67"/>
        <v>#DIV/0!</v>
      </c>
      <c r="BH49" s="144" t="e">
        <f t="shared" si="67"/>
        <v>#DIV/0!</v>
      </c>
      <c r="BI49" s="144" t="e">
        <f t="shared" si="67"/>
        <v>#DIV/0!</v>
      </c>
      <c r="BJ49" s="144" t="e">
        <f t="shared" si="67"/>
        <v>#DIV/0!</v>
      </c>
      <c r="BK49" s="22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DB49" s="1"/>
      <c r="DC49" s="1"/>
      <c r="DD49" s="1"/>
      <c r="DE49" s="1"/>
      <c r="DF49" s="1"/>
      <c r="DG49" s="1"/>
      <c r="DH49" s="1"/>
      <c r="DI49" s="1"/>
      <c r="DJ49" s="1"/>
      <c r="DK49" s="27"/>
      <c r="DL49" s="183">
        <v>48</v>
      </c>
      <c r="DM49" s="102" t="s">
        <v>56</v>
      </c>
      <c r="DN49" s="103">
        <v>0.16666666666666666</v>
      </c>
      <c r="DO49" s="172">
        <f t="shared" si="65"/>
        <v>8.3333333333333329E-2</v>
      </c>
      <c r="DP49" s="104">
        <v>0</v>
      </c>
      <c r="DQ49" s="179" t="s">
        <v>218</v>
      </c>
      <c r="DR49" s="22"/>
    </row>
    <row r="50" spans="5:122" ht="13.5" customHeight="1" x14ac:dyDescent="0.2">
      <c r="E50" s="367"/>
      <c r="F50" s="367"/>
      <c r="G50" s="367"/>
      <c r="T50" s="126"/>
      <c r="AF50" s="27"/>
      <c r="AG50" s="145" t="e">
        <f>(SUM(AG40:BJ40))/$AG$44</f>
        <v>#DIV/0!</v>
      </c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  <c r="BJ50" s="21"/>
      <c r="BK50" s="22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DB50" s="1"/>
      <c r="DC50" s="1"/>
      <c r="DD50" s="1"/>
      <c r="DE50" s="1"/>
      <c r="DF50" s="1"/>
      <c r="DG50" s="1"/>
      <c r="DH50" s="1"/>
      <c r="DI50" s="1"/>
      <c r="DJ50" s="1"/>
      <c r="DK50" s="27"/>
      <c r="DL50" s="183">
        <v>49</v>
      </c>
      <c r="DM50" s="102" t="s">
        <v>219</v>
      </c>
      <c r="DN50" s="103">
        <v>0</v>
      </c>
      <c r="DO50" s="172">
        <f t="shared" si="65"/>
        <v>0</v>
      </c>
      <c r="DP50" s="104">
        <v>0</v>
      </c>
      <c r="DQ50" s="179" t="s">
        <v>217</v>
      </c>
      <c r="DR50" s="22"/>
    </row>
    <row r="51" spans="5:122" ht="13.5" customHeight="1" x14ac:dyDescent="0.2">
      <c r="E51" s="367"/>
      <c r="F51" s="367"/>
      <c r="G51" s="367"/>
      <c r="T51" s="126"/>
      <c r="AF51" s="27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2"/>
      <c r="DB51" s="1"/>
      <c r="DC51" s="1"/>
      <c r="DD51" s="1"/>
      <c r="DE51" s="1"/>
      <c r="DF51" s="1"/>
      <c r="DG51" s="1"/>
      <c r="DH51" s="1"/>
      <c r="DI51" s="1"/>
      <c r="DJ51" s="1"/>
      <c r="DK51" s="27"/>
      <c r="DL51" s="300">
        <v>50</v>
      </c>
      <c r="DM51" s="301" t="s">
        <v>220</v>
      </c>
      <c r="DN51" s="302">
        <f>IF(Arbeidsstelsel=4,0.33333333333,0.316666666666667)</f>
        <v>0.31666666666666698</v>
      </c>
      <c r="DO51" s="303">
        <f t="shared" si="65"/>
        <v>0.15833333333333349</v>
      </c>
      <c r="DP51" s="104">
        <v>0</v>
      </c>
      <c r="DQ51" s="179" t="s">
        <v>221</v>
      </c>
      <c r="DR51" s="22"/>
    </row>
    <row r="52" spans="5:122" ht="13.5" customHeight="1" thickBot="1" x14ac:dyDescent="0.25">
      <c r="E52" s="367"/>
      <c r="F52" s="367"/>
      <c r="G52" s="367"/>
      <c r="T52" s="126"/>
      <c r="AF52" s="135"/>
      <c r="AG52" s="146">
        <f t="shared" ref="AG52:BJ52" si="68">AG40</f>
        <v>0</v>
      </c>
      <c r="AH52" s="146">
        <f t="shared" si="68"/>
        <v>0</v>
      </c>
      <c r="AI52" s="146">
        <f t="shared" si="68"/>
        <v>0</v>
      </c>
      <c r="AJ52" s="146">
        <f t="shared" si="68"/>
        <v>0</v>
      </c>
      <c r="AK52" s="146">
        <f t="shared" si="68"/>
        <v>0</v>
      </c>
      <c r="AL52" s="146">
        <f t="shared" si="68"/>
        <v>0</v>
      </c>
      <c r="AM52" s="146">
        <f t="shared" si="68"/>
        <v>0</v>
      </c>
      <c r="AN52" s="146">
        <f t="shared" si="68"/>
        <v>0</v>
      </c>
      <c r="AO52" s="146">
        <f t="shared" si="68"/>
        <v>0</v>
      </c>
      <c r="AP52" s="146">
        <f t="shared" si="68"/>
        <v>0</v>
      </c>
      <c r="AQ52" s="146">
        <f t="shared" si="68"/>
        <v>0</v>
      </c>
      <c r="AR52" s="146">
        <f t="shared" si="68"/>
        <v>0</v>
      </c>
      <c r="AS52" s="146">
        <f t="shared" si="68"/>
        <v>0</v>
      </c>
      <c r="AT52" s="146">
        <f t="shared" si="68"/>
        <v>0</v>
      </c>
      <c r="AU52" s="146">
        <f t="shared" si="68"/>
        <v>0</v>
      </c>
      <c r="AV52" s="146">
        <f t="shared" si="68"/>
        <v>0</v>
      </c>
      <c r="AW52" s="146">
        <f t="shared" si="68"/>
        <v>0</v>
      </c>
      <c r="AX52" s="146">
        <f t="shared" si="68"/>
        <v>0</v>
      </c>
      <c r="AY52" s="146">
        <f t="shared" si="68"/>
        <v>0</v>
      </c>
      <c r="AZ52" s="146">
        <f t="shared" si="68"/>
        <v>0</v>
      </c>
      <c r="BA52" s="146">
        <f t="shared" si="68"/>
        <v>0</v>
      </c>
      <c r="BB52" s="146">
        <f t="shared" si="68"/>
        <v>0</v>
      </c>
      <c r="BC52" s="146">
        <f t="shared" si="68"/>
        <v>0</v>
      </c>
      <c r="BD52" s="146">
        <f t="shared" si="68"/>
        <v>0</v>
      </c>
      <c r="BE52" s="146">
        <f t="shared" si="68"/>
        <v>0</v>
      </c>
      <c r="BF52" s="146">
        <f t="shared" si="68"/>
        <v>0</v>
      </c>
      <c r="BG52" s="146">
        <f t="shared" si="68"/>
        <v>0</v>
      </c>
      <c r="BH52" s="146">
        <f t="shared" si="68"/>
        <v>0</v>
      </c>
      <c r="BI52" s="146">
        <f t="shared" si="68"/>
        <v>0</v>
      </c>
      <c r="BJ52" s="146">
        <f t="shared" si="68"/>
        <v>0</v>
      </c>
      <c r="BK52" s="137"/>
      <c r="DB52" s="1"/>
      <c r="DC52" s="1"/>
      <c r="DD52" s="1"/>
      <c r="DE52" s="1"/>
      <c r="DF52" s="1"/>
      <c r="DG52" s="1"/>
      <c r="DH52" s="1"/>
      <c r="DI52" s="1"/>
      <c r="DJ52" s="1"/>
      <c r="DK52" s="27"/>
      <c r="DL52" s="300">
        <v>51</v>
      </c>
      <c r="DM52" s="301" t="s">
        <v>76</v>
      </c>
      <c r="DN52" s="302">
        <f>IF(Arbeidsstelsel=4,0.33333333333,0.316666666666667)</f>
        <v>0.31666666666666698</v>
      </c>
      <c r="DO52" s="303">
        <f t="shared" si="65"/>
        <v>0.15833333333333349</v>
      </c>
      <c r="DP52" s="104">
        <v>0</v>
      </c>
      <c r="DQ52" s="179" t="s">
        <v>181</v>
      </c>
      <c r="DR52" s="22"/>
    </row>
    <row r="53" spans="5:122" x14ac:dyDescent="0.2">
      <c r="F53" s="367"/>
      <c r="G53" s="367"/>
      <c r="T53" s="126"/>
      <c r="DB53" s="1"/>
      <c r="DC53" s="1"/>
      <c r="DD53" s="1"/>
      <c r="DE53" s="1"/>
      <c r="DF53" s="1"/>
      <c r="DG53" s="1"/>
      <c r="DH53" s="1"/>
      <c r="DI53" s="1"/>
      <c r="DJ53" s="1"/>
      <c r="DK53" s="27"/>
      <c r="DL53" s="183">
        <v>52</v>
      </c>
      <c r="DM53" s="102" t="s">
        <v>70</v>
      </c>
      <c r="DN53" s="103">
        <v>0.31666666666666665</v>
      </c>
      <c r="DO53" s="172">
        <f t="shared" si="65"/>
        <v>0.15833333333333333</v>
      </c>
      <c r="DP53" s="104">
        <v>0</v>
      </c>
      <c r="DQ53" s="179" t="s">
        <v>182</v>
      </c>
      <c r="DR53" s="22"/>
    </row>
    <row r="54" spans="5:122" x14ac:dyDescent="0.2">
      <c r="F54" s="367"/>
      <c r="G54" s="367"/>
      <c r="DB54" s="1"/>
      <c r="DC54" s="1"/>
      <c r="DD54" s="1"/>
      <c r="DE54" s="1"/>
      <c r="DF54" s="1"/>
      <c r="DG54" s="1"/>
      <c r="DH54" s="1"/>
      <c r="DI54" s="1"/>
      <c r="DJ54" s="1"/>
      <c r="DK54" s="27"/>
      <c r="DL54" s="300">
        <v>53</v>
      </c>
      <c r="DM54" s="301" t="s">
        <v>71</v>
      </c>
      <c r="DN54" s="302">
        <f>IF(Arbeidsstelsel=4,0.33333333333,0.316666666666667)</f>
        <v>0.31666666666666698</v>
      </c>
      <c r="DO54" s="303">
        <f t="shared" si="65"/>
        <v>0.15833333333333349</v>
      </c>
      <c r="DP54" s="104">
        <v>0</v>
      </c>
      <c r="DQ54" s="179" t="s">
        <v>222</v>
      </c>
      <c r="DR54" s="22"/>
    </row>
    <row r="55" spans="5:122" x14ac:dyDescent="0.2">
      <c r="DB55" s="1"/>
      <c r="DC55" s="1"/>
      <c r="DD55" s="1"/>
      <c r="DE55" s="1"/>
      <c r="DF55" s="1"/>
      <c r="DG55" s="1"/>
      <c r="DH55" s="1"/>
      <c r="DI55" s="1"/>
      <c r="DJ55" s="1"/>
      <c r="DK55" s="27"/>
      <c r="DL55" s="183">
        <v>54</v>
      </c>
      <c r="DM55" s="102" t="s">
        <v>51</v>
      </c>
      <c r="DN55" s="103">
        <v>0.31666666666666665</v>
      </c>
      <c r="DO55" s="172">
        <f t="shared" si="65"/>
        <v>0.15833333333333333</v>
      </c>
      <c r="DP55" s="104">
        <v>0</v>
      </c>
      <c r="DQ55" s="179" t="s">
        <v>223</v>
      </c>
      <c r="DR55" s="22"/>
    </row>
    <row r="56" spans="5:122" x14ac:dyDescent="0.2">
      <c r="DB56" s="1"/>
      <c r="DC56" s="1"/>
      <c r="DD56" s="1"/>
      <c r="DE56" s="1"/>
      <c r="DF56" s="1"/>
      <c r="DG56" s="1"/>
      <c r="DH56" s="1"/>
      <c r="DI56" s="1"/>
      <c r="DJ56" s="1"/>
      <c r="DK56" s="27"/>
      <c r="DL56" s="300">
        <v>56</v>
      </c>
      <c r="DM56" s="301" t="s">
        <v>65</v>
      </c>
      <c r="DN56" s="302">
        <f>IF(Arbeidsstelsel=4,0.33333333333,0.316666666666667)</f>
        <v>0.31666666666666698</v>
      </c>
      <c r="DO56" s="303">
        <f t="shared" si="65"/>
        <v>0.15833333333333349</v>
      </c>
      <c r="DP56" s="104">
        <v>0</v>
      </c>
      <c r="DQ56" s="179" t="s">
        <v>183</v>
      </c>
      <c r="DR56" s="22"/>
    </row>
    <row r="57" spans="5:122" x14ac:dyDescent="0.2">
      <c r="DB57" s="1"/>
      <c r="DC57" s="1"/>
      <c r="DD57" s="1"/>
      <c r="DE57" s="1"/>
      <c r="DF57" s="1"/>
      <c r="DG57" s="1"/>
      <c r="DH57" s="1"/>
      <c r="DI57" s="1"/>
      <c r="DJ57" s="1"/>
      <c r="DK57" s="27"/>
      <c r="DL57" s="183">
        <v>57</v>
      </c>
      <c r="DM57" s="102" t="s">
        <v>72</v>
      </c>
      <c r="DN57" s="103">
        <v>0.33333333333333331</v>
      </c>
      <c r="DO57" s="172">
        <f t="shared" si="65"/>
        <v>0.16666666666666666</v>
      </c>
      <c r="DP57" s="104">
        <v>0</v>
      </c>
      <c r="DQ57" s="179" t="s">
        <v>224</v>
      </c>
      <c r="DR57" s="22"/>
    </row>
    <row r="58" spans="5:122" x14ac:dyDescent="0.2">
      <c r="DB58" s="1"/>
      <c r="DC58" s="1"/>
      <c r="DD58" s="1"/>
      <c r="DE58" s="1"/>
      <c r="DF58" s="1"/>
      <c r="DG58" s="1"/>
      <c r="DH58" s="1"/>
      <c r="DI58" s="1"/>
      <c r="DJ58" s="1"/>
      <c r="DK58" s="27"/>
      <c r="DL58" s="300">
        <v>58</v>
      </c>
      <c r="DM58" s="301" t="s">
        <v>225</v>
      </c>
      <c r="DN58" s="302">
        <f>IF(Arbeidsstelsel=4,0.33333333333,0.316666666666667)</f>
        <v>0.31666666666666698</v>
      </c>
      <c r="DO58" s="303">
        <f t="shared" si="65"/>
        <v>0.15833333333333349</v>
      </c>
      <c r="DP58" s="104">
        <v>0</v>
      </c>
      <c r="DQ58" s="179" t="s">
        <v>227</v>
      </c>
      <c r="DR58" s="22"/>
    </row>
    <row r="59" spans="5:122" x14ac:dyDescent="0.2">
      <c r="DB59" s="1"/>
      <c r="DC59" s="1"/>
      <c r="DD59" s="1"/>
      <c r="DE59" s="1"/>
      <c r="DF59" s="1"/>
      <c r="DG59" s="1"/>
      <c r="DH59" s="1"/>
      <c r="DI59" s="1"/>
      <c r="DJ59" s="1"/>
      <c r="DK59" s="27"/>
      <c r="DL59" s="183">
        <v>61</v>
      </c>
      <c r="DM59" s="102" t="s">
        <v>228</v>
      </c>
      <c r="DN59" s="103">
        <v>0</v>
      </c>
      <c r="DO59" s="172">
        <f t="shared" si="65"/>
        <v>0</v>
      </c>
      <c r="DP59" s="104">
        <v>0</v>
      </c>
      <c r="DQ59" s="179" t="s">
        <v>229</v>
      </c>
      <c r="DR59" s="22"/>
    </row>
    <row r="60" spans="5:122" x14ac:dyDescent="0.2">
      <c r="DB60" s="1"/>
      <c r="DC60" s="1"/>
      <c r="DD60" s="1"/>
      <c r="DE60" s="1"/>
      <c r="DF60" s="1"/>
      <c r="DG60" s="1"/>
      <c r="DH60" s="1"/>
      <c r="DI60" s="1"/>
      <c r="DJ60" s="1"/>
      <c r="DK60" s="27"/>
      <c r="DL60" s="183">
        <v>62</v>
      </c>
      <c r="DM60" s="102" t="s">
        <v>58</v>
      </c>
      <c r="DN60" s="103">
        <v>0.31666666666666665</v>
      </c>
      <c r="DO60" s="172">
        <f t="shared" si="65"/>
        <v>0.15833333333333333</v>
      </c>
      <c r="DP60" s="104">
        <v>0</v>
      </c>
      <c r="DQ60" s="179" t="s">
        <v>226</v>
      </c>
      <c r="DR60" s="22"/>
    </row>
    <row r="61" spans="5:122" x14ac:dyDescent="0.2">
      <c r="DB61" s="1"/>
      <c r="DC61" s="1"/>
      <c r="DD61" s="1"/>
      <c r="DE61" s="1"/>
      <c r="DF61" s="1"/>
      <c r="DG61" s="1"/>
      <c r="DH61" s="1"/>
      <c r="DI61" s="1"/>
      <c r="DJ61" s="1"/>
      <c r="DK61" s="27"/>
      <c r="DL61" s="183">
        <v>63</v>
      </c>
      <c r="DM61" s="102" t="s">
        <v>62</v>
      </c>
      <c r="DN61" s="103">
        <v>0.31666666666666665</v>
      </c>
      <c r="DO61" s="172">
        <f t="shared" si="65"/>
        <v>0.15833333333333333</v>
      </c>
      <c r="DP61" s="104">
        <v>0</v>
      </c>
      <c r="DQ61" s="179" t="s">
        <v>230</v>
      </c>
      <c r="DR61" s="22"/>
    </row>
    <row r="62" spans="5:122" x14ac:dyDescent="0.2">
      <c r="DB62" s="1"/>
      <c r="DC62" s="1"/>
      <c r="DD62" s="1"/>
      <c r="DE62" s="1"/>
      <c r="DF62" s="1"/>
      <c r="DG62" s="1"/>
      <c r="DH62" s="1"/>
      <c r="DI62" s="1"/>
      <c r="DJ62" s="1"/>
      <c r="DK62" s="27"/>
      <c r="DL62" s="183">
        <v>64</v>
      </c>
      <c r="DM62" s="102" t="s">
        <v>63</v>
      </c>
      <c r="DN62" s="103">
        <v>0.31666666666666665</v>
      </c>
      <c r="DO62" s="172">
        <f t="shared" si="65"/>
        <v>0.15833333333333333</v>
      </c>
      <c r="DP62" s="104">
        <v>0</v>
      </c>
      <c r="DQ62" s="179" t="s">
        <v>184</v>
      </c>
      <c r="DR62" s="22"/>
    </row>
    <row r="63" spans="5:122" x14ac:dyDescent="0.2">
      <c r="DB63" s="1"/>
      <c r="DC63" s="1"/>
      <c r="DD63" s="1"/>
      <c r="DE63" s="1"/>
      <c r="DF63" s="1"/>
      <c r="DG63" s="1"/>
      <c r="DH63" s="1"/>
      <c r="DI63" s="1"/>
      <c r="DJ63" s="1"/>
      <c r="DK63" s="27"/>
      <c r="DL63" s="300">
        <v>65</v>
      </c>
      <c r="DM63" s="301" t="s">
        <v>74</v>
      </c>
      <c r="DN63" s="302">
        <f>IF(Arbeidsstelsel=4,0.33333333333,0.316666666666667)</f>
        <v>0.31666666666666698</v>
      </c>
      <c r="DO63" s="303">
        <f t="shared" si="65"/>
        <v>0.15833333333333349</v>
      </c>
      <c r="DP63" s="104">
        <v>0</v>
      </c>
      <c r="DQ63" s="179" t="s">
        <v>185</v>
      </c>
      <c r="DR63" s="22"/>
    </row>
    <row r="64" spans="5:122" x14ac:dyDescent="0.2">
      <c r="DB64" s="1"/>
      <c r="DC64" s="1"/>
      <c r="DD64" s="1"/>
      <c r="DE64" s="1"/>
      <c r="DF64" s="1"/>
      <c r="DG64" s="1"/>
      <c r="DH64" s="1"/>
      <c r="DI64" s="1"/>
      <c r="DJ64" s="1"/>
      <c r="DK64" s="27"/>
      <c r="DL64" s="300">
        <v>66</v>
      </c>
      <c r="DM64" s="301" t="s">
        <v>66</v>
      </c>
      <c r="DN64" s="302">
        <f>IF(Arbeidsstelsel=4,0.33333333333,0.316666666666667)</f>
        <v>0.31666666666666698</v>
      </c>
      <c r="DO64" s="303">
        <f t="shared" si="65"/>
        <v>0.15833333333333349</v>
      </c>
      <c r="DP64" s="104">
        <v>0</v>
      </c>
      <c r="DQ64" s="179" t="s">
        <v>186</v>
      </c>
      <c r="DR64" s="22"/>
    </row>
    <row r="65" spans="106:122" x14ac:dyDescent="0.2">
      <c r="DB65" s="1"/>
      <c r="DC65" s="1"/>
      <c r="DD65" s="1"/>
      <c r="DE65" s="1"/>
      <c r="DF65" s="1"/>
      <c r="DG65" s="1"/>
      <c r="DH65" s="1"/>
      <c r="DI65" s="1"/>
      <c r="DJ65" s="1"/>
      <c r="DK65" s="27"/>
      <c r="DL65" s="300">
        <v>67</v>
      </c>
      <c r="DM65" s="301" t="s">
        <v>73</v>
      </c>
      <c r="DN65" s="302">
        <f>IF(Arbeidsstelsel=4,0.33333333333,0.316666666666667)</f>
        <v>0.31666666666666698</v>
      </c>
      <c r="DO65" s="303">
        <f t="shared" si="65"/>
        <v>0.15833333333333349</v>
      </c>
      <c r="DP65" s="104">
        <v>0</v>
      </c>
      <c r="DQ65" s="179" t="s">
        <v>187</v>
      </c>
      <c r="DR65" s="22"/>
    </row>
    <row r="66" spans="106:122" x14ac:dyDescent="0.2">
      <c r="DB66" s="1"/>
      <c r="DC66" s="1"/>
      <c r="DD66" s="1"/>
      <c r="DE66" s="1"/>
      <c r="DF66" s="1"/>
      <c r="DG66" s="1"/>
      <c r="DH66" s="1"/>
      <c r="DI66" s="1"/>
      <c r="DJ66" s="1"/>
      <c r="DK66" s="27"/>
      <c r="DL66" s="183">
        <v>69</v>
      </c>
      <c r="DM66" s="102" t="s">
        <v>231</v>
      </c>
      <c r="DN66" s="103">
        <v>0.31666666666666665</v>
      </c>
      <c r="DO66" s="172">
        <f t="shared" si="65"/>
        <v>0.15833333333333333</v>
      </c>
      <c r="DP66" s="104">
        <v>0</v>
      </c>
      <c r="DQ66" s="179" t="s">
        <v>232</v>
      </c>
      <c r="DR66" s="22"/>
    </row>
    <row r="67" spans="106:122" x14ac:dyDescent="0.2">
      <c r="DB67" s="1"/>
      <c r="DC67" s="1"/>
      <c r="DD67" s="1"/>
      <c r="DE67" s="1"/>
      <c r="DF67" s="1"/>
      <c r="DG67" s="1"/>
      <c r="DH67" s="1"/>
      <c r="DI67" s="1"/>
      <c r="DJ67" s="1"/>
      <c r="DK67" s="27"/>
      <c r="DL67" s="183"/>
      <c r="DM67" s="102"/>
      <c r="DN67" s="103"/>
      <c r="DO67" s="172"/>
      <c r="DP67" s="104"/>
      <c r="DQ67" s="179"/>
      <c r="DR67" s="22"/>
    </row>
    <row r="68" spans="106:122" x14ac:dyDescent="0.2">
      <c r="DB68" s="1"/>
      <c r="DC68" s="1"/>
      <c r="DD68" s="1"/>
      <c r="DE68" s="1"/>
      <c r="DF68" s="1"/>
      <c r="DG68" s="1"/>
      <c r="DH68" s="1"/>
      <c r="DI68" s="1"/>
      <c r="DJ68" s="1"/>
      <c r="DK68" s="27"/>
      <c r="DL68" s="183">
        <v>201</v>
      </c>
      <c r="DM68" s="102" t="s">
        <v>88</v>
      </c>
      <c r="DN68" s="103">
        <v>0</v>
      </c>
      <c r="DO68" s="172">
        <f t="shared" si="65"/>
        <v>0</v>
      </c>
      <c r="DP68" s="104">
        <v>0</v>
      </c>
      <c r="DQ68" s="179" t="s">
        <v>89</v>
      </c>
      <c r="DR68" s="22"/>
    </row>
    <row r="69" spans="106:122" x14ac:dyDescent="0.2">
      <c r="DB69" s="1"/>
      <c r="DC69" s="1"/>
      <c r="DD69" s="1"/>
      <c r="DE69" s="1"/>
      <c r="DF69" s="1"/>
      <c r="DG69" s="1"/>
      <c r="DH69" s="1"/>
      <c r="DI69" s="1"/>
      <c r="DJ69" s="1"/>
      <c r="DK69" s="27"/>
      <c r="DL69" s="183">
        <v>202</v>
      </c>
      <c r="DM69" s="102" t="s">
        <v>90</v>
      </c>
      <c r="DN69" s="103">
        <v>0</v>
      </c>
      <c r="DO69" s="172">
        <f t="shared" si="65"/>
        <v>0</v>
      </c>
      <c r="DP69" s="104">
        <v>0</v>
      </c>
      <c r="DQ69" s="179" t="s">
        <v>261</v>
      </c>
      <c r="DR69" s="22"/>
    </row>
    <row r="70" spans="106:122" x14ac:dyDescent="0.2">
      <c r="DB70" s="1"/>
      <c r="DC70" s="1"/>
      <c r="DD70" s="1"/>
      <c r="DE70" s="1"/>
      <c r="DF70" s="1"/>
      <c r="DG70" s="1"/>
      <c r="DH70" s="1"/>
      <c r="DI70" s="1"/>
      <c r="DJ70" s="1"/>
      <c r="DK70" s="27"/>
      <c r="DL70" s="183">
        <v>0</v>
      </c>
      <c r="DM70" s="102" t="s">
        <v>157</v>
      </c>
      <c r="DN70" s="103">
        <v>0</v>
      </c>
      <c r="DO70" s="172">
        <f t="shared" si="65"/>
        <v>0</v>
      </c>
      <c r="DP70" s="104">
        <v>0</v>
      </c>
      <c r="DQ70" s="179" t="s">
        <v>158</v>
      </c>
      <c r="DR70" s="22"/>
    </row>
    <row r="71" spans="106:122" ht="13.5" thickBot="1" x14ac:dyDescent="0.25">
      <c r="DB71" s="1"/>
      <c r="DC71" s="1"/>
      <c r="DD71" s="1"/>
      <c r="DE71" s="1"/>
      <c r="DF71" s="1"/>
      <c r="DG71" s="1"/>
      <c r="DH71" s="1"/>
      <c r="DI71" s="1"/>
      <c r="DJ71" s="1"/>
      <c r="DK71" s="27"/>
      <c r="DL71" s="184" t="s">
        <v>233</v>
      </c>
      <c r="DM71" s="150" t="s">
        <v>233</v>
      </c>
      <c r="DN71" s="150" t="s">
        <v>246</v>
      </c>
      <c r="DO71" s="150" t="s">
        <v>246</v>
      </c>
      <c r="DP71" s="151" t="s">
        <v>233</v>
      </c>
      <c r="DQ71" s="180" t="s">
        <v>233</v>
      </c>
      <c r="DR71" s="22"/>
    </row>
    <row r="72" spans="106:122" x14ac:dyDescent="0.2">
      <c r="DB72" s="1"/>
      <c r="DC72" s="1"/>
      <c r="DD72" s="1"/>
      <c r="DE72" s="1"/>
      <c r="DF72" s="1"/>
      <c r="DG72" s="1"/>
      <c r="DH72" s="1"/>
      <c r="DI72" s="1"/>
      <c r="DJ72" s="1"/>
      <c r="DK72" s="27"/>
      <c r="DR72" s="22"/>
    </row>
    <row r="73" spans="106:122" x14ac:dyDescent="0.2">
      <c r="DB73" s="1"/>
      <c r="DC73" s="1"/>
      <c r="DD73" s="1"/>
      <c r="DE73" s="1"/>
      <c r="DF73" s="1"/>
      <c r="DG73" s="1"/>
      <c r="DH73" s="1"/>
      <c r="DI73" s="1"/>
      <c r="DJ73" s="1"/>
      <c r="DK73" s="27"/>
      <c r="DL73" s="18"/>
      <c r="DM73" s="18"/>
      <c r="DN73" s="21"/>
      <c r="DO73" s="21"/>
      <c r="DP73" s="21"/>
      <c r="DQ73" s="130"/>
      <c r="DR73" s="22"/>
    </row>
    <row r="74" spans="106:122" x14ac:dyDescent="0.2">
      <c r="DB74" s="1"/>
      <c r="DC74" s="1"/>
      <c r="DD74" s="1"/>
      <c r="DE74" s="1"/>
      <c r="DF74" s="1"/>
      <c r="DG74" s="1"/>
      <c r="DH74" s="1"/>
      <c r="DI74" s="1"/>
      <c r="DJ74" s="1"/>
      <c r="DK74" s="27"/>
      <c r="DL74" s="18"/>
      <c r="DM74" s="18"/>
      <c r="DN74" s="21"/>
      <c r="DO74" s="21"/>
      <c r="DP74" s="21"/>
      <c r="DQ74" s="130"/>
      <c r="DR74" s="22"/>
    </row>
    <row r="75" spans="106:122" x14ac:dyDescent="0.2">
      <c r="DK75" s="27"/>
      <c r="DL75" s="18"/>
      <c r="DM75" s="18"/>
      <c r="DN75" s="21"/>
      <c r="DO75" s="21"/>
      <c r="DP75" s="21"/>
      <c r="DQ75" s="130"/>
      <c r="DR75" s="22"/>
    </row>
  </sheetData>
  <sheetProtection sheet="1"/>
  <mergeCells count="58">
    <mergeCell ref="A6:B6"/>
    <mergeCell ref="K6:L6"/>
    <mergeCell ref="A5:B5"/>
    <mergeCell ref="K5:L5"/>
    <mergeCell ref="U5:V5"/>
    <mergeCell ref="U6:V6"/>
    <mergeCell ref="E3:F3"/>
    <mergeCell ref="S3:V3"/>
    <mergeCell ref="O1:R1"/>
    <mergeCell ref="N44:O44"/>
    <mergeCell ref="P44:Q44"/>
    <mergeCell ref="R44:S44"/>
    <mergeCell ref="N40:O40"/>
    <mergeCell ref="P40:Q40"/>
    <mergeCell ref="R40:S40"/>
    <mergeCell ref="N41:O41"/>
    <mergeCell ref="N42:O42"/>
    <mergeCell ref="N43:O43"/>
    <mergeCell ref="P41:Q41"/>
    <mergeCell ref="P42:Q42"/>
    <mergeCell ref="P43:Q43"/>
    <mergeCell ref="R42:S42"/>
    <mergeCell ref="U12:V12"/>
    <mergeCell ref="U22:V22"/>
    <mergeCell ref="U23:V23"/>
    <mergeCell ref="U24:V24"/>
    <mergeCell ref="U13:V13"/>
    <mergeCell ref="U14:V14"/>
    <mergeCell ref="U15:V15"/>
    <mergeCell ref="U16:V16"/>
    <mergeCell ref="U17:V17"/>
    <mergeCell ref="U7:V7"/>
    <mergeCell ref="U8:V8"/>
    <mergeCell ref="U9:V9"/>
    <mergeCell ref="U10:V10"/>
    <mergeCell ref="U11:V11"/>
    <mergeCell ref="U29:V29"/>
    <mergeCell ref="U30:V30"/>
    <mergeCell ref="C40:D40"/>
    <mergeCell ref="U27:V27"/>
    <mergeCell ref="U37:V37"/>
    <mergeCell ref="U38:V38"/>
    <mergeCell ref="R43:S43"/>
    <mergeCell ref="R41:S41"/>
    <mergeCell ref="U1:V1"/>
    <mergeCell ref="U33:V33"/>
    <mergeCell ref="U34:V34"/>
    <mergeCell ref="U35:V35"/>
    <mergeCell ref="U36:V36"/>
    <mergeCell ref="U31:V31"/>
    <mergeCell ref="U32:V32"/>
    <mergeCell ref="U19:V19"/>
    <mergeCell ref="U20:V20"/>
    <mergeCell ref="U21:V21"/>
    <mergeCell ref="U18:V18"/>
    <mergeCell ref="U25:V25"/>
    <mergeCell ref="U26:V26"/>
    <mergeCell ref="U28:V28"/>
  </mergeCells>
  <phoneticPr fontId="16" type="noConversion"/>
  <conditionalFormatting sqref="S3:V3">
    <cfRule type="expression" dxfId="8" priority="89" stopIfTrue="1">
      <formula>$S$3&lt;&gt;""</formula>
    </cfRule>
  </conditionalFormatting>
  <conditionalFormatting sqref="M8:M38">
    <cfRule type="expression" dxfId="7" priority="2" stopIfTrue="1">
      <formula>M8&lt;-8</formula>
    </cfRule>
    <cfRule type="expression" dxfId="6" priority="3">
      <formula>M8&lt;0</formula>
    </cfRule>
  </conditionalFormatting>
  <conditionalFormatting sqref="K8:L38">
    <cfRule type="expression" dxfId="5" priority="4" stopIfTrue="1">
      <formula>$CX8&lt;-0.33334</formula>
    </cfRule>
    <cfRule type="expression" dxfId="4" priority="5">
      <formula>$CX8&lt;0</formula>
    </cfRule>
  </conditionalFormatting>
  <conditionalFormatting sqref="A34:R38">
    <cfRule type="expression" dxfId="3" priority="1" stopIfTrue="1">
      <formula>$AB$8&lt;&gt;$AB34</formula>
    </cfRule>
  </conditionalFormatting>
  <conditionalFormatting sqref="N8:R38 A8:I38">
    <cfRule type="expression" dxfId="2" priority="6" stopIfTrue="1">
      <formula>OR($AC8=0,$AC8=1)</formula>
    </cfRule>
    <cfRule type="expression" dxfId="1" priority="7" stopIfTrue="1">
      <formula>COUNTIFS($DG$5:$DG$19,$AA8)&gt;0</formula>
    </cfRule>
    <cfRule type="expression" dxfId="0" priority="8" stopIfTrue="1">
      <formula>VLOOKUP($AC8,$B$42:$D$46,3) = 1</formula>
    </cfRule>
  </conditionalFormatting>
  <dataValidations disablePrompts="1" count="1">
    <dataValidation type="whole" allowBlank="1" showInputMessage="1" showErrorMessage="1" sqref="D42:D46" xr:uid="{E815E12A-014B-4350-AAD2-1436090135BC}">
      <formula1>0</formula1>
      <formula2>IF(Arbeidsstelsel=2,2,IF(Arbeidsstelsel=1,0,1))</formula2>
    </dataValidation>
  </dataValidations>
  <printOptions horizontalCentered="1" verticalCentered="1" gridLinesSet="0"/>
  <pageMargins left="0.55118110236220474" right="0.55118110236220474" top="0.39370078740157483" bottom="0.39370078740157483" header="0" footer="0"/>
  <pageSetup paperSize="9" scale="62" orientation="landscape" horizontalDpi="4294967292" verticalDpi="4294967292" r:id="rId1"/>
  <headerFooter alignWithMargins="0"/>
  <rowBreaks count="1" manualBreakCount="1">
    <brk id="41" max="24" man="1"/>
  </rowBreaks>
  <colBreaks count="1" manualBreakCount="1">
    <brk id="13" max="1048575" man="1"/>
  </colBreaks>
  <ignoredErrors>
    <ignoredError xmlns:x16r3="http://schemas.microsoft.com/office/spreadsheetml/2018/08/main" sqref="B8:B38" x16r3:misleadingForma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Button 9">
              <controlPr defaultSize="0" print="0" autoFill="0" autoPict="0" macro="[0]!Knop_Maand_Afsluiten" altText="De huidige maand afsluiten(berekeningen blokeren)">
                <anchor moveWithCells="1" sizeWithCells="1">
                  <from>
                    <xdr:col>20</xdr:col>
                    <xdr:colOff>1009650</xdr:colOff>
                    <xdr:row>38</xdr:row>
                    <xdr:rowOff>28575</xdr:rowOff>
                  </from>
                  <to>
                    <xdr:col>108</xdr:col>
                    <xdr:colOff>19050</xdr:colOff>
                    <xdr:row>42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16</vt:i4>
      </vt:variant>
    </vt:vector>
  </HeadingPairs>
  <TitlesOfParts>
    <vt:vector size="28" baseType="lpstr">
      <vt:lpstr>januari</vt:lpstr>
      <vt:lpstr>februari</vt:lpstr>
      <vt:lpstr>maart</vt:lpstr>
      <vt:lpstr>april</vt:lpstr>
      <vt:lpstr>mei</vt:lpstr>
      <vt:lpstr>juni</vt:lpstr>
      <vt:lpstr>juli</vt:lpstr>
      <vt:lpstr>augustus</vt:lpstr>
      <vt:lpstr>september</vt:lpstr>
      <vt:lpstr>oktober</vt:lpstr>
      <vt:lpstr>november</vt:lpstr>
      <vt:lpstr>december</vt:lpstr>
      <vt:lpstr>april!Afdrukbereik</vt:lpstr>
      <vt:lpstr>augustus!Afdrukbereik</vt:lpstr>
      <vt:lpstr>december!Afdrukbereik</vt:lpstr>
      <vt:lpstr>februari!Afdrukbereik</vt:lpstr>
      <vt:lpstr>januari!Afdrukbereik</vt:lpstr>
      <vt:lpstr>juli!Afdrukbereik</vt:lpstr>
      <vt:lpstr>juni!Afdrukbereik</vt:lpstr>
      <vt:lpstr>maart!Afdrukbereik</vt:lpstr>
      <vt:lpstr>mei!Afdrukbereik</vt:lpstr>
      <vt:lpstr>november!Afdrukbereik</vt:lpstr>
      <vt:lpstr>oktober!Afdrukbereik</vt:lpstr>
      <vt:lpstr>september!Afdrukbereik</vt:lpstr>
      <vt:lpstr>Arbeidsstelsel</vt:lpstr>
      <vt:lpstr>Start_Verlof</vt:lpstr>
      <vt:lpstr>UserName</vt:lpstr>
      <vt:lpstr>Werklijst_nr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Marey</dc:creator>
  <cp:lastModifiedBy>Cattoor Bjorn</cp:lastModifiedBy>
  <cp:lastPrinted>2021-10-22T06:08:11Z</cp:lastPrinted>
  <dcterms:created xsi:type="dcterms:W3CDTF">1999-12-22T12:52:29Z</dcterms:created>
  <dcterms:modified xsi:type="dcterms:W3CDTF">2021-11-16T16:52:13Z</dcterms:modified>
</cp:coreProperties>
</file>